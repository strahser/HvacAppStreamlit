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harts/chart1.xml" ContentType="application/vnd.openxmlformats-officedocument.drawingml.chart+xml"/>
  <Override PartName="/xl/drawings/drawing2.xml" ContentType="application/vnd.openxmlformats-officedocument.drawing+xml"/>
  <Override PartName="/xl/ctrlProps/ctrlProp2.xml" ContentType="application/vnd.ms-excel.controlproperties+xml"/>
  <Override PartName="/xl/charts/chart2.xml" ContentType="application/vnd.openxmlformats-officedocument.drawingml.chart+xml"/>
  <Override PartName="/xl/drawings/drawing3.xml" ContentType="application/vnd.openxmlformats-officedocument.drawing+xml"/>
  <Override PartName="/xl/ctrlProps/ctrlProp3.xml" ContentType="application/vnd.ms-excel.controlproperties+xml"/>
  <Override PartName="/xl/charts/chart3.xml" ContentType="application/vnd.openxmlformats-officedocument.drawingml.chart+xml"/>
  <Override PartName="/xl/drawings/drawing4.xml" ContentType="application/vnd.openxmlformats-officedocument.drawing+xml"/>
  <Override PartName="/xl/ctrlProps/ctrlProp4.xml" ContentType="application/vnd.ms-excel.controlproperties+xml"/>
  <Override PartName="/xl/charts/chart4.xml" ContentType="application/vnd.openxmlformats-officedocument.drawingml.chart+xml"/>
  <Override PartName="/xl/drawings/drawing5.xml" ContentType="application/vnd.openxmlformats-officedocument.drawing+xml"/>
  <Override PartName="/xl/ctrlProps/ctrlProp5.xml" ContentType="application/vnd.ms-excel.controlproperties+xml"/>
  <Override PartName="/xl/charts/chart5.xml" ContentType="application/vnd.openxmlformats-officedocument.drawingml.chart+xml"/>
  <Override PartName="/xl/drawings/drawing6.xml" ContentType="application/vnd.openxmlformats-officedocument.drawing+xml"/>
  <Override PartName="/xl/ctrlProps/ctrlProp6.xml" ContentType="application/vnd.ms-excel.controlproperties+xml"/>
  <Override PartName="/xl/charts/chart6.xml" ContentType="application/vnd.openxmlformats-officedocument.drawingml.chart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Strakhov\YandexDisk\Projects_2022\HvacAppStreamlit\AhuLayout\InputData\"/>
    </mc:Choice>
  </mc:AlternateContent>
  <bookViews>
    <workbookView xWindow="0" yWindow="0" windowWidth="28800" windowHeight="11865"/>
  </bookViews>
  <sheets>
    <sheet name="S01" sheetId="20" r:id="rId1"/>
    <sheet name="S02" sheetId="24" r:id="rId2"/>
    <sheet name="S03" sheetId="22" r:id="rId3"/>
    <sheet name="E01" sheetId="25" r:id="rId4"/>
    <sheet name="S04" sheetId="23" r:id="rId5"/>
    <sheet name="Расчет" sheetId="6" r:id="rId6"/>
    <sheet name="AHU_LIST" sheetId="10" r:id="rId7"/>
    <sheet name="ahu_index" sheetId="18" r:id="rId8"/>
    <sheet name="Параметры_нар_воздуха" sheetId="19" state="hidden" r:id="rId9"/>
    <sheet name="Справка" sheetId="7" state="hidden" r:id="rId10"/>
    <sheet name="Пример" sheetId="9" state="hidden" r:id="rId11"/>
    <sheet name="Шаблоны" sheetId="17" state="hidden" r:id="rId12"/>
    <sheet name="-" sheetId="2" state="hidden" r:id="rId13"/>
  </sheets>
  <functionGroups builtInGroupCount="18"/>
  <externalReferences>
    <externalReference r:id="rId14"/>
  </externalReferences>
  <definedNames>
    <definedName name="Hchladice" localSheetId="3">'E01'!$Z$6</definedName>
    <definedName name="Hchladice" localSheetId="0">'S01'!$Z$6</definedName>
    <definedName name="Hchladice" localSheetId="1">'S02'!$AA$6</definedName>
    <definedName name="Hchladice" localSheetId="2">'S03'!$Z$6</definedName>
    <definedName name="Hchladice" localSheetId="4">'S04'!$Z$6</definedName>
    <definedName name="Hchladice">Расчет!$Z$6</definedName>
    <definedName name="index_ahu" localSheetId="3">ahu_index[index]</definedName>
    <definedName name="index_ahu" localSheetId="0">ahu_index[index]</definedName>
    <definedName name="index_ahu" localSheetId="1">ahu_index[index]</definedName>
    <definedName name="index_ahu" localSheetId="2">ahu_index[index]</definedName>
    <definedName name="index_ahu" localSheetId="4">ahu_index[index]</definedName>
    <definedName name="index_ahu">ahu_index[index]</definedName>
    <definedName name="MaxVlhkost" localSheetId="3">'E01'!$M$2</definedName>
    <definedName name="MaxVlhkost" localSheetId="0">'S01'!$M$2</definedName>
    <definedName name="MaxVlhkost" localSheetId="1">'S02'!$M$2</definedName>
    <definedName name="MaxVlhkost" localSheetId="2">'S03'!$M$2</definedName>
    <definedName name="MaxVlhkost" localSheetId="4">'S04'!$M$2</definedName>
    <definedName name="MaxVlhkost">Расчет!$M$2</definedName>
    <definedName name="Print_Area" localSheetId="3">'E01'!$A$1:$AA$51</definedName>
    <definedName name="Print_Area" localSheetId="0">'S01'!$A$1:$AA$51</definedName>
    <definedName name="Print_Area" localSheetId="1">'S02'!$A$1:$AB$51</definedName>
    <definedName name="Print_Area" localSheetId="2">'S03'!$A$1:$AA$51</definedName>
    <definedName name="Print_Area" localSheetId="4">'S04'!$A$1:$AA$51</definedName>
    <definedName name="Print_Area" localSheetId="5">Расчет!$A$1:$AA$51</definedName>
    <definedName name="result" localSheetId="3">'E01'!$B$15:$R$25</definedName>
    <definedName name="result" localSheetId="0">'S01'!$B$15:$R$25</definedName>
    <definedName name="result" localSheetId="1">'S02'!$B$15:$R$25</definedName>
    <definedName name="result" localSheetId="2">'S03'!$B$15:$R$25</definedName>
    <definedName name="result" localSheetId="4">'S04'!$B$15:$R$25</definedName>
    <definedName name="result">Расчет!$B$15:$R$25</definedName>
    <definedName name="Tchladice" localSheetId="3">'E01'!$K$3</definedName>
    <definedName name="Tchladice" localSheetId="0">'S01'!$K$3</definedName>
    <definedName name="Tchladice" localSheetId="1">'S02'!$K$3</definedName>
    <definedName name="Tchladice" localSheetId="2">'S03'!$K$3</definedName>
    <definedName name="Tchladice" localSheetId="4">'S04'!$K$3</definedName>
    <definedName name="Tchladice">Расчет!$K$3</definedName>
    <definedName name="Tlak_vzduchu" localSheetId="3">'E01'!$K$1</definedName>
    <definedName name="Tlak_vzduchu" localSheetId="0">'S01'!$K$1</definedName>
    <definedName name="Tlak_vzduchu" localSheetId="1">'S02'!$K$1</definedName>
    <definedName name="Tlak_vzduchu" localSheetId="2">'S03'!$K$1</definedName>
    <definedName name="Tlak_vzduchu" localSheetId="4">'S04'!$K$1</definedName>
    <definedName name="Tlak_vzduchu" localSheetId="8">[1]Данные!#REF!</definedName>
    <definedName name="Tlak_vzduchu" localSheetId="11">[1]Данные!#REF!</definedName>
    <definedName name="Tlak_vzduchu">Расчет!$K$1</definedName>
    <definedName name="xchladice" localSheetId="3">'E01'!$Z$4</definedName>
    <definedName name="xchladice" localSheetId="0">'S01'!$Z$4</definedName>
    <definedName name="xchladice" localSheetId="1">'S02'!$AA$4</definedName>
    <definedName name="xchladice" localSheetId="2">'S03'!$Z$4</definedName>
    <definedName name="xchladice" localSheetId="4">'S04'!$Z$4</definedName>
    <definedName name="xchladice">Расчет!$Z$4</definedName>
  </definedNames>
  <calcPr calcId="162913"/>
</workbook>
</file>

<file path=xl/calcChain.xml><?xml version="1.0" encoding="utf-8"?>
<calcChain xmlns="http://schemas.openxmlformats.org/spreadsheetml/2006/main">
  <c r="T11" i="20" l="1"/>
  <c r="N11" i="24"/>
  <c r="T11" i="22"/>
  <c r="T11" i="25"/>
  <c r="U11" i="23"/>
  <c r="T11" i="23"/>
  <c r="T7" i="23" l="1"/>
  <c r="T6" i="23"/>
  <c r="U11" i="25"/>
  <c r="T7" i="25"/>
  <c r="T6" i="25"/>
  <c r="U11" i="22"/>
  <c r="O11" i="24"/>
  <c r="P11" i="24"/>
  <c r="N7" i="24"/>
  <c r="N6" i="24"/>
  <c r="U11" i="20"/>
  <c r="T7" i="20"/>
  <c r="T6" i="20"/>
  <c r="K11" i="22" l="1"/>
  <c r="M11" i="22" s="1"/>
  <c r="N15" i="24"/>
  <c r="N28" i="24"/>
  <c r="N35" i="24" s="1"/>
  <c r="N31" i="24"/>
  <c r="N86" i="24" s="1"/>
  <c r="N32" i="24"/>
  <c r="N33" i="24"/>
  <c r="N39" i="24"/>
  <c r="N45" i="24"/>
  <c r="N50" i="24"/>
  <c r="N53" i="24"/>
  <c r="N58" i="24"/>
  <c r="N66" i="24"/>
  <c r="N71" i="24"/>
  <c r="N74" i="24"/>
  <c r="N76" i="24"/>
  <c r="N77" i="24"/>
  <c r="N81" i="24"/>
  <c r="N82" i="24"/>
  <c r="N87" i="24"/>
  <c r="N127" i="24"/>
  <c r="N144" i="24"/>
  <c r="N157" i="24"/>
  <c r="N158" i="24"/>
  <c r="N70" i="24" l="1"/>
  <c r="N62" i="24"/>
  <c r="N38" i="24"/>
  <c r="N94" i="24" s="1"/>
  <c r="O11" i="22"/>
  <c r="Q11" i="22" s="1"/>
  <c r="S11" i="22" s="1"/>
  <c r="N95" i="24"/>
  <c r="W15" i="24"/>
  <c r="X15" i="24"/>
  <c r="C164" i="25"/>
  <c r="C166" i="25" s="1"/>
  <c r="C168" i="25" s="1"/>
  <c r="C170" i="25" s="1"/>
  <c r="C172" i="25" s="1"/>
  <c r="C174" i="25" s="1"/>
  <c r="C176" i="25" s="1"/>
  <c r="C178" i="25" s="1"/>
  <c r="C180" i="25" s="1"/>
  <c r="R158" i="25"/>
  <c r="O158" i="25"/>
  <c r="L158" i="25"/>
  <c r="W157" i="25"/>
  <c r="W158" i="25" s="1"/>
  <c r="V157" i="25"/>
  <c r="V158" i="25" s="1"/>
  <c r="U157" i="25"/>
  <c r="U158" i="25" s="1"/>
  <c r="T157" i="25"/>
  <c r="T158" i="25" s="1"/>
  <c r="S157" i="25"/>
  <c r="S158" i="25" s="1"/>
  <c r="R157" i="25"/>
  <c r="Q157" i="25"/>
  <c r="Q158" i="25" s="1"/>
  <c r="P157" i="25"/>
  <c r="P158" i="25" s="1"/>
  <c r="O157" i="25"/>
  <c r="N157" i="25"/>
  <c r="N158" i="25" s="1"/>
  <c r="M157" i="25"/>
  <c r="M158" i="25" s="1"/>
  <c r="L157" i="25"/>
  <c r="K157" i="25"/>
  <c r="K158" i="25" s="1"/>
  <c r="J157" i="25"/>
  <c r="J158" i="25" s="1"/>
  <c r="I157" i="25"/>
  <c r="I158" i="25" s="1"/>
  <c r="H157" i="25"/>
  <c r="H158" i="25" s="1"/>
  <c r="G157" i="25"/>
  <c r="G158" i="25" s="1"/>
  <c r="F157" i="25"/>
  <c r="F158" i="25" s="1"/>
  <c r="E157" i="25"/>
  <c r="E158" i="25" s="1"/>
  <c r="W144" i="25"/>
  <c r="V144" i="25"/>
  <c r="U144" i="25"/>
  <c r="T144" i="25"/>
  <c r="S144" i="25"/>
  <c r="R144" i="25"/>
  <c r="Q144" i="25"/>
  <c r="P144" i="25"/>
  <c r="O144" i="25"/>
  <c r="N144" i="25"/>
  <c r="M144" i="25"/>
  <c r="L144" i="25"/>
  <c r="K144" i="25"/>
  <c r="J144" i="25"/>
  <c r="I144" i="25"/>
  <c r="H144" i="25"/>
  <c r="G144" i="25"/>
  <c r="F144" i="25"/>
  <c r="E144" i="25"/>
  <c r="W127" i="25"/>
  <c r="V127" i="25"/>
  <c r="U127" i="25"/>
  <c r="T127" i="25"/>
  <c r="S127" i="25"/>
  <c r="R127" i="25"/>
  <c r="Q127" i="25"/>
  <c r="P127" i="25"/>
  <c r="O127" i="25"/>
  <c r="N127" i="25"/>
  <c r="M127" i="25"/>
  <c r="L127" i="25"/>
  <c r="K127" i="25"/>
  <c r="J127" i="25"/>
  <c r="I127" i="25"/>
  <c r="H127" i="25"/>
  <c r="G127" i="25"/>
  <c r="F127" i="25"/>
  <c r="E127" i="25"/>
  <c r="E90" i="25"/>
  <c r="E89" i="25"/>
  <c r="E88" i="25"/>
  <c r="H86" i="25"/>
  <c r="L84" i="25"/>
  <c r="W82" i="25"/>
  <c r="V82" i="25"/>
  <c r="U82" i="25"/>
  <c r="T82" i="25"/>
  <c r="S82" i="25"/>
  <c r="R82" i="25"/>
  <c r="Q82" i="25"/>
  <c r="P82" i="25"/>
  <c r="O82" i="25"/>
  <c r="N82" i="25"/>
  <c r="M82" i="25"/>
  <c r="L82" i="25"/>
  <c r="K82" i="25"/>
  <c r="J82" i="25"/>
  <c r="I82" i="25"/>
  <c r="H82" i="25"/>
  <c r="G82" i="25"/>
  <c r="F82" i="25"/>
  <c r="E82" i="25"/>
  <c r="W81" i="25"/>
  <c r="V81" i="25"/>
  <c r="U81" i="25"/>
  <c r="T81" i="25"/>
  <c r="S81" i="25"/>
  <c r="R81" i="25"/>
  <c r="Q81" i="25"/>
  <c r="P81" i="25"/>
  <c r="O81" i="25"/>
  <c r="N81" i="25"/>
  <c r="M81" i="25"/>
  <c r="L81" i="25"/>
  <c r="K81" i="25"/>
  <c r="J81" i="25"/>
  <c r="I81" i="25"/>
  <c r="H81" i="25"/>
  <c r="G81" i="25"/>
  <c r="F81" i="25"/>
  <c r="E81" i="25"/>
  <c r="F80" i="25"/>
  <c r="E80" i="25"/>
  <c r="F79" i="25"/>
  <c r="E79" i="25"/>
  <c r="F78" i="25"/>
  <c r="E78" i="25"/>
  <c r="W77" i="25"/>
  <c r="V77" i="25"/>
  <c r="U77" i="25"/>
  <c r="T77" i="25"/>
  <c r="S77" i="25"/>
  <c r="R77" i="25"/>
  <c r="Q77" i="25"/>
  <c r="P77" i="25"/>
  <c r="O77" i="25"/>
  <c r="N77" i="25"/>
  <c r="M77" i="25"/>
  <c r="L77" i="25"/>
  <c r="K77" i="25"/>
  <c r="J77" i="25"/>
  <c r="I77" i="25"/>
  <c r="H77" i="25"/>
  <c r="G77" i="25"/>
  <c r="F77" i="25"/>
  <c r="E77" i="25"/>
  <c r="W76" i="25"/>
  <c r="V76" i="25"/>
  <c r="U76" i="25"/>
  <c r="T76" i="25"/>
  <c r="S76" i="25"/>
  <c r="R76" i="25"/>
  <c r="Q76" i="25"/>
  <c r="P76" i="25"/>
  <c r="O76" i="25"/>
  <c r="N76" i="25"/>
  <c r="M76" i="25"/>
  <c r="L76" i="25"/>
  <c r="K76" i="25"/>
  <c r="J76" i="25"/>
  <c r="I76" i="25"/>
  <c r="H76" i="25"/>
  <c r="G76" i="25"/>
  <c r="F76" i="25"/>
  <c r="E76" i="25"/>
  <c r="W74" i="25"/>
  <c r="V74" i="25"/>
  <c r="U74" i="25"/>
  <c r="T74" i="25"/>
  <c r="S74" i="25"/>
  <c r="R74" i="25"/>
  <c r="Q74" i="25"/>
  <c r="P74" i="25"/>
  <c r="O74" i="25"/>
  <c r="N74" i="25"/>
  <c r="M74" i="25"/>
  <c r="L74" i="25"/>
  <c r="K74" i="25"/>
  <c r="J74" i="25"/>
  <c r="I74" i="25"/>
  <c r="H74" i="25"/>
  <c r="G74" i="25"/>
  <c r="F74" i="25"/>
  <c r="E74" i="25"/>
  <c r="E73" i="25"/>
  <c r="E72" i="25"/>
  <c r="W71" i="25"/>
  <c r="V71" i="25"/>
  <c r="U71" i="25"/>
  <c r="T71" i="25"/>
  <c r="S71" i="25"/>
  <c r="R71" i="25"/>
  <c r="Q71" i="25"/>
  <c r="P71" i="25"/>
  <c r="O71" i="25"/>
  <c r="N71" i="25"/>
  <c r="M71" i="25"/>
  <c r="L71" i="25"/>
  <c r="K71" i="25"/>
  <c r="J71" i="25"/>
  <c r="I71" i="25"/>
  <c r="H71" i="25"/>
  <c r="G71" i="25"/>
  <c r="F71" i="25"/>
  <c r="E71" i="25"/>
  <c r="E70" i="25"/>
  <c r="E69" i="25"/>
  <c r="E68" i="25"/>
  <c r="W66" i="25"/>
  <c r="V66" i="25"/>
  <c r="U66" i="25"/>
  <c r="T66" i="25"/>
  <c r="S66" i="25"/>
  <c r="R66" i="25"/>
  <c r="Q66" i="25"/>
  <c r="P66" i="25"/>
  <c r="O66" i="25"/>
  <c r="N66" i="25"/>
  <c r="M66" i="25"/>
  <c r="L66" i="25"/>
  <c r="K66" i="25"/>
  <c r="J66" i="25"/>
  <c r="I66" i="25"/>
  <c r="H66" i="25"/>
  <c r="G66" i="25"/>
  <c r="F66" i="25"/>
  <c r="E66" i="25"/>
  <c r="E65" i="25"/>
  <c r="E64" i="25"/>
  <c r="E63" i="25"/>
  <c r="E62" i="25"/>
  <c r="E61" i="25"/>
  <c r="E60" i="25"/>
  <c r="W58" i="25"/>
  <c r="V58" i="25"/>
  <c r="U58" i="25"/>
  <c r="T58" i="25"/>
  <c r="S58" i="25"/>
  <c r="R58" i="25"/>
  <c r="Q58" i="25"/>
  <c r="P58" i="25"/>
  <c r="O58" i="25"/>
  <c r="N58" i="25"/>
  <c r="M58" i="25"/>
  <c r="L58" i="25"/>
  <c r="K58" i="25"/>
  <c r="J58" i="25"/>
  <c r="I58" i="25"/>
  <c r="H58" i="25"/>
  <c r="G58" i="25"/>
  <c r="F58" i="25"/>
  <c r="E58" i="25"/>
  <c r="O57" i="25"/>
  <c r="E57" i="25"/>
  <c r="E56" i="25"/>
  <c r="E55" i="25"/>
  <c r="E54" i="25"/>
  <c r="W53" i="25"/>
  <c r="V53" i="25"/>
  <c r="U53" i="25"/>
  <c r="T53" i="25"/>
  <c r="S53" i="25"/>
  <c r="R53" i="25"/>
  <c r="Q53" i="25"/>
  <c r="P53" i="25"/>
  <c r="O53" i="25"/>
  <c r="N53" i="25"/>
  <c r="M53" i="25"/>
  <c r="L53" i="25"/>
  <c r="K53" i="25"/>
  <c r="J53" i="25"/>
  <c r="I53" i="25"/>
  <c r="H53" i="25"/>
  <c r="G53" i="25"/>
  <c r="F53" i="25"/>
  <c r="E53" i="25"/>
  <c r="E52" i="25"/>
  <c r="W50" i="25"/>
  <c r="V50" i="25"/>
  <c r="U50" i="25"/>
  <c r="T50" i="25"/>
  <c r="S50" i="25"/>
  <c r="R50" i="25"/>
  <c r="Q50" i="25"/>
  <c r="P50" i="25"/>
  <c r="O50" i="25"/>
  <c r="N50" i="25"/>
  <c r="M50" i="25"/>
  <c r="L50" i="25"/>
  <c r="K50" i="25"/>
  <c r="J50" i="25"/>
  <c r="I50" i="25"/>
  <c r="H50" i="25"/>
  <c r="G50" i="25"/>
  <c r="F50" i="25"/>
  <c r="E50" i="25"/>
  <c r="E49" i="25"/>
  <c r="E48" i="25"/>
  <c r="P47" i="25"/>
  <c r="E46" i="25"/>
  <c r="W45" i="25"/>
  <c r="V45" i="25"/>
  <c r="U45" i="25"/>
  <c r="T45" i="25"/>
  <c r="S45" i="25"/>
  <c r="R45" i="25"/>
  <c r="Q45" i="25"/>
  <c r="P45" i="25"/>
  <c r="O45" i="25"/>
  <c r="N45" i="25"/>
  <c r="M45" i="25"/>
  <c r="L45" i="25"/>
  <c r="K45" i="25"/>
  <c r="J45" i="25"/>
  <c r="I45" i="25"/>
  <c r="H45" i="25"/>
  <c r="G45" i="25"/>
  <c r="F45" i="25"/>
  <c r="E45" i="25"/>
  <c r="E44" i="25"/>
  <c r="R39" i="25"/>
  <c r="L39" i="25"/>
  <c r="P37" i="25"/>
  <c r="W36" i="25"/>
  <c r="L36" i="25"/>
  <c r="E35" i="25"/>
  <c r="W33" i="25"/>
  <c r="V33" i="25"/>
  <c r="U33" i="25"/>
  <c r="T33" i="25"/>
  <c r="S33" i="25"/>
  <c r="R33" i="25"/>
  <c r="Q33" i="25"/>
  <c r="P33" i="25"/>
  <c r="O33" i="25"/>
  <c r="N33" i="25"/>
  <c r="M33" i="25"/>
  <c r="L33" i="25"/>
  <c r="K33" i="25"/>
  <c r="J33" i="25"/>
  <c r="I33" i="25"/>
  <c r="H33" i="25"/>
  <c r="G33" i="25"/>
  <c r="F33" i="25"/>
  <c r="E33" i="25"/>
  <c r="W32" i="25"/>
  <c r="W39" i="25" s="1"/>
  <c r="V32" i="25"/>
  <c r="V87" i="25" s="1"/>
  <c r="U32" i="25"/>
  <c r="U87" i="25" s="1"/>
  <c r="T32" i="25"/>
  <c r="T87" i="25" s="1"/>
  <c r="S32" i="25"/>
  <c r="S87" i="25" s="1"/>
  <c r="R32" i="25"/>
  <c r="R87" i="25" s="1"/>
  <c r="Q32" i="25"/>
  <c r="Q87" i="25" s="1"/>
  <c r="P32" i="25"/>
  <c r="P87" i="25" s="1"/>
  <c r="O32" i="25"/>
  <c r="O87" i="25" s="1"/>
  <c r="N32" i="25"/>
  <c r="M32" i="25"/>
  <c r="M87" i="25" s="1"/>
  <c r="L32" i="25"/>
  <c r="L87" i="25" s="1"/>
  <c r="K32" i="25"/>
  <c r="K87" i="25" s="1"/>
  <c r="J32" i="25"/>
  <c r="J87" i="25" s="1"/>
  <c r="I32" i="25"/>
  <c r="I87" i="25" s="1"/>
  <c r="H32" i="25"/>
  <c r="G32" i="25"/>
  <c r="G87" i="25" s="1"/>
  <c r="F32" i="25"/>
  <c r="F87" i="25" s="1"/>
  <c r="E32" i="25"/>
  <c r="E87" i="25" s="1"/>
  <c r="W31" i="25"/>
  <c r="V31" i="25"/>
  <c r="U31" i="25"/>
  <c r="T31" i="25"/>
  <c r="T38" i="25" s="1"/>
  <c r="S31" i="25"/>
  <c r="R31" i="25"/>
  <c r="Q31" i="25"/>
  <c r="P31" i="25"/>
  <c r="O31" i="25"/>
  <c r="O38" i="25" s="1"/>
  <c r="N31" i="25"/>
  <c r="N70" i="25" s="1"/>
  <c r="M31" i="25"/>
  <c r="L31" i="25"/>
  <c r="K31" i="25"/>
  <c r="J31" i="25"/>
  <c r="I31" i="25"/>
  <c r="I38" i="25" s="1"/>
  <c r="H31" i="25"/>
  <c r="H70" i="25" s="1"/>
  <c r="G31" i="25"/>
  <c r="F31" i="25"/>
  <c r="F70" i="25" s="1"/>
  <c r="E31" i="25"/>
  <c r="E86" i="25" s="1"/>
  <c r="W30" i="25"/>
  <c r="V30" i="25"/>
  <c r="V56" i="25" s="1"/>
  <c r="T30" i="25"/>
  <c r="R30" i="25"/>
  <c r="P30" i="25"/>
  <c r="O30" i="25"/>
  <c r="N30" i="25"/>
  <c r="L30" i="25"/>
  <c r="J30" i="25"/>
  <c r="J85" i="25" s="1"/>
  <c r="I30" i="25"/>
  <c r="I48" i="25" s="1"/>
  <c r="H30" i="25"/>
  <c r="H48" i="25" s="1"/>
  <c r="G30" i="25"/>
  <c r="F30" i="25"/>
  <c r="E30" i="25"/>
  <c r="E85" i="25" s="1"/>
  <c r="W29" i="25"/>
  <c r="W84" i="25" s="1"/>
  <c r="V29" i="25"/>
  <c r="T29" i="25"/>
  <c r="R29" i="25"/>
  <c r="R60" i="25" s="1"/>
  <c r="P29" i="25"/>
  <c r="O29" i="25"/>
  <c r="N29" i="25"/>
  <c r="N52" i="25" s="1"/>
  <c r="L29" i="25"/>
  <c r="L60" i="25" s="1"/>
  <c r="J29" i="25"/>
  <c r="J44" i="25" s="1"/>
  <c r="I29" i="25"/>
  <c r="H29" i="25"/>
  <c r="G29" i="25"/>
  <c r="F29" i="25"/>
  <c r="F36" i="25" s="1"/>
  <c r="E29" i="25"/>
  <c r="E84" i="25" s="1"/>
  <c r="W28" i="25"/>
  <c r="V28" i="25"/>
  <c r="U28" i="25"/>
  <c r="T28" i="25"/>
  <c r="T35" i="25" s="1"/>
  <c r="S28" i="25"/>
  <c r="R28" i="25"/>
  <c r="Q28" i="25"/>
  <c r="P28" i="25"/>
  <c r="O28" i="25"/>
  <c r="N28" i="25"/>
  <c r="M28" i="25"/>
  <c r="L28" i="25"/>
  <c r="K28" i="25"/>
  <c r="J28" i="25"/>
  <c r="I28" i="25"/>
  <c r="I35" i="25" s="1"/>
  <c r="H28" i="25"/>
  <c r="H35" i="25" s="1"/>
  <c r="H23" i="25" s="1"/>
  <c r="G28" i="25"/>
  <c r="F28" i="25"/>
  <c r="E28" i="25"/>
  <c r="H25" i="25"/>
  <c r="H24" i="25"/>
  <c r="H21" i="25"/>
  <c r="W15" i="25"/>
  <c r="V15" i="25"/>
  <c r="U15" i="25"/>
  <c r="T15" i="25"/>
  <c r="S15" i="25"/>
  <c r="R15" i="25"/>
  <c r="Q15" i="25"/>
  <c r="P15" i="25"/>
  <c r="O15" i="25"/>
  <c r="N15" i="25"/>
  <c r="M15" i="25"/>
  <c r="L15" i="25"/>
  <c r="K15" i="25"/>
  <c r="J15" i="25"/>
  <c r="I15" i="25"/>
  <c r="H15" i="25"/>
  <c r="G15" i="25"/>
  <c r="F15" i="25"/>
  <c r="E15" i="25"/>
  <c r="K11" i="25"/>
  <c r="K35" i="25" s="1"/>
  <c r="M6" i="25"/>
  <c r="M29" i="25" s="1"/>
  <c r="Z3" i="25"/>
  <c r="Z4" i="25" s="1"/>
  <c r="M2" i="25"/>
  <c r="T48" i="25" l="1"/>
  <c r="N123" i="24"/>
  <c r="N124" i="24"/>
  <c r="P57" i="25"/>
  <c r="P97" i="25" s="1"/>
  <c r="R56" i="25"/>
  <c r="W87" i="25"/>
  <c r="F73" i="25"/>
  <c r="H38" i="25"/>
  <c r="H94" i="25" s="1"/>
  <c r="J37" i="25"/>
  <c r="N38" i="25"/>
  <c r="F39" i="25"/>
  <c r="F95" i="25" s="1"/>
  <c r="R49" i="25"/>
  <c r="M11" i="25"/>
  <c r="M35" i="25" s="1"/>
  <c r="N35" i="25" s="1"/>
  <c r="O48" i="25"/>
  <c r="R36" i="25"/>
  <c r="J61" i="25"/>
  <c r="O11" i="25"/>
  <c r="O35" i="25" s="1"/>
  <c r="P35" i="25" s="1"/>
  <c r="P44" i="25"/>
  <c r="Z6" i="25"/>
  <c r="F92" i="25"/>
  <c r="F35" i="25"/>
  <c r="W69" i="25"/>
  <c r="W65" i="25"/>
  <c r="W85" i="25"/>
  <c r="W61" i="25"/>
  <c r="W56" i="25"/>
  <c r="W48" i="25"/>
  <c r="W73" i="25"/>
  <c r="W37" i="25"/>
  <c r="J70" i="25"/>
  <c r="J86" i="25"/>
  <c r="J62" i="25"/>
  <c r="J38" i="25"/>
  <c r="P70" i="25"/>
  <c r="P86" i="25"/>
  <c r="P62" i="25"/>
  <c r="P38" i="25"/>
  <c r="U70" i="25"/>
  <c r="U86" i="25"/>
  <c r="U62" i="25"/>
  <c r="U38" i="25"/>
  <c r="H87" i="25"/>
  <c r="H39" i="25"/>
  <c r="H95" i="25" s="1"/>
  <c r="N87" i="25"/>
  <c r="N39" i="25"/>
  <c r="F64" i="25"/>
  <c r="L64" i="25"/>
  <c r="R64" i="25"/>
  <c r="W64" i="25"/>
  <c r="N48" i="25"/>
  <c r="W49" i="25"/>
  <c r="N84" i="25"/>
  <c r="N60" i="25"/>
  <c r="N57" i="25"/>
  <c r="N47" i="25"/>
  <c r="N95" i="25" s="1"/>
  <c r="N44" i="25"/>
  <c r="N92" i="25" s="1"/>
  <c r="N34" i="25"/>
  <c r="N72" i="25"/>
  <c r="N49" i="25"/>
  <c r="N36" i="25"/>
  <c r="P48" i="25"/>
  <c r="J34" i="25"/>
  <c r="R69" i="25"/>
  <c r="R65" i="25"/>
  <c r="R85" i="25"/>
  <c r="R61" i="25"/>
  <c r="R48" i="25"/>
  <c r="R73" i="25"/>
  <c r="R37" i="25"/>
  <c r="P34" i="25"/>
  <c r="N65" i="25"/>
  <c r="L98" i="25"/>
  <c r="L35" i="25"/>
  <c r="L93" i="25"/>
  <c r="M57" i="25"/>
  <c r="M84" i="25"/>
  <c r="M60" i="25"/>
  <c r="M52" i="25"/>
  <c r="M47" i="25"/>
  <c r="M44" i="25"/>
  <c r="M49" i="25"/>
  <c r="M36" i="25"/>
  <c r="M92" i="25" s="1"/>
  <c r="J98" i="25"/>
  <c r="J92" i="25"/>
  <c r="J97" i="25"/>
  <c r="J93" i="25"/>
  <c r="J35" i="25"/>
  <c r="P98" i="25"/>
  <c r="P93" i="25"/>
  <c r="U94" i="25"/>
  <c r="U35" i="25"/>
  <c r="H84" i="25"/>
  <c r="H60" i="25"/>
  <c r="H47" i="25"/>
  <c r="H44" i="25"/>
  <c r="H34" i="25"/>
  <c r="H72" i="25"/>
  <c r="H49" i="25"/>
  <c r="H36" i="25"/>
  <c r="H92" i="25" s="1"/>
  <c r="H57" i="25"/>
  <c r="F49" i="25"/>
  <c r="F69" i="25"/>
  <c r="F65" i="25"/>
  <c r="F85" i="25"/>
  <c r="F61" i="25"/>
  <c r="F48" i="25"/>
  <c r="F56" i="25"/>
  <c r="F37" i="25"/>
  <c r="F93" i="25" s="1"/>
  <c r="T128" i="25"/>
  <c r="O128" i="25"/>
  <c r="I128" i="25"/>
  <c r="N128" i="25"/>
  <c r="H128" i="25"/>
  <c r="S128" i="25"/>
  <c r="M128" i="25"/>
  <c r="G128" i="25"/>
  <c r="W128" i="25"/>
  <c r="R128" i="25"/>
  <c r="L128" i="25"/>
  <c r="F128" i="25"/>
  <c r="V128" i="25"/>
  <c r="Q128" i="25"/>
  <c r="K128" i="25"/>
  <c r="E128" i="25"/>
  <c r="J128" i="25"/>
  <c r="U128" i="25"/>
  <c r="P128" i="25"/>
  <c r="L69" i="25"/>
  <c r="L65" i="25"/>
  <c r="L85" i="25"/>
  <c r="L61" i="25"/>
  <c r="L48" i="25"/>
  <c r="L96" i="25" s="1"/>
  <c r="L37" i="25"/>
  <c r="L73" i="25"/>
  <c r="L56" i="25"/>
  <c r="J64" i="25"/>
  <c r="P64" i="25"/>
  <c r="L49" i="25"/>
  <c r="L97" i="25" s="1"/>
  <c r="H52" i="25"/>
  <c r="K95" i="25"/>
  <c r="Q94" i="25"/>
  <c r="I84" i="25"/>
  <c r="I60" i="25"/>
  <c r="I72" i="25"/>
  <c r="O84" i="25"/>
  <c r="O60" i="25"/>
  <c r="O72" i="25"/>
  <c r="T84" i="25"/>
  <c r="T60" i="25"/>
  <c r="T72" i="25"/>
  <c r="G69" i="25"/>
  <c r="G65" i="25"/>
  <c r="G85" i="25"/>
  <c r="G61" i="25"/>
  <c r="G73" i="25"/>
  <c r="K70" i="25"/>
  <c r="K86" i="25"/>
  <c r="K62" i="25"/>
  <c r="Q70" i="25"/>
  <c r="Q86" i="25"/>
  <c r="Q62" i="25"/>
  <c r="V70" i="25"/>
  <c r="V86" i="25"/>
  <c r="V62" i="25"/>
  <c r="G64" i="25"/>
  <c r="E34" i="25"/>
  <c r="V34" i="25"/>
  <c r="G36" i="25"/>
  <c r="G92" i="25" s="1"/>
  <c r="E37" i="25"/>
  <c r="E93" i="25" s="1"/>
  <c r="V37" i="25"/>
  <c r="V93" i="25" s="1"/>
  <c r="G39" i="25"/>
  <c r="G95" i="25" s="1"/>
  <c r="M39" i="25"/>
  <c r="S39" i="25"/>
  <c r="V44" i="25"/>
  <c r="E47" i="25"/>
  <c r="G49" i="25"/>
  <c r="I52" i="25"/>
  <c r="O52" i="25"/>
  <c r="T52" i="25"/>
  <c r="P61" i="25"/>
  <c r="R84" i="25"/>
  <c r="N86" i="25"/>
  <c r="R97" i="25"/>
  <c r="R96" i="25"/>
  <c r="R98" i="25"/>
  <c r="R93" i="25"/>
  <c r="W93" i="25"/>
  <c r="W92" i="25"/>
  <c r="W95" i="25"/>
  <c r="J84" i="25"/>
  <c r="J60" i="25"/>
  <c r="J72" i="25"/>
  <c r="P84" i="25"/>
  <c r="P60" i="25"/>
  <c r="P72" i="25"/>
  <c r="H85" i="25"/>
  <c r="H61" i="25"/>
  <c r="H73" i="25"/>
  <c r="N85" i="25"/>
  <c r="N61" i="25"/>
  <c r="N73" i="25"/>
  <c r="F86" i="25"/>
  <c r="F62" i="25"/>
  <c r="L86" i="25"/>
  <c r="L62" i="25"/>
  <c r="R86" i="25"/>
  <c r="R62" i="25"/>
  <c r="W86" i="25"/>
  <c r="W62" i="25"/>
  <c r="H64" i="25"/>
  <c r="N64" i="25"/>
  <c r="F34" i="25"/>
  <c r="L34" i="25"/>
  <c r="R34" i="25"/>
  <c r="W34" i="25"/>
  <c r="F44" i="25"/>
  <c r="L44" i="25"/>
  <c r="L92" i="25" s="1"/>
  <c r="R44" i="25"/>
  <c r="R92" i="25" s="1"/>
  <c r="W44" i="25"/>
  <c r="L47" i="25"/>
  <c r="L95" i="25" s="1"/>
  <c r="R47" i="25"/>
  <c r="R95" i="25" s="1"/>
  <c r="J48" i="25"/>
  <c r="J52" i="25"/>
  <c r="P52" i="25"/>
  <c r="P92" i="25" s="1"/>
  <c r="I57" i="25"/>
  <c r="T57" i="25"/>
  <c r="L70" i="25"/>
  <c r="M95" i="25"/>
  <c r="S95" i="25"/>
  <c r="V84" i="25"/>
  <c r="V60" i="25"/>
  <c r="V72" i="25"/>
  <c r="V57" i="25"/>
  <c r="I85" i="25"/>
  <c r="I61" i="25"/>
  <c r="I73" i="25"/>
  <c r="I56" i="25"/>
  <c r="I69" i="25"/>
  <c r="I65" i="25"/>
  <c r="O85" i="25"/>
  <c r="O61" i="25"/>
  <c r="O73" i="25"/>
  <c r="O56" i="25"/>
  <c r="O69" i="25"/>
  <c r="O65" i="25"/>
  <c r="T85" i="25"/>
  <c r="T61" i="25"/>
  <c r="T73" i="25"/>
  <c r="T56" i="25"/>
  <c r="T69" i="25"/>
  <c r="T65" i="25"/>
  <c r="G86" i="25"/>
  <c r="G62" i="25"/>
  <c r="G70" i="25"/>
  <c r="M86" i="25"/>
  <c r="M62" i="25"/>
  <c r="M70" i="25"/>
  <c r="S86" i="25"/>
  <c r="S62" i="25"/>
  <c r="S70" i="25"/>
  <c r="I64" i="25"/>
  <c r="O64" i="25"/>
  <c r="T64" i="25"/>
  <c r="G34" i="25"/>
  <c r="V35" i="25"/>
  <c r="I36" i="25"/>
  <c r="I92" i="25" s="1"/>
  <c r="O36" i="25"/>
  <c r="T36" i="25"/>
  <c r="T92" i="25" s="1"/>
  <c r="G37" i="25"/>
  <c r="G93" i="25" s="1"/>
  <c r="E38" i="25"/>
  <c r="E94" i="25" s="1"/>
  <c r="K38" i="25"/>
  <c r="K94" i="25" s="1"/>
  <c r="Q38" i="25"/>
  <c r="V38" i="25"/>
  <c r="V94" i="25" s="1"/>
  <c r="I39" i="25"/>
  <c r="O39" i="25"/>
  <c r="T39" i="25"/>
  <c r="G44" i="25"/>
  <c r="V48" i="25"/>
  <c r="I49" i="25"/>
  <c r="O49" i="25"/>
  <c r="T49" i="25"/>
  <c r="V52" i="25"/>
  <c r="G56" i="25"/>
  <c r="N56" i="25"/>
  <c r="J57" i="25"/>
  <c r="H69" i="25"/>
  <c r="R70" i="25"/>
  <c r="N96" i="25"/>
  <c r="N93" i="25"/>
  <c r="N98" i="25"/>
  <c r="N97" i="25"/>
  <c r="F72" i="25"/>
  <c r="F57" i="25"/>
  <c r="L72" i="25"/>
  <c r="L57" i="25"/>
  <c r="R72" i="25"/>
  <c r="R57" i="25"/>
  <c r="W72" i="25"/>
  <c r="W57" i="25"/>
  <c r="J73" i="25"/>
  <c r="J69" i="25"/>
  <c r="J65" i="25"/>
  <c r="P73" i="25"/>
  <c r="P69" i="25"/>
  <c r="P65" i="25"/>
  <c r="W35" i="25"/>
  <c r="J36" i="25"/>
  <c r="P36" i="25"/>
  <c r="H37" i="25"/>
  <c r="H93" i="25" s="1"/>
  <c r="N37" i="25"/>
  <c r="F38" i="25"/>
  <c r="F94" i="25" s="1"/>
  <c r="L38" i="25"/>
  <c r="R38" i="25"/>
  <c r="W38" i="25"/>
  <c r="W94" i="25" s="1"/>
  <c r="J39" i="25"/>
  <c r="P39" i="25"/>
  <c r="U39" i="25"/>
  <c r="U95" i="25" s="1"/>
  <c r="J49" i="25"/>
  <c r="P49" i="25"/>
  <c r="F52" i="25"/>
  <c r="L52" i="25"/>
  <c r="R52" i="25"/>
  <c r="W52" i="25"/>
  <c r="H56" i="25"/>
  <c r="P56" i="25"/>
  <c r="P96" i="25" s="1"/>
  <c r="P14" i="25" s="1"/>
  <c r="W60" i="25"/>
  <c r="H62" i="25"/>
  <c r="N69" i="25"/>
  <c r="W70" i="25"/>
  <c r="P85" i="25"/>
  <c r="I95" i="25"/>
  <c r="I94" i="25"/>
  <c r="O95" i="25"/>
  <c r="O92" i="25"/>
  <c r="O94" i="25"/>
  <c r="T95" i="25"/>
  <c r="T94" i="25"/>
  <c r="G72" i="25"/>
  <c r="G57" i="25"/>
  <c r="G84" i="25"/>
  <c r="G60" i="25"/>
  <c r="V73" i="25"/>
  <c r="V69" i="25"/>
  <c r="V65" i="25"/>
  <c r="V85" i="25"/>
  <c r="V61" i="25"/>
  <c r="I70" i="25"/>
  <c r="I86" i="25"/>
  <c r="I62" i="25"/>
  <c r="O70" i="25"/>
  <c r="O86" i="25"/>
  <c r="O62" i="25"/>
  <c r="T70" i="25"/>
  <c r="T86" i="25"/>
  <c r="T62" i="25"/>
  <c r="V64" i="25"/>
  <c r="I34" i="25"/>
  <c r="O34" i="25"/>
  <c r="T34" i="25"/>
  <c r="G35" i="25"/>
  <c r="E36" i="25"/>
  <c r="E92" i="25" s="1"/>
  <c r="V36" i="25"/>
  <c r="V92" i="25" s="1"/>
  <c r="I37" i="25"/>
  <c r="I93" i="25" s="1"/>
  <c r="O37" i="25"/>
  <c r="O93" i="25" s="1"/>
  <c r="T37" i="25"/>
  <c r="T93" i="25" s="1"/>
  <c r="G38" i="25"/>
  <c r="G94" i="25" s="1"/>
  <c r="M38" i="25"/>
  <c r="M94" i="25" s="1"/>
  <c r="S38" i="25"/>
  <c r="S94" i="25" s="1"/>
  <c r="E39" i="25"/>
  <c r="E95" i="25" s="1"/>
  <c r="K39" i="25"/>
  <c r="Q39" i="25"/>
  <c r="Q95" i="25" s="1"/>
  <c r="V39" i="25"/>
  <c r="V95" i="25" s="1"/>
  <c r="I44" i="25"/>
  <c r="O44" i="25"/>
  <c r="T44" i="25"/>
  <c r="I47" i="25"/>
  <c r="O47" i="25"/>
  <c r="G48" i="25"/>
  <c r="V49" i="25"/>
  <c r="G52" i="25"/>
  <c r="J56" i="25"/>
  <c r="N62" i="25"/>
  <c r="H65" i="25"/>
  <c r="F84" i="25"/>
  <c r="C164" i="24"/>
  <c r="C166" i="24" s="1"/>
  <c r="C168" i="24" s="1"/>
  <c r="C170" i="24" s="1"/>
  <c r="C172" i="24" s="1"/>
  <c r="C174" i="24" s="1"/>
  <c r="C176" i="24" s="1"/>
  <c r="C178" i="24" s="1"/>
  <c r="C180" i="24" s="1"/>
  <c r="V158" i="24"/>
  <c r="X157" i="24"/>
  <c r="X158" i="24" s="1"/>
  <c r="W157" i="24"/>
  <c r="W158" i="24" s="1"/>
  <c r="V157" i="24"/>
  <c r="U157" i="24"/>
  <c r="U158" i="24" s="1"/>
  <c r="T157" i="24"/>
  <c r="T158" i="24" s="1"/>
  <c r="S157" i="24"/>
  <c r="S158" i="24" s="1"/>
  <c r="R157" i="24"/>
  <c r="R158" i="24" s="1"/>
  <c r="Q157" i="24"/>
  <c r="Q158" i="24" s="1"/>
  <c r="P157" i="24"/>
  <c r="P158" i="24" s="1"/>
  <c r="O157" i="24"/>
  <c r="O158" i="24" s="1"/>
  <c r="M157" i="24"/>
  <c r="M158" i="24" s="1"/>
  <c r="L157" i="24"/>
  <c r="L158" i="24" s="1"/>
  <c r="K157" i="24"/>
  <c r="K158" i="24" s="1"/>
  <c r="J157" i="24"/>
  <c r="J158" i="24" s="1"/>
  <c r="I157" i="24"/>
  <c r="I158" i="24" s="1"/>
  <c r="H157" i="24"/>
  <c r="H158" i="24" s="1"/>
  <c r="G157" i="24"/>
  <c r="G158" i="24" s="1"/>
  <c r="F157" i="24"/>
  <c r="F158" i="24" s="1"/>
  <c r="E157" i="24"/>
  <c r="E158" i="24" s="1"/>
  <c r="X144" i="24"/>
  <c r="W144" i="24"/>
  <c r="V144" i="24"/>
  <c r="U144" i="24"/>
  <c r="T144" i="24"/>
  <c r="S144" i="24"/>
  <c r="R144" i="24"/>
  <c r="Q144" i="24"/>
  <c r="P144" i="24"/>
  <c r="O144" i="24"/>
  <c r="M144" i="24"/>
  <c r="L144" i="24"/>
  <c r="K144" i="24"/>
  <c r="J144" i="24"/>
  <c r="I144" i="24"/>
  <c r="H144" i="24"/>
  <c r="G144" i="24"/>
  <c r="F144" i="24"/>
  <c r="E144" i="24"/>
  <c r="X127" i="24"/>
  <c r="W127" i="24"/>
  <c r="V127" i="24"/>
  <c r="U127" i="24"/>
  <c r="T127" i="24"/>
  <c r="S127" i="24"/>
  <c r="R127" i="24"/>
  <c r="Q127" i="24"/>
  <c r="P127" i="24"/>
  <c r="O127" i="24"/>
  <c r="M127" i="24"/>
  <c r="L127" i="24"/>
  <c r="K127" i="24"/>
  <c r="J127" i="24"/>
  <c r="I127" i="24"/>
  <c r="H127" i="24"/>
  <c r="G127" i="24"/>
  <c r="F127" i="24"/>
  <c r="E127" i="24"/>
  <c r="E90" i="24"/>
  <c r="E89" i="24"/>
  <c r="E88" i="24"/>
  <c r="X82" i="24"/>
  <c r="W82" i="24"/>
  <c r="V82" i="24"/>
  <c r="U82" i="24"/>
  <c r="T82" i="24"/>
  <c r="S82" i="24"/>
  <c r="R82" i="24"/>
  <c r="Q82" i="24"/>
  <c r="P82" i="24"/>
  <c r="O82" i="24"/>
  <c r="M82" i="24"/>
  <c r="L82" i="24"/>
  <c r="K82" i="24"/>
  <c r="J82" i="24"/>
  <c r="I82" i="24"/>
  <c r="H82" i="24"/>
  <c r="G82" i="24"/>
  <c r="F82" i="24"/>
  <c r="E82" i="24"/>
  <c r="X81" i="24"/>
  <c r="W81" i="24"/>
  <c r="V81" i="24"/>
  <c r="U81" i="24"/>
  <c r="T81" i="24"/>
  <c r="S81" i="24"/>
  <c r="R81" i="24"/>
  <c r="Q81" i="24"/>
  <c r="P81" i="24"/>
  <c r="O81" i="24"/>
  <c r="M81" i="24"/>
  <c r="L81" i="24"/>
  <c r="K81" i="24"/>
  <c r="J81" i="24"/>
  <c r="I81" i="24"/>
  <c r="H81" i="24"/>
  <c r="G81" i="24"/>
  <c r="F81" i="24"/>
  <c r="E81" i="24"/>
  <c r="F80" i="24"/>
  <c r="E80" i="24"/>
  <c r="F79" i="24"/>
  <c r="E79" i="24"/>
  <c r="F78" i="24"/>
  <c r="E78" i="24"/>
  <c r="X77" i="24"/>
  <c r="W77" i="24"/>
  <c r="V77" i="24"/>
  <c r="U77" i="24"/>
  <c r="T77" i="24"/>
  <c r="S77" i="24"/>
  <c r="R77" i="24"/>
  <c r="Q77" i="24"/>
  <c r="P77" i="24"/>
  <c r="O77" i="24"/>
  <c r="M77" i="24"/>
  <c r="L77" i="24"/>
  <c r="K77" i="24"/>
  <c r="J77" i="24"/>
  <c r="I77" i="24"/>
  <c r="H77" i="24"/>
  <c r="G77" i="24"/>
  <c r="F77" i="24"/>
  <c r="E77" i="24"/>
  <c r="X76" i="24"/>
  <c r="W76" i="24"/>
  <c r="V76" i="24"/>
  <c r="U76" i="24"/>
  <c r="T76" i="24"/>
  <c r="S76" i="24"/>
  <c r="R76" i="24"/>
  <c r="Q76" i="24"/>
  <c r="P76" i="24"/>
  <c r="O76" i="24"/>
  <c r="M76" i="24"/>
  <c r="L76" i="24"/>
  <c r="K76" i="24"/>
  <c r="J76" i="24"/>
  <c r="I76" i="24"/>
  <c r="H76" i="24"/>
  <c r="G76" i="24"/>
  <c r="F76" i="24"/>
  <c r="E76" i="24"/>
  <c r="X74" i="24"/>
  <c r="W74" i="24"/>
  <c r="V74" i="24"/>
  <c r="U74" i="24"/>
  <c r="T74" i="24"/>
  <c r="S74" i="24"/>
  <c r="R74" i="24"/>
  <c r="Q74" i="24"/>
  <c r="P74" i="24"/>
  <c r="O74" i="24"/>
  <c r="M74" i="24"/>
  <c r="L74" i="24"/>
  <c r="K74" i="24"/>
  <c r="J74" i="24"/>
  <c r="I74" i="24"/>
  <c r="H74" i="24"/>
  <c r="G74" i="24"/>
  <c r="F74" i="24"/>
  <c r="E74" i="24"/>
  <c r="E73" i="24"/>
  <c r="E72" i="24"/>
  <c r="X71" i="24"/>
  <c r="W71" i="24"/>
  <c r="V71" i="24"/>
  <c r="U71" i="24"/>
  <c r="T71" i="24"/>
  <c r="S71" i="24"/>
  <c r="R71" i="24"/>
  <c r="Q71" i="24"/>
  <c r="P71" i="24"/>
  <c r="O71" i="24"/>
  <c r="M71" i="24"/>
  <c r="L71" i="24"/>
  <c r="K71" i="24"/>
  <c r="J71" i="24"/>
  <c r="I71" i="24"/>
  <c r="H71" i="24"/>
  <c r="G71" i="24"/>
  <c r="F71" i="24"/>
  <c r="E71" i="24"/>
  <c r="E70" i="24"/>
  <c r="E69" i="24"/>
  <c r="E68" i="24"/>
  <c r="X66" i="24"/>
  <c r="W66" i="24"/>
  <c r="V66" i="24"/>
  <c r="U66" i="24"/>
  <c r="T66" i="24"/>
  <c r="S66" i="24"/>
  <c r="R66" i="24"/>
  <c r="Q66" i="24"/>
  <c r="P66" i="24"/>
  <c r="O66" i="24"/>
  <c r="M66" i="24"/>
  <c r="L66" i="24"/>
  <c r="K66" i="24"/>
  <c r="J66" i="24"/>
  <c r="I66" i="24"/>
  <c r="H66" i="24"/>
  <c r="G66" i="24"/>
  <c r="F66" i="24"/>
  <c r="E66" i="24"/>
  <c r="E65" i="24"/>
  <c r="E64" i="24"/>
  <c r="E63" i="24"/>
  <c r="E62" i="24"/>
  <c r="E61" i="24"/>
  <c r="E60" i="24"/>
  <c r="X58" i="24"/>
  <c r="W58" i="24"/>
  <c r="V58" i="24"/>
  <c r="U58" i="24"/>
  <c r="T58" i="24"/>
  <c r="S58" i="24"/>
  <c r="R58" i="24"/>
  <c r="Q58" i="24"/>
  <c r="P58" i="24"/>
  <c r="O58" i="24"/>
  <c r="M58" i="24"/>
  <c r="L58" i="24"/>
  <c r="K58" i="24"/>
  <c r="J58" i="24"/>
  <c r="I58" i="24"/>
  <c r="H58" i="24"/>
  <c r="G58" i="24"/>
  <c r="F58" i="24"/>
  <c r="E58" i="24"/>
  <c r="E57" i="24"/>
  <c r="E56" i="24"/>
  <c r="E55" i="24"/>
  <c r="E54" i="24"/>
  <c r="X53" i="24"/>
  <c r="W53" i="24"/>
  <c r="V53" i="24"/>
  <c r="U53" i="24"/>
  <c r="T53" i="24"/>
  <c r="S53" i="24"/>
  <c r="R53" i="24"/>
  <c r="Q53" i="24"/>
  <c r="P53" i="24"/>
  <c r="O53" i="24"/>
  <c r="M53" i="24"/>
  <c r="L53" i="24"/>
  <c r="K53" i="24"/>
  <c r="J53" i="24"/>
  <c r="I53" i="24"/>
  <c r="H53" i="24"/>
  <c r="G53" i="24"/>
  <c r="F53" i="24"/>
  <c r="E53" i="24"/>
  <c r="E52" i="24"/>
  <c r="X50" i="24"/>
  <c r="W50" i="24"/>
  <c r="V50" i="24"/>
  <c r="U50" i="24"/>
  <c r="T50" i="24"/>
  <c r="S50" i="24"/>
  <c r="R50" i="24"/>
  <c r="Q50" i="24"/>
  <c r="P50" i="24"/>
  <c r="O50" i="24"/>
  <c r="M50" i="24"/>
  <c r="L50" i="24"/>
  <c r="K50" i="24"/>
  <c r="J50" i="24"/>
  <c r="I50" i="24"/>
  <c r="H50" i="24"/>
  <c r="G50" i="24"/>
  <c r="F50" i="24"/>
  <c r="E50" i="24"/>
  <c r="E49" i="24"/>
  <c r="E48" i="24"/>
  <c r="E46" i="24"/>
  <c r="X45" i="24"/>
  <c r="W45" i="24"/>
  <c r="V45" i="24"/>
  <c r="U45" i="24"/>
  <c r="T45" i="24"/>
  <c r="S45" i="24"/>
  <c r="R45" i="24"/>
  <c r="Q45" i="24"/>
  <c r="P45" i="24"/>
  <c r="O45" i="24"/>
  <c r="M45" i="24"/>
  <c r="L45" i="24"/>
  <c r="K45" i="24"/>
  <c r="J45" i="24"/>
  <c r="I45" i="24"/>
  <c r="H45" i="24"/>
  <c r="G45" i="24"/>
  <c r="F45" i="24"/>
  <c r="E45" i="24"/>
  <c r="E44" i="24"/>
  <c r="E35" i="24"/>
  <c r="X33" i="24"/>
  <c r="W33" i="24"/>
  <c r="V33" i="24"/>
  <c r="U33" i="24"/>
  <c r="T33" i="24"/>
  <c r="S33" i="24"/>
  <c r="R33" i="24"/>
  <c r="Q33" i="24"/>
  <c r="P33" i="24"/>
  <c r="O33" i="24"/>
  <c r="M33" i="24"/>
  <c r="L33" i="24"/>
  <c r="K33" i="24"/>
  <c r="J33" i="24"/>
  <c r="I33" i="24"/>
  <c r="H33" i="24"/>
  <c r="G33" i="24"/>
  <c r="F33" i="24"/>
  <c r="E33" i="24"/>
  <c r="X32" i="24"/>
  <c r="W32" i="24"/>
  <c r="W87" i="24" s="1"/>
  <c r="V32" i="24"/>
  <c r="V87" i="24" s="1"/>
  <c r="U32" i="24"/>
  <c r="U87" i="24" s="1"/>
  <c r="T32" i="24"/>
  <c r="T87" i="24" s="1"/>
  <c r="S32" i="24"/>
  <c r="S87" i="24" s="1"/>
  <c r="R32" i="24"/>
  <c r="R87" i="24" s="1"/>
  <c r="Q32" i="24"/>
  <c r="Q87" i="24" s="1"/>
  <c r="P32" i="24"/>
  <c r="P87" i="24" s="1"/>
  <c r="O32" i="24"/>
  <c r="O39" i="24" s="1"/>
  <c r="M32" i="24"/>
  <c r="M87" i="24" s="1"/>
  <c r="L32" i="24"/>
  <c r="L87" i="24" s="1"/>
  <c r="K32" i="24"/>
  <c r="K87" i="24" s="1"/>
  <c r="J32" i="24"/>
  <c r="J87" i="24" s="1"/>
  <c r="I32" i="24"/>
  <c r="I39" i="24" s="1"/>
  <c r="H32" i="24"/>
  <c r="H39" i="24" s="1"/>
  <c r="G32" i="24"/>
  <c r="G87" i="24" s="1"/>
  <c r="F32" i="24"/>
  <c r="F87" i="24" s="1"/>
  <c r="E32" i="24"/>
  <c r="E87" i="24" s="1"/>
  <c r="X31" i="24"/>
  <c r="X70" i="24" s="1"/>
  <c r="W31" i="24"/>
  <c r="W70" i="24" s="1"/>
  <c r="V31" i="24"/>
  <c r="V86" i="24" s="1"/>
  <c r="U31" i="24"/>
  <c r="U38" i="24" s="1"/>
  <c r="T31" i="24"/>
  <c r="T38" i="24" s="1"/>
  <c r="S31" i="24"/>
  <c r="S62" i="24" s="1"/>
  <c r="R31" i="24"/>
  <c r="R38" i="24" s="1"/>
  <c r="Q31" i="24"/>
  <c r="P31" i="24"/>
  <c r="O31" i="24"/>
  <c r="O38" i="24" s="1"/>
  <c r="M31" i="24"/>
  <c r="M62" i="24" s="1"/>
  <c r="L31" i="24"/>
  <c r="L38" i="24" s="1"/>
  <c r="K31" i="24"/>
  <c r="J31" i="24"/>
  <c r="I31" i="24"/>
  <c r="H31" i="24"/>
  <c r="H70" i="24" s="1"/>
  <c r="G31" i="24"/>
  <c r="G70" i="24" s="1"/>
  <c r="F31" i="24"/>
  <c r="F70" i="24" s="1"/>
  <c r="E31" i="24"/>
  <c r="E86" i="24" s="1"/>
  <c r="X30" i="24"/>
  <c r="W30" i="24"/>
  <c r="W37" i="24" s="1"/>
  <c r="V30" i="24"/>
  <c r="U30" i="24"/>
  <c r="R30" i="24"/>
  <c r="L30" i="24"/>
  <c r="J30" i="24"/>
  <c r="J85" i="24" s="1"/>
  <c r="I30" i="24"/>
  <c r="I61" i="24" s="1"/>
  <c r="H30" i="24"/>
  <c r="G30" i="24"/>
  <c r="G69" i="24" s="1"/>
  <c r="F30" i="24"/>
  <c r="E30" i="24"/>
  <c r="E85" i="24" s="1"/>
  <c r="X29" i="24"/>
  <c r="W29" i="24"/>
  <c r="W36" i="24" s="1"/>
  <c r="V29" i="24"/>
  <c r="U29" i="24"/>
  <c r="R29" i="24"/>
  <c r="L29" i="24"/>
  <c r="J29" i="24"/>
  <c r="J36" i="24" s="1"/>
  <c r="I29" i="24"/>
  <c r="H29" i="24"/>
  <c r="H47" i="24" s="1"/>
  <c r="G29" i="24"/>
  <c r="F29" i="24"/>
  <c r="E29" i="24"/>
  <c r="X28" i="24"/>
  <c r="X35" i="24" s="1"/>
  <c r="W28" i="24"/>
  <c r="V28" i="24"/>
  <c r="U28" i="24"/>
  <c r="T28" i="24"/>
  <c r="S28" i="24"/>
  <c r="R28" i="24"/>
  <c r="Q28" i="24"/>
  <c r="P28" i="24"/>
  <c r="O28" i="24"/>
  <c r="O35" i="24" s="1"/>
  <c r="M28" i="24"/>
  <c r="L28" i="24"/>
  <c r="K28" i="24"/>
  <c r="J28" i="24"/>
  <c r="I28" i="24"/>
  <c r="H28" i="24"/>
  <c r="H35" i="24" s="1"/>
  <c r="G28" i="24"/>
  <c r="G35" i="24" s="1"/>
  <c r="F28" i="24"/>
  <c r="F35" i="24" s="1"/>
  <c r="E28" i="24"/>
  <c r="H21" i="24"/>
  <c r="R15" i="24"/>
  <c r="Q15" i="24"/>
  <c r="P15" i="24"/>
  <c r="O15" i="24"/>
  <c r="M15" i="24"/>
  <c r="L15" i="24"/>
  <c r="K15" i="24"/>
  <c r="J15" i="24"/>
  <c r="I15" i="24"/>
  <c r="H15" i="24"/>
  <c r="G15" i="24"/>
  <c r="F15" i="24"/>
  <c r="E15" i="24"/>
  <c r="K11" i="24"/>
  <c r="K35" i="24" s="1"/>
  <c r="AA3" i="24"/>
  <c r="AA4" i="24" s="1"/>
  <c r="M2" i="24"/>
  <c r="N128" i="24" l="1"/>
  <c r="N125" i="24"/>
  <c r="N129" i="24"/>
  <c r="N131" i="24"/>
  <c r="N132" i="24"/>
  <c r="E47" i="24"/>
  <c r="F73" i="24"/>
  <c r="I57" i="24"/>
  <c r="E39" i="24"/>
  <c r="E95" i="24" s="1"/>
  <c r="M11" i="24"/>
  <c r="M35" i="24" s="1"/>
  <c r="L14" i="25"/>
  <c r="L21" i="25" s="1"/>
  <c r="N14" i="25"/>
  <c r="Q11" i="25"/>
  <c r="Q35" i="25" s="1"/>
  <c r="R35" i="25" s="1"/>
  <c r="X73" i="24"/>
  <c r="H142" i="25"/>
  <c r="H146" i="25" s="1"/>
  <c r="H134" i="25"/>
  <c r="H138" i="25" s="1"/>
  <c r="H141" i="25"/>
  <c r="H135" i="25"/>
  <c r="W124" i="25"/>
  <c r="W123" i="25"/>
  <c r="G142" i="25"/>
  <c r="G146" i="25" s="1"/>
  <c r="G135" i="25"/>
  <c r="G134" i="25"/>
  <c r="G138" i="25" s="1"/>
  <c r="G141" i="25"/>
  <c r="L118" i="25"/>
  <c r="L117" i="25"/>
  <c r="L110" i="25"/>
  <c r="L109" i="25"/>
  <c r="T142" i="25"/>
  <c r="T146" i="25" s="1"/>
  <c r="T135" i="25"/>
  <c r="T141" i="25"/>
  <c r="T134" i="25"/>
  <c r="T138" i="25" s="1"/>
  <c r="O142" i="25"/>
  <c r="O146" i="25" s="1"/>
  <c r="O135" i="25"/>
  <c r="O141" i="25"/>
  <c r="O134" i="25"/>
  <c r="O138" i="25" s="1"/>
  <c r="E123" i="25"/>
  <c r="E124" i="25"/>
  <c r="I142" i="25"/>
  <c r="I146" i="25" s="1"/>
  <c r="I135" i="25"/>
  <c r="I141" i="25"/>
  <c r="I134" i="25"/>
  <c r="I138" i="25" s="1"/>
  <c r="V123" i="25"/>
  <c r="V124" i="25"/>
  <c r="F141" i="25"/>
  <c r="F135" i="25"/>
  <c r="F142" i="25"/>
  <c r="F146" i="25" s="1"/>
  <c r="F134" i="25"/>
  <c r="F138" i="25" s="1"/>
  <c r="S124" i="25"/>
  <c r="S123" i="25"/>
  <c r="V118" i="25"/>
  <c r="V117" i="25"/>
  <c r="V110" i="25"/>
  <c r="V103" i="25"/>
  <c r="V109" i="25"/>
  <c r="V102" i="25"/>
  <c r="F124" i="25"/>
  <c r="F123" i="25"/>
  <c r="H118" i="25"/>
  <c r="H109" i="25"/>
  <c r="H102" i="25"/>
  <c r="H103" i="25"/>
  <c r="H117" i="25"/>
  <c r="H110" i="25"/>
  <c r="E141" i="25"/>
  <c r="E134" i="25"/>
  <c r="E138" i="25" s="1"/>
  <c r="E135" i="25"/>
  <c r="E142" i="25"/>
  <c r="E146" i="25" s="1"/>
  <c r="M124" i="25"/>
  <c r="M123" i="25"/>
  <c r="E118" i="25"/>
  <c r="E117" i="25"/>
  <c r="E110" i="25"/>
  <c r="E103" i="25"/>
  <c r="E109" i="25"/>
  <c r="E102" i="25"/>
  <c r="K123" i="25"/>
  <c r="K124" i="25"/>
  <c r="P118" i="25"/>
  <c r="P117" i="25"/>
  <c r="H124" i="25"/>
  <c r="H123" i="25"/>
  <c r="O88" i="25"/>
  <c r="O90" i="25"/>
  <c r="O80" i="25"/>
  <c r="O89" i="25"/>
  <c r="O40" i="25"/>
  <c r="O96" i="25" s="1"/>
  <c r="O42" i="25"/>
  <c r="O98" i="25" s="1"/>
  <c r="O41" i="25"/>
  <c r="O97" i="25" s="1"/>
  <c r="N21" i="25"/>
  <c r="N23" i="25"/>
  <c r="G118" i="25"/>
  <c r="G117" i="25"/>
  <c r="G110" i="25"/>
  <c r="G103" i="25"/>
  <c r="G109" i="25"/>
  <c r="G102" i="25"/>
  <c r="R90" i="25"/>
  <c r="R89" i="25"/>
  <c r="R88" i="25"/>
  <c r="R80" i="25"/>
  <c r="R41" i="25"/>
  <c r="R40" i="25"/>
  <c r="R42" i="25"/>
  <c r="W118" i="25"/>
  <c r="W117" i="25"/>
  <c r="W110" i="25"/>
  <c r="W103" i="25"/>
  <c r="W109" i="25"/>
  <c r="W102" i="25"/>
  <c r="V141" i="25"/>
  <c r="V134" i="25"/>
  <c r="V138" i="25" s="1"/>
  <c r="V135" i="25"/>
  <c r="V142" i="25"/>
  <c r="V146" i="25" s="1"/>
  <c r="U123" i="25"/>
  <c r="U124" i="25"/>
  <c r="T89" i="25"/>
  <c r="T88" i="25"/>
  <c r="T80" i="25"/>
  <c r="T90" i="25"/>
  <c r="T40" i="25"/>
  <c r="T96" i="25" s="1"/>
  <c r="T42" i="25"/>
  <c r="T98" i="25" s="1"/>
  <c r="T41" i="25"/>
  <c r="T97" i="25" s="1"/>
  <c r="G90" i="25"/>
  <c r="G89" i="25"/>
  <c r="G88" i="25"/>
  <c r="G80" i="25"/>
  <c r="G41" i="25"/>
  <c r="G97" i="25" s="1"/>
  <c r="G40" i="25"/>
  <c r="G96" i="25" s="1"/>
  <c r="G42" i="25"/>
  <c r="G98" i="25" s="1"/>
  <c r="P23" i="25"/>
  <c r="P21" i="25"/>
  <c r="I88" i="25"/>
  <c r="I80" i="25"/>
  <c r="I89" i="25"/>
  <c r="I40" i="25"/>
  <c r="I96" i="25" s="1"/>
  <c r="I90" i="25"/>
  <c r="I42" i="25"/>
  <c r="I98" i="25" s="1"/>
  <c r="I41" i="25"/>
  <c r="I97" i="25" s="1"/>
  <c r="O117" i="25"/>
  <c r="O118" i="25"/>
  <c r="O109" i="25"/>
  <c r="O102" i="25"/>
  <c r="O110" i="25"/>
  <c r="O103" i="25"/>
  <c r="M110" i="25"/>
  <c r="M103" i="25"/>
  <c r="M109" i="25"/>
  <c r="M102" i="25"/>
  <c r="L90" i="25"/>
  <c r="L89" i="25"/>
  <c r="L88" i="25"/>
  <c r="L80" i="25"/>
  <c r="L41" i="25"/>
  <c r="L40" i="25"/>
  <c r="L42" i="25"/>
  <c r="W141" i="25"/>
  <c r="W135" i="25"/>
  <c r="W134" i="25"/>
  <c r="W138" i="25" s="1"/>
  <c r="W142" i="25"/>
  <c r="W146" i="25" s="1"/>
  <c r="R142" i="25"/>
  <c r="R146" i="25" s="1"/>
  <c r="R141" i="25"/>
  <c r="V90" i="25"/>
  <c r="V80" i="25"/>
  <c r="V89" i="25"/>
  <c r="V88" i="25"/>
  <c r="V42" i="25"/>
  <c r="V98" i="25" s="1"/>
  <c r="V41" i="25"/>
  <c r="V97" i="25" s="1"/>
  <c r="V40" i="25"/>
  <c r="V96" i="25" s="1"/>
  <c r="V14" i="25" s="1"/>
  <c r="H90" i="25"/>
  <c r="H88" i="25"/>
  <c r="H80" i="25"/>
  <c r="H40" i="25"/>
  <c r="H96" i="25" s="1"/>
  <c r="H42" i="25"/>
  <c r="H98" i="25" s="1"/>
  <c r="H89" i="25"/>
  <c r="H41" i="25"/>
  <c r="H97" i="25" s="1"/>
  <c r="J118" i="25"/>
  <c r="J117" i="25"/>
  <c r="P90" i="25"/>
  <c r="P80" i="25"/>
  <c r="P89" i="25"/>
  <c r="P42" i="25"/>
  <c r="P88" i="25"/>
  <c r="P41" i="25"/>
  <c r="P40" i="25"/>
  <c r="T124" i="25"/>
  <c r="T123" i="25"/>
  <c r="I124" i="25"/>
  <c r="I123" i="25"/>
  <c r="F90" i="25"/>
  <c r="F89" i="25"/>
  <c r="F88" i="25"/>
  <c r="F41" i="25"/>
  <c r="F97" i="25" s="1"/>
  <c r="F40" i="25"/>
  <c r="F96" i="25" s="1"/>
  <c r="F42" i="25"/>
  <c r="F98" i="25" s="1"/>
  <c r="E42" i="25"/>
  <c r="E98" i="25" s="1"/>
  <c r="E41" i="25"/>
  <c r="E97" i="25" s="1"/>
  <c r="E40" i="25"/>
  <c r="E96" i="25" s="1"/>
  <c r="N88" i="25"/>
  <c r="N90" i="25"/>
  <c r="N80" i="25"/>
  <c r="N40" i="25"/>
  <c r="N42" i="25"/>
  <c r="N89" i="25"/>
  <c r="N41" i="25"/>
  <c r="F118" i="25"/>
  <c r="F117" i="25"/>
  <c r="F110" i="25"/>
  <c r="F103" i="25"/>
  <c r="F109" i="25"/>
  <c r="F102" i="25"/>
  <c r="N141" i="25"/>
  <c r="N142" i="25"/>
  <c r="N146" i="25" s="1"/>
  <c r="R118" i="25"/>
  <c r="R117" i="25"/>
  <c r="R110" i="25"/>
  <c r="R109" i="25"/>
  <c r="R14" i="25"/>
  <c r="J80" i="25"/>
  <c r="J96" i="25" s="1"/>
  <c r="J14" i="25" s="1"/>
  <c r="J89" i="25"/>
  <c r="J90" i="25"/>
  <c r="J42" i="25"/>
  <c r="J88" i="25"/>
  <c r="J41" i="25"/>
  <c r="J40" i="25"/>
  <c r="N117" i="25"/>
  <c r="N118" i="25"/>
  <c r="N109" i="25"/>
  <c r="N110" i="25"/>
  <c r="O124" i="25"/>
  <c r="O123" i="25"/>
  <c r="G124" i="25"/>
  <c r="G123" i="25"/>
  <c r="W90" i="25"/>
  <c r="W89" i="25"/>
  <c r="W88" i="25"/>
  <c r="W41" i="25"/>
  <c r="W97" i="25" s="1"/>
  <c r="W40" i="25"/>
  <c r="W96" i="25" s="1"/>
  <c r="W80" i="25"/>
  <c r="W42" i="25"/>
  <c r="W98" i="25" s="1"/>
  <c r="Q123" i="25"/>
  <c r="Q124" i="25"/>
  <c r="T117" i="25"/>
  <c r="T118" i="25"/>
  <c r="T109" i="25"/>
  <c r="T102" i="25"/>
  <c r="T110" i="25"/>
  <c r="T103" i="25"/>
  <c r="I117" i="25"/>
  <c r="I118" i="25"/>
  <c r="I109" i="25"/>
  <c r="I102" i="25"/>
  <c r="I110" i="25"/>
  <c r="I103" i="25"/>
  <c r="L142" i="25"/>
  <c r="L146" i="25" s="1"/>
  <c r="L141" i="25"/>
  <c r="L35" i="24"/>
  <c r="U57" i="24"/>
  <c r="X38" i="24"/>
  <c r="X94" i="24" s="1"/>
  <c r="V57" i="24"/>
  <c r="J49" i="24"/>
  <c r="E36" i="24"/>
  <c r="E92" i="24" s="1"/>
  <c r="I44" i="24"/>
  <c r="H56" i="24"/>
  <c r="F38" i="24"/>
  <c r="F94" i="24" s="1"/>
  <c r="U44" i="24"/>
  <c r="L72" i="24"/>
  <c r="F72" i="24"/>
  <c r="V39" i="24"/>
  <c r="V95" i="24" s="1"/>
  <c r="G49" i="24"/>
  <c r="X72" i="24"/>
  <c r="U48" i="24"/>
  <c r="I47" i="24"/>
  <c r="E84" i="24"/>
  <c r="U37" i="24"/>
  <c r="U93" i="24" s="1"/>
  <c r="W60" i="24"/>
  <c r="W84" i="24"/>
  <c r="I64" i="24"/>
  <c r="H37" i="24"/>
  <c r="H93" i="24" s="1"/>
  <c r="S38" i="24"/>
  <c r="S94" i="24" s="1"/>
  <c r="X48" i="24"/>
  <c r="V49" i="24"/>
  <c r="I37" i="24"/>
  <c r="W39" i="24"/>
  <c r="W95" i="24" s="1"/>
  <c r="J39" i="24"/>
  <c r="H44" i="24"/>
  <c r="U85" i="24"/>
  <c r="G38" i="24"/>
  <c r="G94" i="24" s="1"/>
  <c r="V36" i="24"/>
  <c r="V92" i="24" s="1"/>
  <c r="K39" i="24"/>
  <c r="K95" i="24" s="1"/>
  <c r="Q39" i="24"/>
  <c r="Q95" i="24" s="1"/>
  <c r="R72" i="24"/>
  <c r="R70" i="24"/>
  <c r="M38" i="24"/>
  <c r="M94" i="24" s="1"/>
  <c r="P39" i="24"/>
  <c r="AA6" i="24"/>
  <c r="H23" i="24"/>
  <c r="V73" i="24"/>
  <c r="V56" i="24"/>
  <c r="V69" i="24"/>
  <c r="V65" i="24"/>
  <c r="H34" i="24"/>
  <c r="I93" i="24"/>
  <c r="I95" i="24"/>
  <c r="J57" i="24"/>
  <c r="H72" i="24"/>
  <c r="F84" i="24"/>
  <c r="X84" i="24"/>
  <c r="V85" i="24"/>
  <c r="X87" i="24"/>
  <c r="O95" i="24"/>
  <c r="H24" i="24"/>
  <c r="J97" i="24"/>
  <c r="J93" i="24"/>
  <c r="J92" i="24"/>
  <c r="J98" i="24"/>
  <c r="H57" i="24"/>
  <c r="H84" i="24"/>
  <c r="H60" i="24"/>
  <c r="F69" i="24"/>
  <c r="F65" i="24"/>
  <c r="F85" i="24"/>
  <c r="F61" i="24"/>
  <c r="L69" i="24"/>
  <c r="L65" i="24"/>
  <c r="L85" i="24"/>
  <c r="L61" i="24"/>
  <c r="R69" i="24"/>
  <c r="R65" i="24"/>
  <c r="R85" i="24"/>
  <c r="R61" i="24"/>
  <c r="X69" i="24"/>
  <c r="X65" i="24"/>
  <c r="X85" i="24"/>
  <c r="X61" i="24"/>
  <c r="J70" i="24"/>
  <c r="J86" i="24"/>
  <c r="J62" i="24"/>
  <c r="P70" i="24"/>
  <c r="P62" i="24"/>
  <c r="P86" i="24"/>
  <c r="V70" i="24"/>
  <c r="V62" i="24"/>
  <c r="F64" i="24"/>
  <c r="L64" i="24"/>
  <c r="R64" i="24"/>
  <c r="X64" i="24"/>
  <c r="J34" i="24"/>
  <c r="V34" i="24"/>
  <c r="T35" i="24"/>
  <c r="F36" i="24"/>
  <c r="F92" i="24" s="1"/>
  <c r="L36" i="24"/>
  <c r="R36" i="24"/>
  <c r="X36" i="24"/>
  <c r="X92" i="24" s="1"/>
  <c r="J37" i="24"/>
  <c r="V37" i="24"/>
  <c r="V93" i="24" s="1"/>
  <c r="H38" i="24"/>
  <c r="H94" i="24" s="1"/>
  <c r="F39" i="24"/>
  <c r="F95" i="24" s="1"/>
  <c r="L39" i="24"/>
  <c r="R39" i="24"/>
  <c r="X39" i="24"/>
  <c r="X95" i="24" s="1"/>
  <c r="J44" i="24"/>
  <c r="V44" i="24"/>
  <c r="H48" i="24"/>
  <c r="F49" i="24"/>
  <c r="L49" i="24"/>
  <c r="L97" i="24" s="1"/>
  <c r="R49" i="24"/>
  <c r="X49" i="24"/>
  <c r="H52" i="24"/>
  <c r="F56" i="24"/>
  <c r="X56" i="24"/>
  <c r="L57" i="24"/>
  <c r="X60" i="24"/>
  <c r="U61" i="24"/>
  <c r="H69" i="24"/>
  <c r="I85" i="24"/>
  <c r="G86" i="24"/>
  <c r="H87" i="24"/>
  <c r="H95" i="24"/>
  <c r="T86" i="24"/>
  <c r="T70" i="24"/>
  <c r="I70" i="24"/>
  <c r="I86" i="24"/>
  <c r="I62" i="24"/>
  <c r="I34" i="24"/>
  <c r="U34" i="24"/>
  <c r="G48" i="24"/>
  <c r="S128" i="24"/>
  <c r="M128" i="24"/>
  <c r="G128" i="24"/>
  <c r="X128" i="24"/>
  <c r="R128" i="24"/>
  <c r="L128" i="24"/>
  <c r="F128" i="24"/>
  <c r="W128" i="24"/>
  <c r="Q128" i="24"/>
  <c r="K128" i="24"/>
  <c r="E128" i="24"/>
  <c r="V128" i="24"/>
  <c r="P128" i="24"/>
  <c r="J128" i="24"/>
  <c r="U128" i="24"/>
  <c r="O128" i="24"/>
  <c r="I128" i="24"/>
  <c r="H128" i="24"/>
  <c r="T128" i="24"/>
  <c r="W92" i="24"/>
  <c r="W93" i="24"/>
  <c r="I84" i="24"/>
  <c r="I60" i="24"/>
  <c r="I72" i="24"/>
  <c r="U84" i="24"/>
  <c r="U60" i="24"/>
  <c r="U72" i="24"/>
  <c r="G85" i="24"/>
  <c r="G61" i="24"/>
  <c r="G73" i="24"/>
  <c r="G56" i="24"/>
  <c r="K86" i="24"/>
  <c r="K62" i="24"/>
  <c r="Q62" i="24"/>
  <c r="Q86" i="24"/>
  <c r="W62" i="24"/>
  <c r="W86" i="24"/>
  <c r="G64" i="24"/>
  <c r="E34" i="24"/>
  <c r="W34" i="24"/>
  <c r="I35" i="24"/>
  <c r="J35" i="24" s="1"/>
  <c r="U35" i="24"/>
  <c r="G36" i="24"/>
  <c r="G92" i="24" s="1"/>
  <c r="E37" i="24"/>
  <c r="E93" i="24" s="1"/>
  <c r="I38" i="24"/>
  <c r="I94" i="24" s="1"/>
  <c r="G39" i="24"/>
  <c r="G95" i="24" s="1"/>
  <c r="M39" i="24"/>
  <c r="M95" i="24" s="1"/>
  <c r="S39" i="24"/>
  <c r="S95" i="24" s="1"/>
  <c r="W44" i="24"/>
  <c r="I48" i="24"/>
  <c r="I52" i="24"/>
  <c r="U52" i="24"/>
  <c r="V61" i="24"/>
  <c r="J64" i="24"/>
  <c r="G65" i="24"/>
  <c r="K70" i="24"/>
  <c r="L73" i="24"/>
  <c r="L84" i="24"/>
  <c r="H86" i="24"/>
  <c r="I87" i="24"/>
  <c r="J73" i="24"/>
  <c r="J56" i="24"/>
  <c r="J69" i="24"/>
  <c r="J65" i="24"/>
  <c r="G84" i="24"/>
  <c r="G60" i="24"/>
  <c r="W69" i="24"/>
  <c r="W65" i="24"/>
  <c r="W85" i="24"/>
  <c r="W61" i="24"/>
  <c r="O70" i="24"/>
  <c r="O62" i="24"/>
  <c r="U70" i="24"/>
  <c r="U62" i="24"/>
  <c r="W64" i="24"/>
  <c r="W49" i="24"/>
  <c r="G52" i="24"/>
  <c r="W56" i="24"/>
  <c r="V64" i="24"/>
  <c r="H25" i="24"/>
  <c r="L93" i="24"/>
  <c r="L98" i="24"/>
  <c r="J84" i="24"/>
  <c r="J60" i="24"/>
  <c r="J72" i="24"/>
  <c r="V84" i="24"/>
  <c r="V60" i="24"/>
  <c r="V72" i="24"/>
  <c r="H85" i="24"/>
  <c r="H61" i="24"/>
  <c r="H73" i="24"/>
  <c r="F86" i="24"/>
  <c r="F62" i="24"/>
  <c r="L86" i="24"/>
  <c r="L62" i="24"/>
  <c r="R86" i="24"/>
  <c r="R62" i="24"/>
  <c r="X86" i="24"/>
  <c r="X62" i="24"/>
  <c r="H64" i="24"/>
  <c r="F34" i="24"/>
  <c r="L34" i="24"/>
  <c r="R34" i="24"/>
  <c r="X34" i="24"/>
  <c r="P35" i="24"/>
  <c r="V35" i="24"/>
  <c r="H36" i="24"/>
  <c r="H92" i="24" s="1"/>
  <c r="F37" i="24"/>
  <c r="F93" i="24" s="1"/>
  <c r="L37" i="24"/>
  <c r="R37" i="24"/>
  <c r="R93" i="24" s="1"/>
  <c r="X37" i="24"/>
  <c r="X93" i="24" s="1"/>
  <c r="J38" i="24"/>
  <c r="P38" i="24"/>
  <c r="V38" i="24"/>
  <c r="V94" i="24" s="1"/>
  <c r="T39" i="24"/>
  <c r="T95" i="24" s="1"/>
  <c r="F44" i="24"/>
  <c r="L44" i="24"/>
  <c r="L92" i="24" s="1"/>
  <c r="R44" i="24"/>
  <c r="X44" i="24"/>
  <c r="L47" i="24"/>
  <c r="L95" i="24" s="1"/>
  <c r="J48" i="24"/>
  <c r="V48" i="24"/>
  <c r="H49" i="24"/>
  <c r="J52" i="24"/>
  <c r="V52" i="24"/>
  <c r="I56" i="24"/>
  <c r="R56" i="24"/>
  <c r="F57" i="24"/>
  <c r="X57" i="24"/>
  <c r="L60" i="24"/>
  <c r="T62" i="24"/>
  <c r="H65" i="24"/>
  <c r="L70" i="24"/>
  <c r="O87" i="24"/>
  <c r="U94" i="24"/>
  <c r="T94" i="24"/>
  <c r="O94" i="24"/>
  <c r="W72" i="24"/>
  <c r="W57" i="24"/>
  <c r="I73" i="24"/>
  <c r="I69" i="24"/>
  <c r="I65" i="24"/>
  <c r="U73" i="24"/>
  <c r="U69" i="24"/>
  <c r="U65" i="24"/>
  <c r="M86" i="24"/>
  <c r="M70" i="24"/>
  <c r="S86" i="24"/>
  <c r="S70" i="24"/>
  <c r="G34" i="24"/>
  <c r="W35" i="24"/>
  <c r="I36" i="24"/>
  <c r="I92" i="24" s="1"/>
  <c r="U36" i="24"/>
  <c r="U92" i="24" s="1"/>
  <c r="G37" i="24"/>
  <c r="G93" i="24" s="1"/>
  <c r="E38" i="24"/>
  <c r="E94" i="24" s="1"/>
  <c r="K38" i="24"/>
  <c r="K94" i="24" s="1"/>
  <c r="Q38" i="24"/>
  <c r="Q94" i="24" s="1"/>
  <c r="W38" i="24"/>
  <c r="W94" i="24" s="1"/>
  <c r="U39" i="24"/>
  <c r="U95" i="24" s="1"/>
  <c r="G44" i="24"/>
  <c r="W48" i="24"/>
  <c r="I49" i="24"/>
  <c r="U49" i="24"/>
  <c r="W52" i="24"/>
  <c r="G57" i="24"/>
  <c r="J61" i="24"/>
  <c r="G62" i="24"/>
  <c r="Q70" i="24"/>
  <c r="R73" i="24"/>
  <c r="R84" i="24"/>
  <c r="O86" i="24"/>
  <c r="F48" i="24"/>
  <c r="L48" i="24"/>
  <c r="L96" i="24" s="1"/>
  <c r="R48" i="24"/>
  <c r="F52" i="24"/>
  <c r="L52" i="24"/>
  <c r="R52" i="24"/>
  <c r="X52" i="24"/>
  <c r="L56" i="24"/>
  <c r="U56" i="24"/>
  <c r="R57" i="24"/>
  <c r="R60" i="24"/>
  <c r="H62" i="24"/>
  <c r="U64" i="24"/>
  <c r="G72" i="24"/>
  <c r="W73" i="24"/>
  <c r="U86" i="24"/>
  <c r="T14" i="25" l="1"/>
  <c r="T24" i="25" s="1"/>
  <c r="N113" i="25"/>
  <c r="W113" i="25"/>
  <c r="O113" i="25"/>
  <c r="V113" i="25"/>
  <c r="H113" i="25"/>
  <c r="N130" i="24"/>
  <c r="L14" i="24"/>
  <c r="L23" i="24" s="1"/>
  <c r="F113" i="25"/>
  <c r="L23" i="25"/>
  <c r="S11" i="25"/>
  <c r="S35" i="25" s="1"/>
  <c r="R113" i="25"/>
  <c r="E14" i="25"/>
  <c r="I104" i="25"/>
  <c r="I105" i="25" s="1"/>
  <c r="I107" i="25" s="1"/>
  <c r="I106" i="25"/>
  <c r="M106" i="25"/>
  <c r="M104" i="25"/>
  <c r="M105" i="25" s="1"/>
  <c r="W132" i="25"/>
  <c r="W129" i="25"/>
  <c r="W130" i="25" s="1"/>
  <c r="W125" i="25"/>
  <c r="W131" i="25"/>
  <c r="Q132" i="25"/>
  <c r="Q129" i="25"/>
  <c r="Q130" i="25" s="1"/>
  <c r="Q125" i="25"/>
  <c r="Q131" i="25"/>
  <c r="T25" i="25"/>
  <c r="G114" i="25"/>
  <c r="G111" i="25"/>
  <c r="G112" i="25" s="1"/>
  <c r="I114" i="25"/>
  <c r="I111" i="25"/>
  <c r="I112" i="25" s="1"/>
  <c r="T114" i="25"/>
  <c r="T111" i="25"/>
  <c r="T112" i="25" s="1"/>
  <c r="N148" i="25"/>
  <c r="N145" i="25"/>
  <c r="N147" i="25" s="1"/>
  <c r="N149" i="25"/>
  <c r="M114" i="25"/>
  <c r="M111" i="25"/>
  <c r="M112" i="25" s="1"/>
  <c r="V139" i="25"/>
  <c r="V136" i="25"/>
  <c r="V137" i="25" s="1"/>
  <c r="E114" i="25"/>
  <c r="E111" i="25"/>
  <c r="E112" i="25" s="1"/>
  <c r="H120" i="25"/>
  <c r="H119" i="25"/>
  <c r="H121" i="25" s="1"/>
  <c r="I149" i="25"/>
  <c r="I148" i="25"/>
  <c r="I145" i="25"/>
  <c r="I147" i="25" s="1"/>
  <c r="O149" i="25"/>
  <c r="O148" i="25"/>
  <c r="O145" i="25"/>
  <c r="O147" i="25" s="1"/>
  <c r="E25" i="25"/>
  <c r="E23" i="25"/>
  <c r="E21" i="25"/>
  <c r="F60" i="25" s="1"/>
  <c r="U132" i="25"/>
  <c r="U129" i="25"/>
  <c r="U130" i="25" s="1"/>
  <c r="U125" i="25"/>
  <c r="U131" i="25"/>
  <c r="T136" i="25"/>
  <c r="T137" i="25" s="1"/>
  <c r="T139" i="25"/>
  <c r="G132" i="25"/>
  <c r="G129" i="25"/>
  <c r="G130" i="25" s="1"/>
  <c r="G125" i="25"/>
  <c r="G131" i="25"/>
  <c r="R23" i="25"/>
  <c r="R21" i="25"/>
  <c r="R120" i="25"/>
  <c r="R119" i="25"/>
  <c r="R121" i="25" s="1"/>
  <c r="F106" i="25"/>
  <c r="F104" i="25"/>
  <c r="F105" i="25" s="1"/>
  <c r="F107" i="25" s="1"/>
  <c r="V181" i="25"/>
  <c r="V180" i="25"/>
  <c r="V25" i="25"/>
  <c r="V24" i="25"/>
  <c r="V23" i="25"/>
  <c r="V20" i="25"/>
  <c r="V17" i="25"/>
  <c r="V22" i="25"/>
  <c r="V19" i="25"/>
  <c r="V16" i="25"/>
  <c r="W68" i="25" s="1"/>
  <c r="V21" i="25"/>
  <c r="V18" i="25"/>
  <c r="M107" i="25"/>
  <c r="O104" i="25"/>
  <c r="O105" i="25" s="1"/>
  <c r="O106" i="25"/>
  <c r="W120" i="25"/>
  <c r="W119" i="25"/>
  <c r="W121" i="25" s="1"/>
  <c r="G113" i="25"/>
  <c r="P119" i="25"/>
  <c r="P121" i="25" s="1"/>
  <c r="P120" i="25"/>
  <c r="F132" i="25"/>
  <c r="F129" i="25"/>
  <c r="F130" i="25" s="1"/>
  <c r="F125" i="25"/>
  <c r="F131" i="25"/>
  <c r="V119" i="25"/>
  <c r="V121" i="25" s="1"/>
  <c r="V120" i="25"/>
  <c r="F139" i="25"/>
  <c r="F136" i="25"/>
  <c r="F137" i="25" s="1"/>
  <c r="I136" i="25"/>
  <c r="I137" i="25" s="1"/>
  <c r="I139" i="25"/>
  <c r="O139" i="25"/>
  <c r="O136" i="25"/>
  <c r="O137" i="25" s="1"/>
  <c r="G149" i="25"/>
  <c r="G145" i="25"/>
  <c r="G147" i="25" s="1"/>
  <c r="G148" i="25"/>
  <c r="H139" i="25"/>
  <c r="H136" i="25"/>
  <c r="H137" i="25" s="1"/>
  <c r="J24" i="25"/>
  <c r="J21" i="25"/>
  <c r="J23" i="25"/>
  <c r="F120" i="25"/>
  <c r="F119" i="25"/>
  <c r="F121" i="25" s="1"/>
  <c r="M132" i="25"/>
  <c r="M129" i="25"/>
  <c r="M130" i="25" s="1"/>
  <c r="M125" i="25"/>
  <c r="M131" i="25"/>
  <c r="I120" i="25"/>
  <c r="I119" i="25"/>
  <c r="I121" i="25" s="1"/>
  <c r="T120" i="25"/>
  <c r="T119" i="25"/>
  <c r="T121" i="25" s="1"/>
  <c r="W14" i="25"/>
  <c r="N114" i="25"/>
  <c r="N111" i="25"/>
  <c r="N112" i="25" s="1"/>
  <c r="N115" i="25" s="1"/>
  <c r="F111" i="25"/>
  <c r="F112" i="25" s="1"/>
  <c r="F114" i="25"/>
  <c r="I131" i="25"/>
  <c r="I132" i="25"/>
  <c r="I129" i="25"/>
  <c r="I130" i="25" s="1"/>
  <c r="I125" i="25"/>
  <c r="W139" i="25"/>
  <c r="W136" i="25"/>
  <c r="W137" i="25" s="1"/>
  <c r="M113" i="25"/>
  <c r="O114" i="25"/>
  <c r="O111" i="25"/>
  <c r="O112" i="25" s="1"/>
  <c r="I14" i="25"/>
  <c r="V148" i="25"/>
  <c r="V145" i="25"/>
  <c r="V147" i="25" s="1"/>
  <c r="V149" i="25"/>
  <c r="G120" i="25"/>
  <c r="G119" i="25"/>
  <c r="G121" i="25" s="1"/>
  <c r="E113" i="25"/>
  <c r="E139" i="25"/>
  <c r="E136" i="25"/>
  <c r="E137" i="25" s="1"/>
  <c r="H104" i="25"/>
  <c r="H105" i="25" s="1"/>
  <c r="H107" i="25" s="1"/>
  <c r="H106" i="25"/>
  <c r="F148" i="25"/>
  <c r="F149" i="25"/>
  <c r="F145" i="25"/>
  <c r="F147" i="25" s="1"/>
  <c r="L111" i="25"/>
  <c r="L112" i="25" s="1"/>
  <c r="L114" i="25"/>
  <c r="H149" i="25"/>
  <c r="H148" i="25"/>
  <c r="H145" i="25"/>
  <c r="H147" i="25" s="1"/>
  <c r="L120" i="25"/>
  <c r="L119" i="25"/>
  <c r="L121" i="25" s="1"/>
  <c r="O131" i="25"/>
  <c r="O132" i="25"/>
  <c r="O129" i="25"/>
  <c r="O130" i="25" s="1"/>
  <c r="O125" i="25"/>
  <c r="F14" i="25"/>
  <c r="J119" i="25"/>
  <c r="J121" i="25" s="1"/>
  <c r="J120" i="25"/>
  <c r="R148" i="25"/>
  <c r="R149" i="25"/>
  <c r="R145" i="25"/>
  <c r="R147" i="25" s="1"/>
  <c r="W148" i="25"/>
  <c r="W145" i="25"/>
  <c r="W147" i="25" s="1"/>
  <c r="W149" i="25"/>
  <c r="G14" i="25"/>
  <c r="W106" i="25"/>
  <c r="W104" i="25"/>
  <c r="W105" i="25" s="1"/>
  <c r="W107" i="25" s="1"/>
  <c r="H131" i="25"/>
  <c r="H129" i="25"/>
  <c r="H130" i="25" s="1"/>
  <c r="H125" i="25"/>
  <c r="H132" i="25"/>
  <c r="E119" i="25"/>
  <c r="E121" i="25" s="1"/>
  <c r="E120" i="25"/>
  <c r="H114" i="25"/>
  <c r="H111" i="25"/>
  <c r="H112" i="25" s="1"/>
  <c r="V104" i="25"/>
  <c r="V105" i="25" s="1"/>
  <c r="V107" i="25" s="1"/>
  <c r="V106" i="25"/>
  <c r="S132" i="25"/>
  <c r="S129" i="25"/>
  <c r="S130" i="25" s="1"/>
  <c r="S125" i="25"/>
  <c r="S131" i="25"/>
  <c r="G139" i="25"/>
  <c r="G136" i="25"/>
  <c r="G137" i="25" s="1"/>
  <c r="T104" i="25"/>
  <c r="T105" i="25" s="1"/>
  <c r="T107" i="25" s="1"/>
  <c r="T106" i="25"/>
  <c r="O107" i="25"/>
  <c r="E104" i="25"/>
  <c r="E105" i="25" s="1"/>
  <c r="E107" i="25" s="1"/>
  <c r="E106" i="25"/>
  <c r="L148" i="25"/>
  <c r="L145" i="25"/>
  <c r="L147" i="25" s="1"/>
  <c r="L149" i="25"/>
  <c r="I113" i="25"/>
  <c r="T113" i="25"/>
  <c r="N120" i="25"/>
  <c r="N119" i="25"/>
  <c r="N121" i="25" s="1"/>
  <c r="R111" i="25"/>
  <c r="R112" i="25" s="1"/>
  <c r="R114" i="25"/>
  <c r="T131" i="25"/>
  <c r="T132" i="25"/>
  <c r="T129" i="25"/>
  <c r="T130" i="25" s="1"/>
  <c r="T125" i="25"/>
  <c r="O120" i="25"/>
  <c r="O119" i="25"/>
  <c r="O121" i="25" s="1"/>
  <c r="W114" i="25"/>
  <c r="W111" i="25"/>
  <c r="W112" i="25" s="1"/>
  <c r="G106" i="25"/>
  <c r="G104" i="25"/>
  <c r="G105" i="25" s="1"/>
  <c r="G107" i="25" s="1"/>
  <c r="O14" i="25"/>
  <c r="K132" i="25"/>
  <c r="K129" i="25"/>
  <c r="K130" i="25" s="1"/>
  <c r="K125" i="25"/>
  <c r="K131" i="25"/>
  <c r="E148" i="25"/>
  <c r="E145" i="25"/>
  <c r="E147" i="25" s="1"/>
  <c r="E149" i="25"/>
  <c r="V114" i="25"/>
  <c r="V111" i="25"/>
  <c r="V112" i="25" s="1"/>
  <c r="V115" i="25" s="1"/>
  <c r="V132" i="25"/>
  <c r="V129" i="25"/>
  <c r="V130" i="25" s="1"/>
  <c r="V125" i="25"/>
  <c r="V131" i="25"/>
  <c r="E132" i="25"/>
  <c r="E129" i="25"/>
  <c r="E130" i="25" s="1"/>
  <c r="E125" i="25"/>
  <c r="E131" i="25"/>
  <c r="T149" i="25"/>
  <c r="T148" i="25"/>
  <c r="T145" i="25"/>
  <c r="T147" i="25" s="1"/>
  <c r="L113" i="25"/>
  <c r="R92" i="24"/>
  <c r="R117" i="24" s="1"/>
  <c r="H118" i="24"/>
  <c r="H117" i="24"/>
  <c r="H110" i="24"/>
  <c r="H103" i="24"/>
  <c r="H102" i="24"/>
  <c r="H109" i="24"/>
  <c r="I123" i="24"/>
  <c r="I124" i="24"/>
  <c r="X141" i="24"/>
  <c r="X134" i="24"/>
  <c r="X138" i="24" s="1"/>
  <c r="X135" i="24"/>
  <c r="X142" i="24"/>
  <c r="X146" i="24" s="1"/>
  <c r="E124" i="24"/>
  <c r="E123" i="24"/>
  <c r="L117" i="24"/>
  <c r="L109" i="24"/>
  <c r="L118" i="24"/>
  <c r="L110" i="24"/>
  <c r="K124" i="24"/>
  <c r="K123" i="24"/>
  <c r="G141" i="24"/>
  <c r="G135" i="24"/>
  <c r="G134" i="24"/>
  <c r="G138" i="24" s="1"/>
  <c r="G142" i="24"/>
  <c r="G146" i="24" s="1"/>
  <c r="I118" i="24"/>
  <c r="I117" i="24"/>
  <c r="I110" i="24"/>
  <c r="I103" i="24"/>
  <c r="I109" i="24"/>
  <c r="I102" i="24"/>
  <c r="U118" i="24"/>
  <c r="U117" i="24"/>
  <c r="U110" i="24"/>
  <c r="U103" i="24"/>
  <c r="U109" i="24"/>
  <c r="U102" i="24"/>
  <c r="V124" i="24"/>
  <c r="V123" i="24"/>
  <c r="F141" i="24"/>
  <c r="F135" i="24"/>
  <c r="F134" i="24"/>
  <c r="F138" i="24" s="1"/>
  <c r="F142" i="24"/>
  <c r="F146" i="24" s="1"/>
  <c r="Q124" i="24"/>
  <c r="Q123" i="24"/>
  <c r="L21" i="24"/>
  <c r="V142" i="24"/>
  <c r="V146" i="24" s="1"/>
  <c r="V135" i="24"/>
  <c r="V141" i="24"/>
  <c r="V134" i="24"/>
  <c r="V138" i="24" s="1"/>
  <c r="T123" i="24"/>
  <c r="T124" i="24"/>
  <c r="F89" i="24"/>
  <c r="F88" i="24"/>
  <c r="F90" i="24"/>
  <c r="F41" i="24"/>
  <c r="F97" i="24" s="1"/>
  <c r="F40" i="24"/>
  <c r="F96" i="24" s="1"/>
  <c r="F42" i="24"/>
  <c r="F98" i="24" s="1"/>
  <c r="F124" i="24"/>
  <c r="F123" i="24"/>
  <c r="E41" i="24"/>
  <c r="E97" i="24" s="1"/>
  <c r="E42" i="24"/>
  <c r="E98" i="24" s="1"/>
  <c r="E40" i="24"/>
  <c r="E96" i="24" s="1"/>
  <c r="W118" i="24"/>
  <c r="W117" i="24"/>
  <c r="W109" i="24"/>
  <c r="W102" i="24"/>
  <c r="W103" i="24"/>
  <c r="W110" i="24"/>
  <c r="Q35" i="24"/>
  <c r="R35" i="24" s="1"/>
  <c r="H123" i="24"/>
  <c r="H124" i="24"/>
  <c r="J90" i="24"/>
  <c r="J89" i="24"/>
  <c r="J88" i="24"/>
  <c r="J80" i="24"/>
  <c r="J96" i="24" s="1"/>
  <c r="J14" i="24" s="1"/>
  <c r="J42" i="24"/>
  <c r="J41" i="24"/>
  <c r="J40" i="24"/>
  <c r="H88" i="24"/>
  <c r="H90" i="24"/>
  <c r="H80" i="24"/>
  <c r="H89" i="24"/>
  <c r="H40" i="24"/>
  <c r="H96" i="24" s="1"/>
  <c r="H42" i="24"/>
  <c r="H98" i="24" s="1"/>
  <c r="H41" i="24"/>
  <c r="H97" i="24" s="1"/>
  <c r="L89" i="24"/>
  <c r="L88" i="24"/>
  <c r="L90" i="24"/>
  <c r="L41" i="24"/>
  <c r="L40" i="24"/>
  <c r="L80" i="24"/>
  <c r="L42" i="24"/>
  <c r="G124" i="24"/>
  <c r="G123" i="24"/>
  <c r="F117" i="24"/>
  <c r="F109" i="24"/>
  <c r="F102" i="24"/>
  <c r="F118" i="24"/>
  <c r="F103" i="24"/>
  <c r="F110" i="24"/>
  <c r="E118" i="24"/>
  <c r="E117" i="24"/>
  <c r="E109" i="24"/>
  <c r="E102" i="24"/>
  <c r="E103" i="24"/>
  <c r="E110" i="24"/>
  <c r="J118" i="24"/>
  <c r="J117" i="24"/>
  <c r="L141" i="24"/>
  <c r="L142" i="24"/>
  <c r="L146" i="24" s="1"/>
  <c r="U142" i="24"/>
  <c r="U146" i="24" s="1"/>
  <c r="U135" i="24"/>
  <c r="U134" i="24"/>
  <c r="U138" i="24" s="1"/>
  <c r="U141" i="24"/>
  <c r="U123" i="24"/>
  <c r="U124" i="24"/>
  <c r="V118" i="24"/>
  <c r="V117" i="24"/>
  <c r="V110" i="24"/>
  <c r="V103" i="24"/>
  <c r="V109" i="24"/>
  <c r="V102" i="24"/>
  <c r="X117" i="24"/>
  <c r="X118" i="24"/>
  <c r="X109" i="24"/>
  <c r="X102" i="24"/>
  <c r="X103" i="24"/>
  <c r="X110" i="24"/>
  <c r="W88" i="24"/>
  <c r="W89" i="24"/>
  <c r="W80" i="24"/>
  <c r="W41" i="24"/>
  <c r="W97" i="24" s="1"/>
  <c r="W42" i="24"/>
  <c r="W98" i="24" s="1"/>
  <c r="W40" i="24"/>
  <c r="W96" i="24" s="1"/>
  <c r="W90" i="24"/>
  <c r="I142" i="24"/>
  <c r="I146" i="24" s="1"/>
  <c r="I135" i="24"/>
  <c r="I134" i="24"/>
  <c r="I138" i="24" s="1"/>
  <c r="I141" i="24"/>
  <c r="W124" i="24"/>
  <c r="W123" i="24"/>
  <c r="S124" i="24"/>
  <c r="S123" i="24"/>
  <c r="E142" i="24"/>
  <c r="E146" i="24" s="1"/>
  <c r="E135" i="24"/>
  <c r="E141" i="24"/>
  <c r="E134" i="24"/>
  <c r="E138" i="24" s="1"/>
  <c r="X89" i="24"/>
  <c r="X88" i="24"/>
  <c r="X90" i="24"/>
  <c r="X41" i="24"/>
  <c r="X97" i="24" s="1"/>
  <c r="X80" i="24"/>
  <c r="X40" i="24"/>
  <c r="X96" i="24" s="1"/>
  <c r="X42" i="24"/>
  <c r="X98" i="24" s="1"/>
  <c r="X124" i="24"/>
  <c r="X123" i="24"/>
  <c r="U89" i="24"/>
  <c r="U88" i="24"/>
  <c r="U80" i="24"/>
  <c r="U90" i="24"/>
  <c r="U42" i="24"/>
  <c r="U98" i="24" s="1"/>
  <c r="U40" i="24"/>
  <c r="U96" i="24" s="1"/>
  <c r="U41" i="24"/>
  <c r="U97" i="24" s="1"/>
  <c r="G90" i="24"/>
  <c r="G88" i="24"/>
  <c r="G80" i="24"/>
  <c r="G89" i="24"/>
  <c r="G40" i="24"/>
  <c r="G96" i="24" s="1"/>
  <c r="G42" i="24"/>
  <c r="G98" i="24" s="1"/>
  <c r="G41" i="24"/>
  <c r="G97" i="24" s="1"/>
  <c r="G117" i="24"/>
  <c r="G118" i="24"/>
  <c r="G110" i="24"/>
  <c r="G103" i="24"/>
  <c r="G102" i="24"/>
  <c r="G109" i="24"/>
  <c r="W142" i="24"/>
  <c r="W146" i="24" s="1"/>
  <c r="W135" i="24"/>
  <c r="W141" i="24"/>
  <c r="W134" i="24"/>
  <c r="W138" i="24" s="1"/>
  <c r="M124" i="24"/>
  <c r="M123" i="24"/>
  <c r="O123" i="24"/>
  <c r="O124" i="24"/>
  <c r="R89" i="24"/>
  <c r="R88" i="24"/>
  <c r="R90" i="24"/>
  <c r="R41" i="24"/>
  <c r="R97" i="24" s="1"/>
  <c r="R80" i="24"/>
  <c r="R40" i="24"/>
  <c r="R96" i="24" s="1"/>
  <c r="R42" i="24"/>
  <c r="R98" i="24" s="1"/>
  <c r="I89" i="24"/>
  <c r="I88" i="24"/>
  <c r="I80" i="24"/>
  <c r="I42" i="24"/>
  <c r="I98" i="24" s="1"/>
  <c r="I90" i="24"/>
  <c r="I41" i="24"/>
  <c r="I97" i="24" s="1"/>
  <c r="I40" i="24"/>
  <c r="I96" i="24" s="1"/>
  <c r="H142" i="24"/>
  <c r="H146" i="24" s="1"/>
  <c r="H135" i="24"/>
  <c r="H134" i="24"/>
  <c r="H138" i="24" s="1"/>
  <c r="H141" i="24"/>
  <c r="V90" i="24"/>
  <c r="V89" i="24"/>
  <c r="V88" i="24"/>
  <c r="V80" i="24"/>
  <c r="V42" i="24"/>
  <c r="V98" i="24" s="1"/>
  <c r="V41" i="24"/>
  <c r="V97" i="24" s="1"/>
  <c r="V40" i="24"/>
  <c r="V96" i="24" s="1"/>
  <c r="C164" i="23"/>
  <c r="C166" i="23" s="1"/>
  <c r="C168" i="23" s="1"/>
  <c r="C170" i="23" s="1"/>
  <c r="C172" i="23" s="1"/>
  <c r="C174" i="23" s="1"/>
  <c r="C176" i="23" s="1"/>
  <c r="C178" i="23" s="1"/>
  <c r="C180" i="23" s="1"/>
  <c r="V158" i="23"/>
  <c r="U158" i="23"/>
  <c r="W157" i="23"/>
  <c r="W158" i="23" s="1"/>
  <c r="V157" i="23"/>
  <c r="U157" i="23"/>
  <c r="T157" i="23"/>
  <c r="T158" i="23" s="1"/>
  <c r="S157" i="23"/>
  <c r="S158" i="23" s="1"/>
  <c r="R157" i="23"/>
  <c r="R158" i="23" s="1"/>
  <c r="Q157" i="23"/>
  <c r="Q158" i="23" s="1"/>
  <c r="P157" i="23"/>
  <c r="P158" i="23" s="1"/>
  <c r="O157" i="23"/>
  <c r="O158" i="23" s="1"/>
  <c r="N157" i="23"/>
  <c r="N158" i="23" s="1"/>
  <c r="M157" i="23"/>
  <c r="M158" i="23" s="1"/>
  <c r="L157" i="23"/>
  <c r="L158" i="23" s="1"/>
  <c r="K157" i="23"/>
  <c r="K158" i="23" s="1"/>
  <c r="J157" i="23"/>
  <c r="J158" i="23" s="1"/>
  <c r="I157" i="23"/>
  <c r="I158" i="23" s="1"/>
  <c r="H157" i="23"/>
  <c r="H158" i="23" s="1"/>
  <c r="G157" i="23"/>
  <c r="G158" i="23" s="1"/>
  <c r="F157" i="23"/>
  <c r="F158" i="23" s="1"/>
  <c r="E157" i="23"/>
  <c r="E158" i="23" s="1"/>
  <c r="W144" i="23"/>
  <c r="V144" i="23"/>
  <c r="U144" i="23"/>
  <c r="T144" i="23"/>
  <c r="S144" i="23"/>
  <c r="R144" i="23"/>
  <c r="Q144" i="23"/>
  <c r="P144" i="23"/>
  <c r="O144" i="23"/>
  <c r="N144" i="23"/>
  <c r="M144" i="23"/>
  <c r="L144" i="23"/>
  <c r="K144" i="23"/>
  <c r="J144" i="23"/>
  <c r="I144" i="23"/>
  <c r="H144" i="23"/>
  <c r="G144" i="23"/>
  <c r="F144" i="23"/>
  <c r="E144" i="23"/>
  <c r="W127" i="23"/>
  <c r="V127" i="23"/>
  <c r="U127" i="23"/>
  <c r="T127" i="23"/>
  <c r="S127" i="23"/>
  <c r="R127" i="23"/>
  <c r="Q127" i="23"/>
  <c r="P127" i="23"/>
  <c r="O127" i="23"/>
  <c r="N127" i="23"/>
  <c r="M127" i="23"/>
  <c r="L127" i="23"/>
  <c r="K127" i="23"/>
  <c r="J127" i="23"/>
  <c r="I127" i="23"/>
  <c r="H127" i="23"/>
  <c r="G127" i="23"/>
  <c r="F127" i="23"/>
  <c r="E127" i="23"/>
  <c r="E90" i="23"/>
  <c r="E89" i="23"/>
  <c r="E88" i="23"/>
  <c r="W82" i="23"/>
  <c r="V82" i="23"/>
  <c r="U82" i="23"/>
  <c r="T82" i="23"/>
  <c r="S82" i="23"/>
  <c r="R82" i="23"/>
  <c r="Q82" i="23"/>
  <c r="P82" i="23"/>
  <c r="O82" i="23"/>
  <c r="N82" i="23"/>
  <c r="M82" i="23"/>
  <c r="L82" i="23"/>
  <c r="K82" i="23"/>
  <c r="J82" i="23"/>
  <c r="I82" i="23"/>
  <c r="H82" i="23"/>
  <c r="G82" i="23"/>
  <c r="F82" i="23"/>
  <c r="E82" i="23"/>
  <c r="W81" i="23"/>
  <c r="V81" i="23"/>
  <c r="U81" i="23"/>
  <c r="T81" i="23"/>
  <c r="S81" i="23"/>
  <c r="R81" i="23"/>
  <c r="Q81" i="23"/>
  <c r="P81" i="23"/>
  <c r="O81" i="23"/>
  <c r="N81" i="23"/>
  <c r="M81" i="23"/>
  <c r="L81" i="23"/>
  <c r="K81" i="23"/>
  <c r="J81" i="23"/>
  <c r="I81" i="23"/>
  <c r="H81" i="23"/>
  <c r="G81" i="23"/>
  <c r="F81" i="23"/>
  <c r="E81" i="23"/>
  <c r="F80" i="23"/>
  <c r="E80" i="23"/>
  <c r="F79" i="23"/>
  <c r="E79" i="23"/>
  <c r="F78" i="23"/>
  <c r="E78" i="23"/>
  <c r="W77" i="23"/>
  <c r="V77" i="23"/>
  <c r="U77" i="23"/>
  <c r="T77" i="23"/>
  <c r="S77" i="23"/>
  <c r="R77" i="23"/>
  <c r="Q77" i="23"/>
  <c r="P77" i="23"/>
  <c r="O77" i="23"/>
  <c r="N77" i="23"/>
  <c r="M77" i="23"/>
  <c r="L77" i="23"/>
  <c r="K77" i="23"/>
  <c r="J77" i="23"/>
  <c r="I77" i="23"/>
  <c r="H77" i="23"/>
  <c r="G77" i="23"/>
  <c r="F77" i="23"/>
  <c r="E77" i="23"/>
  <c r="W76" i="23"/>
  <c r="V76" i="23"/>
  <c r="U76" i="23"/>
  <c r="T76" i="23"/>
  <c r="S76" i="23"/>
  <c r="R76" i="23"/>
  <c r="Q76" i="23"/>
  <c r="P76" i="23"/>
  <c r="O76" i="23"/>
  <c r="N76" i="23"/>
  <c r="M76" i="23"/>
  <c r="L76" i="23"/>
  <c r="K76" i="23"/>
  <c r="J76" i="23"/>
  <c r="I76" i="23"/>
  <c r="H76" i="23"/>
  <c r="G76" i="23"/>
  <c r="F76" i="23"/>
  <c r="E76" i="23"/>
  <c r="W74" i="23"/>
  <c r="V74" i="23"/>
  <c r="U74" i="23"/>
  <c r="T74" i="23"/>
  <c r="S74" i="23"/>
  <c r="R74" i="23"/>
  <c r="Q74" i="23"/>
  <c r="P74" i="23"/>
  <c r="O74" i="23"/>
  <c r="N74" i="23"/>
  <c r="M74" i="23"/>
  <c r="L74" i="23"/>
  <c r="K74" i="23"/>
  <c r="J74" i="23"/>
  <c r="I74" i="23"/>
  <c r="H74" i="23"/>
  <c r="G74" i="23"/>
  <c r="F74" i="23"/>
  <c r="E74" i="23"/>
  <c r="E73" i="23"/>
  <c r="E72" i="23"/>
  <c r="W71" i="23"/>
  <c r="V71" i="23"/>
  <c r="U71" i="23"/>
  <c r="T71" i="23"/>
  <c r="S71" i="23"/>
  <c r="R71" i="23"/>
  <c r="Q71" i="23"/>
  <c r="P71" i="23"/>
  <c r="O71" i="23"/>
  <c r="N71" i="23"/>
  <c r="M71" i="23"/>
  <c r="L71" i="23"/>
  <c r="K71" i="23"/>
  <c r="J71" i="23"/>
  <c r="I71" i="23"/>
  <c r="H71" i="23"/>
  <c r="G71" i="23"/>
  <c r="F71" i="23"/>
  <c r="E71" i="23"/>
  <c r="E70" i="23"/>
  <c r="E69" i="23"/>
  <c r="E68" i="23"/>
  <c r="W66" i="23"/>
  <c r="V66" i="23"/>
  <c r="U66" i="23"/>
  <c r="T66" i="23"/>
  <c r="S66" i="23"/>
  <c r="R66" i="23"/>
  <c r="Q66" i="23"/>
  <c r="P66" i="23"/>
  <c r="O66" i="23"/>
  <c r="N66" i="23"/>
  <c r="M66" i="23"/>
  <c r="L66" i="23"/>
  <c r="K66" i="23"/>
  <c r="J66" i="23"/>
  <c r="I66" i="23"/>
  <c r="H66" i="23"/>
  <c r="G66" i="23"/>
  <c r="F66" i="23"/>
  <c r="E66" i="23"/>
  <c r="E65" i="23"/>
  <c r="E64" i="23"/>
  <c r="E63" i="23"/>
  <c r="E62" i="23"/>
  <c r="E61" i="23"/>
  <c r="E60" i="23"/>
  <c r="W58" i="23"/>
  <c r="V58" i="23"/>
  <c r="U58" i="23"/>
  <c r="T58" i="23"/>
  <c r="S58" i="23"/>
  <c r="R58" i="23"/>
  <c r="Q58" i="23"/>
  <c r="P58" i="23"/>
  <c r="O58" i="23"/>
  <c r="N58" i="23"/>
  <c r="M58" i="23"/>
  <c r="L58" i="23"/>
  <c r="K58" i="23"/>
  <c r="J58" i="23"/>
  <c r="I58" i="23"/>
  <c r="H58" i="23"/>
  <c r="G58" i="23"/>
  <c r="F58" i="23"/>
  <c r="E58" i="23"/>
  <c r="E57" i="23"/>
  <c r="E56" i="23"/>
  <c r="E55" i="23"/>
  <c r="E54" i="23"/>
  <c r="W53" i="23"/>
  <c r="V53" i="23"/>
  <c r="U53" i="23"/>
  <c r="T53" i="23"/>
  <c r="S53" i="23"/>
  <c r="R53" i="23"/>
  <c r="Q53" i="23"/>
  <c r="P53" i="23"/>
  <c r="O53" i="23"/>
  <c r="N53" i="23"/>
  <c r="M53" i="23"/>
  <c r="L53" i="23"/>
  <c r="K53" i="23"/>
  <c r="J53" i="23"/>
  <c r="I53" i="23"/>
  <c r="H53" i="23"/>
  <c r="G53" i="23"/>
  <c r="F53" i="23"/>
  <c r="E53" i="23"/>
  <c r="E52" i="23"/>
  <c r="W50" i="23"/>
  <c r="V50" i="23"/>
  <c r="U50" i="23"/>
  <c r="T50" i="23"/>
  <c r="S50" i="23"/>
  <c r="R50" i="23"/>
  <c r="Q50" i="23"/>
  <c r="P50" i="23"/>
  <c r="O50" i="23"/>
  <c r="N50" i="23"/>
  <c r="M50" i="23"/>
  <c r="L50" i="23"/>
  <c r="K50" i="23"/>
  <c r="J50" i="23"/>
  <c r="I50" i="23"/>
  <c r="H50" i="23"/>
  <c r="G50" i="23"/>
  <c r="F50" i="23"/>
  <c r="E50" i="23"/>
  <c r="E49" i="23"/>
  <c r="E48" i="23"/>
  <c r="E46" i="23"/>
  <c r="W45" i="23"/>
  <c r="V45" i="23"/>
  <c r="U45" i="23"/>
  <c r="T45" i="23"/>
  <c r="S45" i="23"/>
  <c r="R45" i="23"/>
  <c r="Q45" i="23"/>
  <c r="P45" i="23"/>
  <c r="O45" i="23"/>
  <c r="N45" i="23"/>
  <c r="M45" i="23"/>
  <c r="L45" i="23"/>
  <c r="K45" i="23"/>
  <c r="J45" i="23"/>
  <c r="I45" i="23"/>
  <c r="H45" i="23"/>
  <c r="G45" i="23"/>
  <c r="F45" i="23"/>
  <c r="E45" i="23"/>
  <c r="E44" i="23"/>
  <c r="E35" i="23"/>
  <c r="W33" i="23"/>
  <c r="V33" i="23"/>
  <c r="U33" i="23"/>
  <c r="T33" i="23"/>
  <c r="S33" i="23"/>
  <c r="R33" i="23"/>
  <c r="Q33" i="23"/>
  <c r="P33" i="23"/>
  <c r="O33" i="23"/>
  <c r="N33" i="23"/>
  <c r="M33" i="23"/>
  <c r="L33" i="23"/>
  <c r="K33" i="23"/>
  <c r="J33" i="23"/>
  <c r="I33" i="23"/>
  <c r="H33" i="23"/>
  <c r="G33" i="23"/>
  <c r="F33" i="23"/>
  <c r="E33" i="23"/>
  <c r="W32" i="23"/>
  <c r="W87" i="23" s="1"/>
  <c r="V32" i="23"/>
  <c r="V87" i="23" s="1"/>
  <c r="U32" i="23"/>
  <c r="U87" i="23" s="1"/>
  <c r="T32" i="23"/>
  <c r="T87" i="23" s="1"/>
  <c r="S32" i="23"/>
  <c r="S39" i="23" s="1"/>
  <c r="R32" i="23"/>
  <c r="R87" i="23" s="1"/>
  <c r="Q32" i="23"/>
  <c r="Q87" i="23" s="1"/>
  <c r="P32" i="23"/>
  <c r="P87" i="23" s="1"/>
  <c r="O32" i="23"/>
  <c r="O87" i="23" s="1"/>
  <c r="N32" i="23"/>
  <c r="N87" i="23" s="1"/>
  <c r="M32" i="23"/>
  <c r="M87" i="23" s="1"/>
  <c r="L32" i="23"/>
  <c r="L87" i="23" s="1"/>
  <c r="K32" i="23"/>
  <c r="K87" i="23" s="1"/>
  <c r="J32" i="23"/>
  <c r="J87" i="23" s="1"/>
  <c r="I32" i="23"/>
  <c r="I87" i="23" s="1"/>
  <c r="H32" i="23"/>
  <c r="H87" i="23" s="1"/>
  <c r="G32" i="23"/>
  <c r="G87" i="23" s="1"/>
  <c r="F32" i="23"/>
  <c r="F87" i="23" s="1"/>
  <c r="E32" i="23"/>
  <c r="E87" i="23" s="1"/>
  <c r="W31" i="23"/>
  <c r="W38" i="23" s="1"/>
  <c r="V31" i="23"/>
  <c r="V38" i="23" s="1"/>
  <c r="U31" i="23"/>
  <c r="T31" i="23"/>
  <c r="S31" i="23"/>
  <c r="R31" i="23"/>
  <c r="R38" i="23" s="1"/>
  <c r="Q31" i="23"/>
  <c r="Q38" i="23" s="1"/>
  <c r="P31" i="23"/>
  <c r="P70" i="23" s="1"/>
  <c r="O31" i="23"/>
  <c r="N31" i="23"/>
  <c r="N70" i="23" s="1"/>
  <c r="M31" i="23"/>
  <c r="L31" i="23"/>
  <c r="L38" i="23" s="1"/>
  <c r="K31" i="23"/>
  <c r="K38" i="23" s="1"/>
  <c r="J31" i="23"/>
  <c r="J70" i="23" s="1"/>
  <c r="I31" i="23"/>
  <c r="H31" i="23"/>
  <c r="G31" i="23"/>
  <c r="F31" i="23"/>
  <c r="F38" i="23" s="1"/>
  <c r="E31" i="23"/>
  <c r="E86" i="23" s="1"/>
  <c r="W30" i="23"/>
  <c r="W85" i="23" s="1"/>
  <c r="V30" i="23"/>
  <c r="T30" i="23"/>
  <c r="R30" i="23"/>
  <c r="P30" i="23"/>
  <c r="O30" i="23"/>
  <c r="N30" i="23"/>
  <c r="L30" i="23"/>
  <c r="J30" i="23"/>
  <c r="I30" i="23"/>
  <c r="H30" i="23"/>
  <c r="H73" i="23" s="1"/>
  <c r="G30" i="23"/>
  <c r="F30" i="23"/>
  <c r="F61" i="23" s="1"/>
  <c r="E30" i="23"/>
  <c r="E85" i="23" s="1"/>
  <c r="W29" i="23"/>
  <c r="W57" i="23" s="1"/>
  <c r="V29" i="23"/>
  <c r="T29" i="23"/>
  <c r="R29" i="23"/>
  <c r="P29" i="23"/>
  <c r="P47" i="23" s="1"/>
  <c r="O29" i="23"/>
  <c r="O47" i="23" s="1"/>
  <c r="N29" i="23"/>
  <c r="N84" i="23" s="1"/>
  <c r="L29" i="23"/>
  <c r="J29" i="23"/>
  <c r="I29" i="23"/>
  <c r="I47" i="23" s="1"/>
  <c r="H29" i="23"/>
  <c r="H84" i="23" s="1"/>
  <c r="G29" i="23"/>
  <c r="F29" i="23"/>
  <c r="E29" i="23"/>
  <c r="E84" i="23" s="1"/>
  <c r="W28" i="23"/>
  <c r="W35" i="23" s="1"/>
  <c r="V28" i="23"/>
  <c r="V35" i="23" s="1"/>
  <c r="U28" i="23"/>
  <c r="T28" i="23"/>
  <c r="S28" i="23"/>
  <c r="R28" i="23"/>
  <c r="Q28" i="23"/>
  <c r="P28" i="23"/>
  <c r="O28" i="23"/>
  <c r="N28" i="23"/>
  <c r="M28" i="23"/>
  <c r="L28" i="23"/>
  <c r="K28" i="23"/>
  <c r="J28" i="23"/>
  <c r="I28" i="23"/>
  <c r="H28" i="23"/>
  <c r="H24" i="23" s="1"/>
  <c r="G28" i="23"/>
  <c r="F28" i="23"/>
  <c r="F35" i="23" s="1"/>
  <c r="E28" i="23"/>
  <c r="H21" i="23"/>
  <c r="W15" i="23"/>
  <c r="V15" i="23"/>
  <c r="U15" i="23"/>
  <c r="T15" i="23"/>
  <c r="S15" i="23"/>
  <c r="R15" i="23"/>
  <c r="Q15" i="23"/>
  <c r="P15" i="23"/>
  <c r="O15" i="23"/>
  <c r="N15" i="23"/>
  <c r="M15" i="23"/>
  <c r="L15" i="23"/>
  <c r="K15" i="23"/>
  <c r="J15" i="23"/>
  <c r="I15" i="23"/>
  <c r="H15" i="23"/>
  <c r="G15" i="23"/>
  <c r="F15" i="23"/>
  <c r="E15" i="23"/>
  <c r="K11" i="23"/>
  <c r="M6" i="23"/>
  <c r="M29" i="23" s="1"/>
  <c r="Z3" i="23"/>
  <c r="Z4" i="23" s="1"/>
  <c r="Z6" i="23" s="1"/>
  <c r="M2" i="23"/>
  <c r="C164" i="22"/>
  <c r="C166" i="22" s="1"/>
  <c r="C168" i="22" s="1"/>
  <c r="C170" i="22" s="1"/>
  <c r="C172" i="22" s="1"/>
  <c r="C174" i="22" s="1"/>
  <c r="C176" i="22" s="1"/>
  <c r="C178" i="22" s="1"/>
  <c r="C180" i="22" s="1"/>
  <c r="U158" i="22"/>
  <c r="Q158" i="22"/>
  <c r="P158" i="22"/>
  <c r="W157" i="22"/>
  <c r="W158" i="22" s="1"/>
  <c r="V157" i="22"/>
  <c r="V158" i="22" s="1"/>
  <c r="U157" i="22"/>
  <c r="T157" i="22"/>
  <c r="T158" i="22" s="1"/>
  <c r="S157" i="22"/>
  <c r="S158" i="22" s="1"/>
  <c r="R157" i="22"/>
  <c r="R158" i="22" s="1"/>
  <c r="Q157" i="22"/>
  <c r="P157" i="22"/>
  <c r="O157" i="22"/>
  <c r="O158" i="22" s="1"/>
  <c r="N157" i="22"/>
  <c r="N158" i="22" s="1"/>
  <c r="M157" i="22"/>
  <c r="M158" i="22" s="1"/>
  <c r="L157" i="22"/>
  <c r="L158" i="22" s="1"/>
  <c r="K157" i="22"/>
  <c r="K158" i="22" s="1"/>
  <c r="J157" i="22"/>
  <c r="J158" i="22" s="1"/>
  <c r="I157" i="22"/>
  <c r="I158" i="22" s="1"/>
  <c r="H157" i="22"/>
  <c r="H158" i="22" s="1"/>
  <c r="G157" i="22"/>
  <c r="G158" i="22" s="1"/>
  <c r="F157" i="22"/>
  <c r="F158" i="22" s="1"/>
  <c r="E157" i="22"/>
  <c r="E158" i="22" s="1"/>
  <c r="W144" i="22"/>
  <c r="V144" i="22"/>
  <c r="U144" i="22"/>
  <c r="T144" i="22"/>
  <c r="S144" i="22"/>
  <c r="R144" i="22"/>
  <c r="Q144" i="22"/>
  <c r="P144" i="22"/>
  <c r="O144" i="22"/>
  <c r="N144" i="22"/>
  <c r="M144" i="22"/>
  <c r="L144" i="22"/>
  <c r="K144" i="22"/>
  <c r="J144" i="22"/>
  <c r="I144" i="22"/>
  <c r="H144" i="22"/>
  <c r="G144" i="22"/>
  <c r="F144" i="22"/>
  <c r="E144" i="22"/>
  <c r="W127" i="22"/>
  <c r="V127" i="22"/>
  <c r="U127" i="22"/>
  <c r="T127" i="22"/>
  <c r="S127" i="22"/>
  <c r="R127" i="22"/>
  <c r="Q127" i="22"/>
  <c r="P127" i="22"/>
  <c r="O127" i="22"/>
  <c r="N127" i="22"/>
  <c r="M127" i="22"/>
  <c r="L127" i="22"/>
  <c r="K127" i="22"/>
  <c r="J127" i="22"/>
  <c r="I127" i="22"/>
  <c r="H127" i="22"/>
  <c r="G127" i="22"/>
  <c r="F127" i="22"/>
  <c r="E127" i="22"/>
  <c r="E90" i="22"/>
  <c r="E89" i="22"/>
  <c r="E88" i="22"/>
  <c r="W82" i="22"/>
  <c r="V82" i="22"/>
  <c r="U82" i="22"/>
  <c r="T82" i="22"/>
  <c r="S82" i="22"/>
  <c r="R82" i="22"/>
  <c r="Q82" i="22"/>
  <c r="P82" i="22"/>
  <c r="O82" i="22"/>
  <c r="N82" i="22"/>
  <c r="M82" i="22"/>
  <c r="L82" i="22"/>
  <c r="K82" i="22"/>
  <c r="J82" i="22"/>
  <c r="I82" i="22"/>
  <c r="H82" i="22"/>
  <c r="G82" i="22"/>
  <c r="F82" i="22"/>
  <c r="E82" i="22"/>
  <c r="W81" i="22"/>
  <c r="V81" i="22"/>
  <c r="U81" i="22"/>
  <c r="T81" i="22"/>
  <c r="S81" i="22"/>
  <c r="R81" i="22"/>
  <c r="Q81" i="22"/>
  <c r="P81" i="22"/>
  <c r="O81" i="22"/>
  <c r="N81" i="22"/>
  <c r="M81" i="22"/>
  <c r="L81" i="22"/>
  <c r="K81" i="22"/>
  <c r="J81" i="22"/>
  <c r="I81" i="22"/>
  <c r="H81" i="22"/>
  <c r="G81" i="22"/>
  <c r="F81" i="22"/>
  <c r="E81" i="22"/>
  <c r="F80" i="22"/>
  <c r="E80" i="22"/>
  <c r="F79" i="22"/>
  <c r="E79" i="22"/>
  <c r="F78" i="22"/>
  <c r="E78" i="22"/>
  <c r="W77" i="22"/>
  <c r="V77" i="22"/>
  <c r="U77" i="22"/>
  <c r="T77" i="22"/>
  <c r="S77" i="22"/>
  <c r="R77" i="22"/>
  <c r="Q77" i="22"/>
  <c r="P77" i="22"/>
  <c r="O77" i="22"/>
  <c r="N77" i="22"/>
  <c r="M77" i="22"/>
  <c r="L77" i="22"/>
  <c r="K77" i="22"/>
  <c r="J77" i="22"/>
  <c r="I77" i="22"/>
  <c r="H77" i="22"/>
  <c r="G77" i="22"/>
  <c r="F77" i="22"/>
  <c r="E77" i="22"/>
  <c r="W76" i="22"/>
  <c r="V76" i="22"/>
  <c r="U76" i="22"/>
  <c r="T76" i="22"/>
  <c r="S76" i="22"/>
  <c r="R76" i="22"/>
  <c r="Q76" i="22"/>
  <c r="P76" i="22"/>
  <c r="O76" i="22"/>
  <c r="N76" i="22"/>
  <c r="M76" i="22"/>
  <c r="L76" i="22"/>
  <c r="K76" i="22"/>
  <c r="J76" i="22"/>
  <c r="I76" i="22"/>
  <c r="H76" i="22"/>
  <c r="G76" i="22"/>
  <c r="F76" i="22"/>
  <c r="E76" i="22"/>
  <c r="W74" i="22"/>
  <c r="V74" i="22"/>
  <c r="U74" i="22"/>
  <c r="T74" i="22"/>
  <c r="S74" i="22"/>
  <c r="R74" i="22"/>
  <c r="Q74" i="22"/>
  <c r="P74" i="22"/>
  <c r="O74" i="22"/>
  <c r="N74" i="22"/>
  <c r="M74" i="22"/>
  <c r="L74" i="22"/>
  <c r="K74" i="22"/>
  <c r="J74" i="22"/>
  <c r="I74" i="22"/>
  <c r="H74" i="22"/>
  <c r="G74" i="22"/>
  <c r="F74" i="22"/>
  <c r="E74" i="22"/>
  <c r="E73" i="22"/>
  <c r="E72" i="22"/>
  <c r="W71" i="22"/>
  <c r="V71" i="22"/>
  <c r="U71" i="22"/>
  <c r="T71" i="22"/>
  <c r="S71" i="22"/>
  <c r="R71" i="22"/>
  <c r="Q71" i="22"/>
  <c r="P71" i="22"/>
  <c r="O71" i="22"/>
  <c r="N71" i="22"/>
  <c r="M71" i="22"/>
  <c r="L71" i="22"/>
  <c r="K71" i="22"/>
  <c r="J71" i="22"/>
  <c r="I71" i="22"/>
  <c r="H71" i="22"/>
  <c r="G71" i="22"/>
  <c r="F71" i="22"/>
  <c r="E71" i="22"/>
  <c r="E70" i="22"/>
  <c r="E69" i="22"/>
  <c r="E68" i="22"/>
  <c r="W66" i="22"/>
  <c r="V66" i="22"/>
  <c r="U66" i="22"/>
  <c r="T66" i="22"/>
  <c r="S66" i="22"/>
  <c r="R66" i="22"/>
  <c r="Q66" i="22"/>
  <c r="P66" i="22"/>
  <c r="O66" i="22"/>
  <c r="N66" i="22"/>
  <c r="M66" i="22"/>
  <c r="L66" i="22"/>
  <c r="K66" i="22"/>
  <c r="J66" i="22"/>
  <c r="I66" i="22"/>
  <c r="H66" i="22"/>
  <c r="G66" i="22"/>
  <c r="F66" i="22"/>
  <c r="E66" i="22"/>
  <c r="E65" i="22"/>
  <c r="E64" i="22"/>
  <c r="E63" i="22"/>
  <c r="E62" i="22"/>
  <c r="E61" i="22"/>
  <c r="E60" i="22"/>
  <c r="W58" i="22"/>
  <c r="V58" i="22"/>
  <c r="U58" i="22"/>
  <c r="T58" i="22"/>
  <c r="S58" i="22"/>
  <c r="R58" i="22"/>
  <c r="Q58" i="22"/>
  <c r="P58" i="22"/>
  <c r="O58" i="22"/>
  <c r="N58" i="22"/>
  <c r="M58" i="22"/>
  <c r="L58" i="22"/>
  <c r="K58" i="22"/>
  <c r="J58" i="22"/>
  <c r="I58" i="22"/>
  <c r="H58" i="22"/>
  <c r="G58" i="22"/>
  <c r="F58" i="22"/>
  <c r="E58" i="22"/>
  <c r="E57" i="22"/>
  <c r="E56" i="22"/>
  <c r="E55" i="22"/>
  <c r="E54" i="22"/>
  <c r="W53" i="22"/>
  <c r="V53" i="22"/>
  <c r="U53" i="22"/>
  <c r="T53" i="22"/>
  <c r="S53" i="22"/>
  <c r="R53" i="22"/>
  <c r="Q53" i="22"/>
  <c r="P53" i="22"/>
  <c r="O53" i="22"/>
  <c r="N53" i="22"/>
  <c r="M53" i="22"/>
  <c r="L53" i="22"/>
  <c r="K53" i="22"/>
  <c r="J53" i="22"/>
  <c r="I53" i="22"/>
  <c r="H53" i="22"/>
  <c r="G53" i="22"/>
  <c r="F53" i="22"/>
  <c r="E53" i="22"/>
  <c r="E52" i="22"/>
  <c r="W50" i="22"/>
  <c r="V50" i="22"/>
  <c r="U50" i="22"/>
  <c r="T50" i="22"/>
  <c r="S50" i="22"/>
  <c r="R50" i="22"/>
  <c r="Q50" i="22"/>
  <c r="P50" i="22"/>
  <c r="O50" i="22"/>
  <c r="N50" i="22"/>
  <c r="M50" i="22"/>
  <c r="L50" i="22"/>
  <c r="K50" i="22"/>
  <c r="J50" i="22"/>
  <c r="I50" i="22"/>
  <c r="H50" i="22"/>
  <c r="G50" i="22"/>
  <c r="F50" i="22"/>
  <c r="E50" i="22"/>
  <c r="E49" i="22"/>
  <c r="E48" i="22"/>
  <c r="E46" i="22"/>
  <c r="W45" i="22"/>
  <c r="V45" i="22"/>
  <c r="U45" i="22"/>
  <c r="T45" i="22"/>
  <c r="S45" i="22"/>
  <c r="R45" i="22"/>
  <c r="Q45" i="22"/>
  <c r="P45" i="22"/>
  <c r="O45" i="22"/>
  <c r="N45" i="22"/>
  <c r="M45" i="22"/>
  <c r="L45" i="22"/>
  <c r="K45" i="22"/>
  <c r="J45" i="22"/>
  <c r="I45" i="22"/>
  <c r="H45" i="22"/>
  <c r="G45" i="22"/>
  <c r="F45" i="22"/>
  <c r="E45" i="22"/>
  <c r="E44" i="22"/>
  <c r="E35" i="22"/>
  <c r="W33" i="22"/>
  <c r="V33" i="22"/>
  <c r="U33" i="22"/>
  <c r="T33" i="22"/>
  <c r="S33" i="22"/>
  <c r="R33" i="22"/>
  <c r="Q33" i="22"/>
  <c r="P33" i="22"/>
  <c r="O33" i="22"/>
  <c r="N33" i="22"/>
  <c r="M33" i="22"/>
  <c r="L33" i="22"/>
  <c r="K33" i="22"/>
  <c r="J33" i="22"/>
  <c r="I33" i="22"/>
  <c r="H33" i="22"/>
  <c r="G33" i="22"/>
  <c r="F33" i="22"/>
  <c r="E33" i="22"/>
  <c r="W32" i="22"/>
  <c r="W87" i="22" s="1"/>
  <c r="V32" i="22"/>
  <c r="V87" i="22" s="1"/>
  <c r="U32" i="22"/>
  <c r="U87" i="22" s="1"/>
  <c r="T32" i="22"/>
  <c r="T87" i="22" s="1"/>
  <c r="S32" i="22"/>
  <c r="S87" i="22" s="1"/>
  <c r="R32" i="22"/>
  <c r="R87" i="22" s="1"/>
  <c r="Q32" i="22"/>
  <c r="Q87" i="22" s="1"/>
  <c r="P32" i="22"/>
  <c r="P87" i="22" s="1"/>
  <c r="O32" i="22"/>
  <c r="O87" i="22" s="1"/>
  <c r="N32" i="22"/>
  <c r="N87" i="22" s="1"/>
  <c r="M32" i="22"/>
  <c r="M87" i="22" s="1"/>
  <c r="L32" i="22"/>
  <c r="L87" i="22" s="1"/>
  <c r="K32" i="22"/>
  <c r="K87" i="22" s="1"/>
  <c r="J32" i="22"/>
  <c r="J87" i="22" s="1"/>
  <c r="I32" i="22"/>
  <c r="I87" i="22" s="1"/>
  <c r="H32" i="22"/>
  <c r="H87" i="22" s="1"/>
  <c r="G32" i="22"/>
  <c r="G87" i="22" s="1"/>
  <c r="F32" i="22"/>
  <c r="F87" i="22" s="1"/>
  <c r="E32" i="22"/>
  <c r="E87" i="22" s="1"/>
  <c r="W31" i="22"/>
  <c r="V31" i="22"/>
  <c r="U31" i="22"/>
  <c r="U38" i="22" s="1"/>
  <c r="T31" i="22"/>
  <c r="T62" i="22" s="1"/>
  <c r="S31" i="22"/>
  <c r="R31" i="22"/>
  <c r="Q31" i="22"/>
  <c r="P31" i="22"/>
  <c r="P38" i="22" s="1"/>
  <c r="O31" i="22"/>
  <c r="O70" i="22" s="1"/>
  <c r="N31" i="22"/>
  <c r="M31" i="22"/>
  <c r="L31" i="22"/>
  <c r="K31" i="22"/>
  <c r="J31" i="22"/>
  <c r="J38" i="22" s="1"/>
  <c r="I31" i="22"/>
  <c r="I62" i="22" s="1"/>
  <c r="H31" i="22"/>
  <c r="G31" i="22"/>
  <c r="F31" i="22"/>
  <c r="E31" i="22"/>
  <c r="E86" i="22" s="1"/>
  <c r="W30" i="22"/>
  <c r="W37" i="22" s="1"/>
  <c r="V30" i="22"/>
  <c r="V85" i="22" s="1"/>
  <c r="R30" i="22"/>
  <c r="R37" i="22" s="1"/>
  <c r="P30" i="22"/>
  <c r="O30" i="22"/>
  <c r="O69" i="22" s="1"/>
  <c r="N30" i="22"/>
  <c r="L30" i="22"/>
  <c r="L37" i="22" s="1"/>
  <c r="J30" i="22"/>
  <c r="I30" i="22"/>
  <c r="I65" i="22" s="1"/>
  <c r="H30" i="22"/>
  <c r="G30" i="22"/>
  <c r="F30" i="22"/>
  <c r="F37" i="22" s="1"/>
  <c r="E30" i="22"/>
  <c r="E85" i="22" s="1"/>
  <c r="W29" i="22"/>
  <c r="W44" i="22" s="1"/>
  <c r="V29" i="22"/>
  <c r="V57" i="22" s="1"/>
  <c r="R29" i="22"/>
  <c r="R44" i="22" s="1"/>
  <c r="P29" i="22"/>
  <c r="O29" i="22"/>
  <c r="N29" i="22"/>
  <c r="N44" i="22" s="1"/>
  <c r="L29" i="22"/>
  <c r="L44" i="22" s="1"/>
  <c r="J29" i="22"/>
  <c r="I29" i="22"/>
  <c r="H29" i="22"/>
  <c r="H44" i="22" s="1"/>
  <c r="G29" i="22"/>
  <c r="G44" i="22" s="1"/>
  <c r="F29" i="22"/>
  <c r="F44" i="22" s="1"/>
  <c r="E29" i="22"/>
  <c r="E84" i="22" s="1"/>
  <c r="W28" i="22"/>
  <c r="V28" i="22"/>
  <c r="U28" i="22"/>
  <c r="U35" i="22" s="1"/>
  <c r="T28" i="22"/>
  <c r="T35" i="22" s="1"/>
  <c r="S28" i="22"/>
  <c r="R28" i="22"/>
  <c r="Q28" i="22"/>
  <c r="P28" i="22"/>
  <c r="O28" i="22"/>
  <c r="N28" i="22"/>
  <c r="M28" i="22"/>
  <c r="L28" i="22"/>
  <c r="K28" i="22"/>
  <c r="J28" i="22"/>
  <c r="I28" i="22"/>
  <c r="I35" i="22" s="1"/>
  <c r="H28" i="22"/>
  <c r="H25" i="22" s="1"/>
  <c r="G28" i="22"/>
  <c r="F28" i="22"/>
  <c r="E28" i="22"/>
  <c r="H21" i="22"/>
  <c r="W15" i="22"/>
  <c r="V15" i="22"/>
  <c r="U15" i="22"/>
  <c r="T15" i="22"/>
  <c r="S15" i="22"/>
  <c r="R15" i="22"/>
  <c r="Q15" i="22"/>
  <c r="P15" i="22"/>
  <c r="O15" i="22"/>
  <c r="N15" i="22"/>
  <c r="M15" i="22"/>
  <c r="L15" i="22"/>
  <c r="K15" i="22"/>
  <c r="J15" i="22"/>
  <c r="I15" i="22"/>
  <c r="H15" i="22"/>
  <c r="G15" i="22"/>
  <c r="F15" i="22"/>
  <c r="E15" i="22"/>
  <c r="M6" i="22"/>
  <c r="M29" i="22" s="1"/>
  <c r="Z3" i="22"/>
  <c r="Z4" i="22" s="1"/>
  <c r="Z6" i="22" s="1"/>
  <c r="M2" i="22"/>
  <c r="C164" i="20"/>
  <c r="C166" i="20" s="1"/>
  <c r="C168" i="20" s="1"/>
  <c r="C170" i="20" s="1"/>
  <c r="C172" i="20" s="1"/>
  <c r="C174" i="20" s="1"/>
  <c r="C176" i="20" s="1"/>
  <c r="C178" i="20" s="1"/>
  <c r="C180" i="20" s="1"/>
  <c r="U158" i="20"/>
  <c r="Q158" i="20"/>
  <c r="W157" i="20"/>
  <c r="W158" i="20" s="1"/>
  <c r="V157" i="20"/>
  <c r="V158" i="20" s="1"/>
  <c r="U157" i="20"/>
  <c r="T157" i="20"/>
  <c r="T158" i="20" s="1"/>
  <c r="S157" i="20"/>
  <c r="S158" i="20" s="1"/>
  <c r="R157" i="20"/>
  <c r="R158" i="20" s="1"/>
  <c r="Q157" i="20"/>
  <c r="P157" i="20"/>
  <c r="P158" i="20" s="1"/>
  <c r="O157" i="20"/>
  <c r="O158" i="20" s="1"/>
  <c r="N157" i="20"/>
  <c r="N158" i="20" s="1"/>
  <c r="M157" i="20"/>
  <c r="M158" i="20" s="1"/>
  <c r="L157" i="20"/>
  <c r="L158" i="20" s="1"/>
  <c r="K157" i="20"/>
  <c r="K158" i="20" s="1"/>
  <c r="J157" i="20"/>
  <c r="J158" i="20" s="1"/>
  <c r="I157" i="20"/>
  <c r="I158" i="20" s="1"/>
  <c r="H157" i="20"/>
  <c r="H158" i="20" s="1"/>
  <c r="G157" i="20"/>
  <c r="G158" i="20" s="1"/>
  <c r="F157" i="20"/>
  <c r="F158" i="20" s="1"/>
  <c r="E157" i="20"/>
  <c r="E158" i="20" s="1"/>
  <c r="W144" i="20"/>
  <c r="V144" i="20"/>
  <c r="U144" i="20"/>
  <c r="T144" i="20"/>
  <c r="S144" i="20"/>
  <c r="R144" i="20"/>
  <c r="Q144" i="20"/>
  <c r="P144" i="20"/>
  <c r="O144" i="20"/>
  <c r="N144" i="20"/>
  <c r="M144" i="20"/>
  <c r="L144" i="20"/>
  <c r="K144" i="20"/>
  <c r="J144" i="20"/>
  <c r="I144" i="20"/>
  <c r="H144" i="20"/>
  <c r="G144" i="20"/>
  <c r="F144" i="20"/>
  <c r="E144" i="20"/>
  <c r="W127" i="20"/>
  <c r="V127" i="20"/>
  <c r="U127" i="20"/>
  <c r="T127" i="20"/>
  <c r="S127" i="20"/>
  <c r="R127" i="20"/>
  <c r="Q127" i="20"/>
  <c r="P127" i="20"/>
  <c r="O127" i="20"/>
  <c r="N127" i="20"/>
  <c r="M127" i="20"/>
  <c r="L127" i="20"/>
  <c r="K127" i="20"/>
  <c r="J127" i="20"/>
  <c r="I127" i="20"/>
  <c r="H127" i="20"/>
  <c r="G127" i="20"/>
  <c r="F127" i="20"/>
  <c r="E127" i="20"/>
  <c r="E90" i="20"/>
  <c r="E89" i="20"/>
  <c r="E88" i="20"/>
  <c r="P87" i="20"/>
  <c r="I84" i="20"/>
  <c r="W82" i="20"/>
  <c r="V82" i="20"/>
  <c r="U82" i="20"/>
  <c r="T82" i="20"/>
  <c r="S82" i="20"/>
  <c r="R82" i="20"/>
  <c r="Q82" i="20"/>
  <c r="P82" i="20"/>
  <c r="O82" i="20"/>
  <c r="N82" i="20"/>
  <c r="M82" i="20"/>
  <c r="L82" i="20"/>
  <c r="K82" i="20"/>
  <c r="J82" i="20"/>
  <c r="I82" i="20"/>
  <c r="H82" i="20"/>
  <c r="G82" i="20"/>
  <c r="F82" i="20"/>
  <c r="E82" i="20"/>
  <c r="W81" i="20"/>
  <c r="V81" i="20"/>
  <c r="U81" i="20"/>
  <c r="T81" i="20"/>
  <c r="S81" i="20"/>
  <c r="R81" i="20"/>
  <c r="Q81" i="20"/>
  <c r="P81" i="20"/>
  <c r="O81" i="20"/>
  <c r="N81" i="20"/>
  <c r="M81" i="20"/>
  <c r="L81" i="20"/>
  <c r="K81" i="20"/>
  <c r="J81" i="20"/>
  <c r="I81" i="20"/>
  <c r="H81" i="20"/>
  <c r="G81" i="20"/>
  <c r="F81" i="20"/>
  <c r="E81" i="20"/>
  <c r="F80" i="20"/>
  <c r="E80" i="20"/>
  <c r="F79" i="20"/>
  <c r="E79" i="20"/>
  <c r="F78" i="20"/>
  <c r="E78" i="20"/>
  <c r="W77" i="20"/>
  <c r="V77" i="20"/>
  <c r="U77" i="20"/>
  <c r="T77" i="20"/>
  <c r="S77" i="20"/>
  <c r="R77" i="20"/>
  <c r="Q77" i="20"/>
  <c r="P77" i="20"/>
  <c r="O77" i="20"/>
  <c r="N77" i="20"/>
  <c r="M77" i="20"/>
  <c r="L77" i="20"/>
  <c r="K77" i="20"/>
  <c r="J77" i="20"/>
  <c r="I77" i="20"/>
  <c r="H77" i="20"/>
  <c r="G77" i="20"/>
  <c r="F77" i="20"/>
  <c r="E77" i="20"/>
  <c r="W76" i="20"/>
  <c r="V76" i="20"/>
  <c r="U76" i="20"/>
  <c r="T76" i="20"/>
  <c r="S76" i="20"/>
  <c r="R76" i="20"/>
  <c r="Q76" i="20"/>
  <c r="P76" i="20"/>
  <c r="O76" i="20"/>
  <c r="N76" i="20"/>
  <c r="M76" i="20"/>
  <c r="L76" i="20"/>
  <c r="K76" i="20"/>
  <c r="J76" i="20"/>
  <c r="I76" i="20"/>
  <c r="H76" i="20"/>
  <c r="G76" i="20"/>
  <c r="F76" i="20"/>
  <c r="E76" i="20"/>
  <c r="W74" i="20"/>
  <c r="V74" i="20"/>
  <c r="U74" i="20"/>
  <c r="T74" i="20"/>
  <c r="S74" i="20"/>
  <c r="R74" i="20"/>
  <c r="Q74" i="20"/>
  <c r="P74" i="20"/>
  <c r="O74" i="20"/>
  <c r="N74" i="20"/>
  <c r="M74" i="20"/>
  <c r="L74" i="20"/>
  <c r="K74" i="20"/>
  <c r="J74" i="20"/>
  <c r="I74" i="20"/>
  <c r="H74" i="20"/>
  <c r="G74" i="20"/>
  <c r="F74" i="20"/>
  <c r="E74" i="20"/>
  <c r="E73" i="20"/>
  <c r="E72" i="20"/>
  <c r="W71" i="20"/>
  <c r="V71" i="20"/>
  <c r="U71" i="20"/>
  <c r="T71" i="20"/>
  <c r="S71" i="20"/>
  <c r="R71" i="20"/>
  <c r="Q71" i="20"/>
  <c r="P71" i="20"/>
  <c r="O71" i="20"/>
  <c r="N71" i="20"/>
  <c r="M71" i="20"/>
  <c r="L71" i="20"/>
  <c r="K71" i="20"/>
  <c r="J71" i="20"/>
  <c r="I71" i="20"/>
  <c r="H71" i="20"/>
  <c r="G71" i="20"/>
  <c r="F71" i="20"/>
  <c r="E71" i="20"/>
  <c r="J70" i="20"/>
  <c r="E70" i="20"/>
  <c r="E69" i="20"/>
  <c r="E68" i="20"/>
  <c r="W66" i="20"/>
  <c r="V66" i="20"/>
  <c r="U66" i="20"/>
  <c r="T66" i="20"/>
  <c r="S66" i="20"/>
  <c r="R66" i="20"/>
  <c r="Q66" i="20"/>
  <c r="P66" i="20"/>
  <c r="O66" i="20"/>
  <c r="N66" i="20"/>
  <c r="M66" i="20"/>
  <c r="L66" i="20"/>
  <c r="K66" i="20"/>
  <c r="J66" i="20"/>
  <c r="I66" i="20"/>
  <c r="H66" i="20"/>
  <c r="G66" i="20"/>
  <c r="F66" i="20"/>
  <c r="E66" i="20"/>
  <c r="E65" i="20"/>
  <c r="E64" i="20"/>
  <c r="E63" i="20"/>
  <c r="E62" i="20"/>
  <c r="H61" i="20"/>
  <c r="E61" i="20"/>
  <c r="O60" i="20"/>
  <c r="E60" i="20"/>
  <c r="W58" i="20"/>
  <c r="V58" i="20"/>
  <c r="U58" i="20"/>
  <c r="T58" i="20"/>
  <c r="S58" i="20"/>
  <c r="R58" i="20"/>
  <c r="Q58" i="20"/>
  <c r="P58" i="20"/>
  <c r="O58" i="20"/>
  <c r="N58" i="20"/>
  <c r="M58" i="20"/>
  <c r="L58" i="20"/>
  <c r="K58" i="20"/>
  <c r="J58" i="20"/>
  <c r="I58" i="20"/>
  <c r="H58" i="20"/>
  <c r="G58" i="20"/>
  <c r="F58" i="20"/>
  <c r="E58" i="20"/>
  <c r="N57" i="20"/>
  <c r="E57" i="20"/>
  <c r="E56" i="20"/>
  <c r="E55" i="20"/>
  <c r="E54" i="20"/>
  <c r="W53" i="20"/>
  <c r="V53" i="20"/>
  <c r="U53" i="20"/>
  <c r="T53" i="20"/>
  <c r="S53" i="20"/>
  <c r="R53" i="20"/>
  <c r="Q53" i="20"/>
  <c r="P53" i="20"/>
  <c r="O53" i="20"/>
  <c r="N53" i="20"/>
  <c r="M53" i="20"/>
  <c r="L53" i="20"/>
  <c r="K53" i="20"/>
  <c r="J53" i="20"/>
  <c r="I53" i="20"/>
  <c r="H53" i="20"/>
  <c r="G53" i="20"/>
  <c r="F53" i="20"/>
  <c r="E53" i="20"/>
  <c r="E52" i="20"/>
  <c r="W50" i="20"/>
  <c r="V50" i="20"/>
  <c r="U50" i="20"/>
  <c r="T50" i="20"/>
  <c r="S50" i="20"/>
  <c r="R50" i="20"/>
  <c r="Q50" i="20"/>
  <c r="P50" i="20"/>
  <c r="O50" i="20"/>
  <c r="N50" i="20"/>
  <c r="M50" i="20"/>
  <c r="L50" i="20"/>
  <c r="K50" i="20"/>
  <c r="J50" i="20"/>
  <c r="I50" i="20"/>
  <c r="H50" i="20"/>
  <c r="G50" i="20"/>
  <c r="F50" i="20"/>
  <c r="E50" i="20"/>
  <c r="P49" i="20"/>
  <c r="E49" i="20"/>
  <c r="E48" i="20"/>
  <c r="N47" i="20"/>
  <c r="E46" i="20"/>
  <c r="W45" i="20"/>
  <c r="V45" i="20"/>
  <c r="U45" i="20"/>
  <c r="T45" i="20"/>
  <c r="S45" i="20"/>
  <c r="R45" i="20"/>
  <c r="Q45" i="20"/>
  <c r="P45" i="20"/>
  <c r="O45" i="20"/>
  <c r="N45" i="20"/>
  <c r="M45" i="20"/>
  <c r="L45" i="20"/>
  <c r="K45" i="20"/>
  <c r="J45" i="20"/>
  <c r="I45" i="20"/>
  <c r="H45" i="20"/>
  <c r="G45" i="20"/>
  <c r="F45" i="20"/>
  <c r="E45" i="20"/>
  <c r="E44" i="20"/>
  <c r="P39" i="20"/>
  <c r="W38" i="20"/>
  <c r="R38" i="20"/>
  <c r="K38" i="20"/>
  <c r="I36" i="20"/>
  <c r="V35" i="20"/>
  <c r="E35" i="20"/>
  <c r="W33" i="20"/>
  <c r="V33" i="20"/>
  <c r="U33" i="20"/>
  <c r="T33" i="20"/>
  <c r="S33" i="20"/>
  <c r="R33" i="20"/>
  <c r="Q33" i="20"/>
  <c r="P33" i="20"/>
  <c r="O33" i="20"/>
  <c r="N33" i="20"/>
  <c r="N64" i="20" s="1"/>
  <c r="M33" i="20"/>
  <c r="L33" i="20"/>
  <c r="K33" i="20"/>
  <c r="J33" i="20"/>
  <c r="I33" i="20"/>
  <c r="H33" i="20"/>
  <c r="G33" i="20"/>
  <c r="F33" i="20"/>
  <c r="E33" i="20"/>
  <c r="W32" i="20"/>
  <c r="V32" i="20"/>
  <c r="U32" i="20"/>
  <c r="U87" i="20" s="1"/>
  <c r="T32" i="20"/>
  <c r="T87" i="20" s="1"/>
  <c r="S32" i="20"/>
  <c r="S87" i="20" s="1"/>
  <c r="R32" i="20"/>
  <c r="Q32" i="20"/>
  <c r="P32" i="20"/>
  <c r="O32" i="20"/>
  <c r="O87" i="20" s="1"/>
  <c r="N32" i="20"/>
  <c r="N87" i="20" s="1"/>
  <c r="M32" i="20"/>
  <c r="M87" i="20" s="1"/>
  <c r="L32" i="20"/>
  <c r="K32" i="20"/>
  <c r="J32" i="20"/>
  <c r="J87" i="20" s="1"/>
  <c r="I32" i="20"/>
  <c r="I87" i="20" s="1"/>
  <c r="H32" i="20"/>
  <c r="H87" i="20" s="1"/>
  <c r="G32" i="20"/>
  <c r="G87" i="20" s="1"/>
  <c r="F32" i="20"/>
  <c r="E32" i="20"/>
  <c r="W31" i="20"/>
  <c r="W86" i="20" s="1"/>
  <c r="V31" i="20"/>
  <c r="V70" i="20" s="1"/>
  <c r="U31" i="20"/>
  <c r="U86" i="20" s="1"/>
  <c r="T31" i="20"/>
  <c r="T86" i="20" s="1"/>
  <c r="S31" i="20"/>
  <c r="R31" i="20"/>
  <c r="R86" i="20" s="1"/>
  <c r="Q31" i="20"/>
  <c r="Q70" i="20" s="1"/>
  <c r="P31" i="20"/>
  <c r="P86" i="20" s="1"/>
  <c r="O31" i="20"/>
  <c r="O86" i="20" s="1"/>
  <c r="N31" i="20"/>
  <c r="M31" i="20"/>
  <c r="L31" i="20"/>
  <c r="L70" i="20" s="1"/>
  <c r="K31" i="20"/>
  <c r="K70" i="20" s="1"/>
  <c r="J31" i="20"/>
  <c r="J86" i="20" s="1"/>
  <c r="I31" i="20"/>
  <c r="I86" i="20" s="1"/>
  <c r="H31" i="20"/>
  <c r="G31" i="20"/>
  <c r="F31" i="20"/>
  <c r="F70" i="20" s="1"/>
  <c r="E31" i="20"/>
  <c r="E86" i="20" s="1"/>
  <c r="W30" i="20"/>
  <c r="W61" i="20" s="1"/>
  <c r="V30" i="20"/>
  <c r="V61" i="20" s="1"/>
  <c r="T30" i="20"/>
  <c r="R30" i="20"/>
  <c r="R61" i="20" s="1"/>
  <c r="P30" i="20"/>
  <c r="P56" i="20" s="1"/>
  <c r="O30" i="20"/>
  <c r="N30" i="20"/>
  <c r="N85" i="20" s="1"/>
  <c r="L30" i="20"/>
  <c r="L61" i="20" s="1"/>
  <c r="J30" i="20"/>
  <c r="I30" i="20"/>
  <c r="I56" i="20" s="1"/>
  <c r="H30" i="20"/>
  <c r="H37" i="20" s="1"/>
  <c r="G30" i="20"/>
  <c r="G61" i="20" s="1"/>
  <c r="F30" i="20"/>
  <c r="F61" i="20" s="1"/>
  <c r="E30" i="20"/>
  <c r="E85" i="20" s="1"/>
  <c r="W29" i="20"/>
  <c r="W52" i="20" s="1"/>
  <c r="V29" i="20"/>
  <c r="V52" i="20" s="1"/>
  <c r="T29" i="20"/>
  <c r="T57" i="20" s="1"/>
  <c r="R29" i="20"/>
  <c r="R52" i="20" s="1"/>
  <c r="P29" i="20"/>
  <c r="P84" i="20" s="1"/>
  <c r="O29" i="20"/>
  <c r="O84" i="20" s="1"/>
  <c r="N29" i="20"/>
  <c r="N60" i="20" s="1"/>
  <c r="L29" i="20"/>
  <c r="J29" i="20"/>
  <c r="J49" i="20" s="1"/>
  <c r="I29" i="20"/>
  <c r="I57" i="20" s="1"/>
  <c r="H29" i="20"/>
  <c r="H60" i="20" s="1"/>
  <c r="G29" i="20"/>
  <c r="G60" i="20" s="1"/>
  <c r="F29" i="20"/>
  <c r="E29" i="20"/>
  <c r="W28" i="20"/>
  <c r="W35" i="20" s="1"/>
  <c r="V28" i="20"/>
  <c r="U28" i="20"/>
  <c r="T28" i="20"/>
  <c r="T35" i="20" s="1"/>
  <c r="S28" i="20"/>
  <c r="R28" i="20"/>
  <c r="R98" i="20" s="1"/>
  <c r="Q28" i="20"/>
  <c r="P28" i="20"/>
  <c r="O28" i="20"/>
  <c r="N28" i="20"/>
  <c r="M28" i="20"/>
  <c r="L28" i="20"/>
  <c r="K28" i="20"/>
  <c r="J28" i="20"/>
  <c r="J98" i="20" s="1"/>
  <c r="I28" i="20"/>
  <c r="H28" i="20"/>
  <c r="G28" i="20"/>
  <c r="F28" i="20"/>
  <c r="F35" i="20" s="1"/>
  <c r="E28" i="20"/>
  <c r="H21" i="20"/>
  <c r="W15" i="20"/>
  <c r="V15" i="20"/>
  <c r="U15" i="20"/>
  <c r="T15" i="20"/>
  <c r="S15" i="20"/>
  <c r="R15" i="20"/>
  <c r="Q15" i="20"/>
  <c r="P15" i="20"/>
  <c r="O15" i="20"/>
  <c r="N15" i="20"/>
  <c r="M15" i="20"/>
  <c r="L15" i="20"/>
  <c r="K15" i="20"/>
  <c r="J15" i="20"/>
  <c r="I15" i="20"/>
  <c r="H15" i="20"/>
  <c r="G15" i="20"/>
  <c r="F15" i="20"/>
  <c r="E15" i="20"/>
  <c r="K11" i="20"/>
  <c r="M6" i="20"/>
  <c r="M29" i="20" s="1"/>
  <c r="M44" i="20" s="1"/>
  <c r="Z3" i="20"/>
  <c r="Z4" i="20" s="1"/>
  <c r="M2" i="20"/>
  <c r="M128" i="20" s="1"/>
  <c r="T23" i="25" l="1"/>
  <c r="T21" i="25"/>
  <c r="O115" i="25"/>
  <c r="H115" i="25"/>
  <c r="R115" i="25"/>
  <c r="W115" i="25"/>
  <c r="F115" i="25"/>
  <c r="E24" i="25"/>
  <c r="G151" i="25"/>
  <c r="G154" i="25" s="1"/>
  <c r="H152" i="25"/>
  <c r="H18" i="25" s="1"/>
  <c r="T36" i="20"/>
  <c r="T92" i="20" s="1"/>
  <c r="T39" i="20"/>
  <c r="T49" i="20"/>
  <c r="N61" i="20"/>
  <c r="G37" i="20"/>
  <c r="G93" i="20" s="1"/>
  <c r="U39" i="20"/>
  <c r="G57" i="20"/>
  <c r="F62" i="20"/>
  <c r="F65" i="20"/>
  <c r="N37" i="20"/>
  <c r="G44" i="20"/>
  <c r="K62" i="20"/>
  <c r="F69" i="20"/>
  <c r="P73" i="20"/>
  <c r="E38" i="20"/>
  <c r="E94" i="20" s="1"/>
  <c r="N44" i="20"/>
  <c r="L62" i="20"/>
  <c r="L69" i="20"/>
  <c r="J97" i="20"/>
  <c r="R93" i="20"/>
  <c r="V64" i="20"/>
  <c r="F38" i="20"/>
  <c r="F52" i="20"/>
  <c r="Q62" i="20"/>
  <c r="R69" i="20"/>
  <c r="W64" i="20"/>
  <c r="R62" i="20"/>
  <c r="V69" i="20"/>
  <c r="L38" i="20"/>
  <c r="I60" i="20"/>
  <c r="V62" i="20"/>
  <c r="W69" i="20"/>
  <c r="Q38" i="20"/>
  <c r="J60" i="20"/>
  <c r="W62" i="20"/>
  <c r="I70" i="20"/>
  <c r="P60" i="20"/>
  <c r="V38" i="20"/>
  <c r="V48" i="20"/>
  <c r="T60" i="20"/>
  <c r="P70" i="20"/>
  <c r="G85" i="20"/>
  <c r="J36" i="20"/>
  <c r="I39" i="20"/>
  <c r="W48" i="20"/>
  <c r="R70" i="20"/>
  <c r="O36" i="20"/>
  <c r="J39" i="20"/>
  <c r="V65" i="20"/>
  <c r="W70" i="20"/>
  <c r="P36" i="20"/>
  <c r="O39" i="20"/>
  <c r="V86" i="20"/>
  <c r="U14" i="24"/>
  <c r="U23" i="24" s="1"/>
  <c r="W14" i="24"/>
  <c r="W16" i="24" s="1"/>
  <c r="U21" i="24"/>
  <c r="U25" i="24"/>
  <c r="U24" i="24"/>
  <c r="V14" i="24"/>
  <c r="H24" i="22"/>
  <c r="T151" i="25"/>
  <c r="R48" i="23"/>
  <c r="V48" i="23"/>
  <c r="R96" i="23"/>
  <c r="G48" i="23"/>
  <c r="L48" i="23"/>
  <c r="N73" i="23"/>
  <c r="W19" i="24"/>
  <c r="W22" i="24"/>
  <c r="W17" i="24"/>
  <c r="H168" i="25"/>
  <c r="G113" i="24"/>
  <c r="V151" i="25"/>
  <c r="W151" i="25"/>
  <c r="W46" i="25"/>
  <c r="W54" i="25"/>
  <c r="W55" i="25"/>
  <c r="G25" i="25"/>
  <c r="G16" i="25"/>
  <c r="H68" i="25" s="1"/>
  <c r="G21" i="25"/>
  <c r="G24" i="25"/>
  <c r="G23" i="25"/>
  <c r="E115" i="25"/>
  <c r="E152" i="25" s="1"/>
  <c r="G115" i="25"/>
  <c r="W181" i="25"/>
  <c r="W180" i="25"/>
  <c r="W19" i="25"/>
  <c r="W16" i="25"/>
  <c r="W21" i="25"/>
  <c r="W24" i="25"/>
  <c r="W23" i="25"/>
  <c r="W17" i="25"/>
  <c r="W25" i="25"/>
  <c r="W22" i="25"/>
  <c r="W18" i="25"/>
  <c r="W20" i="25"/>
  <c r="M115" i="25"/>
  <c r="O152" i="25"/>
  <c r="O180" i="25" s="1"/>
  <c r="O25" i="25"/>
  <c r="O24" i="25"/>
  <c r="O21" i="25"/>
  <c r="O23" i="25"/>
  <c r="H151" i="25"/>
  <c r="I25" i="25"/>
  <c r="I21" i="25"/>
  <c r="I23" i="25"/>
  <c r="I24" i="25"/>
  <c r="O151" i="25"/>
  <c r="O16" i="25" s="1"/>
  <c r="P68" i="25" s="1"/>
  <c r="W63" i="25"/>
  <c r="W47" i="25"/>
  <c r="F151" i="25"/>
  <c r="F16" i="25" s="1"/>
  <c r="G68" i="25" s="1"/>
  <c r="T115" i="25"/>
  <c r="L115" i="25"/>
  <c r="I151" i="25"/>
  <c r="E151" i="25"/>
  <c r="E16" i="25" s="1"/>
  <c r="F68" i="25" s="1"/>
  <c r="F23" i="25"/>
  <c r="F21" i="25"/>
  <c r="F25" i="25"/>
  <c r="F24" i="25"/>
  <c r="F47" i="25"/>
  <c r="I115" i="25"/>
  <c r="I152" i="25" s="1"/>
  <c r="R118" i="24"/>
  <c r="I14" i="24"/>
  <c r="I21" i="24" s="1"/>
  <c r="X14" i="24"/>
  <c r="X181" i="24" s="1"/>
  <c r="X113" i="24"/>
  <c r="U113" i="24"/>
  <c r="E113" i="24"/>
  <c r="F113" i="24"/>
  <c r="R14" i="24"/>
  <c r="R21" i="24" s="1"/>
  <c r="I113" i="24"/>
  <c r="O132" i="24"/>
  <c r="O129" i="24"/>
  <c r="O130" i="24" s="1"/>
  <c r="O125" i="24"/>
  <c r="O131" i="24"/>
  <c r="G120" i="24"/>
  <c r="G119" i="24"/>
  <c r="G121" i="24" s="1"/>
  <c r="E136" i="24"/>
  <c r="E137" i="24" s="1"/>
  <c r="E139" i="24"/>
  <c r="I149" i="24"/>
  <c r="I145" i="24"/>
  <c r="I147" i="24" s="1"/>
  <c r="I148" i="24"/>
  <c r="V106" i="24"/>
  <c r="V104" i="24"/>
  <c r="V105" i="24" s="1"/>
  <c r="V107" i="24" s="1"/>
  <c r="L148" i="24"/>
  <c r="L145" i="24"/>
  <c r="L147" i="24" s="1"/>
  <c r="L149" i="24"/>
  <c r="E104" i="24"/>
  <c r="E105" i="24" s="1"/>
  <c r="E107" i="24" s="1"/>
  <c r="E106" i="24"/>
  <c r="R120" i="24"/>
  <c r="R119" i="24"/>
  <c r="W114" i="24"/>
  <c r="W111" i="24"/>
  <c r="W112" i="24" s="1"/>
  <c r="F131" i="24"/>
  <c r="F132" i="24"/>
  <c r="F125" i="24"/>
  <c r="F129" i="24"/>
  <c r="F130" i="24" s="1"/>
  <c r="L120" i="24"/>
  <c r="L119" i="24"/>
  <c r="L121" i="24" s="1"/>
  <c r="X148" i="24"/>
  <c r="X145" i="24"/>
  <c r="X147" i="24" s="1"/>
  <c r="X149" i="24"/>
  <c r="H104" i="24"/>
  <c r="H105" i="24" s="1"/>
  <c r="H107" i="24" s="1"/>
  <c r="H106" i="24"/>
  <c r="W104" i="24"/>
  <c r="W105" i="24" s="1"/>
  <c r="W107" i="24" s="1"/>
  <c r="W106" i="24"/>
  <c r="L114" i="24"/>
  <c r="L111" i="24"/>
  <c r="L112" i="24" s="1"/>
  <c r="M131" i="24"/>
  <c r="M132" i="24"/>
  <c r="M129" i="24"/>
  <c r="M130" i="24" s="1"/>
  <c r="M125" i="24"/>
  <c r="G114" i="24"/>
  <c r="G111" i="24"/>
  <c r="G112" i="24" s="1"/>
  <c r="X131" i="24"/>
  <c r="X129" i="24"/>
  <c r="X130" i="24" s="1"/>
  <c r="X132" i="24"/>
  <c r="X125" i="24"/>
  <c r="V114" i="24"/>
  <c r="V111" i="24"/>
  <c r="V112" i="24" s="1"/>
  <c r="U139" i="24"/>
  <c r="U136" i="24"/>
  <c r="U137" i="24" s="1"/>
  <c r="E114" i="24"/>
  <c r="E111" i="24"/>
  <c r="E112" i="24" s="1"/>
  <c r="F104" i="24"/>
  <c r="F105" i="24" s="1"/>
  <c r="F107" i="24" s="1"/>
  <c r="F106" i="24"/>
  <c r="W120" i="24"/>
  <c r="W119" i="24"/>
  <c r="W121" i="24" s="1"/>
  <c r="U106" i="24"/>
  <c r="U104" i="24"/>
  <c r="U105" i="24" s="1"/>
  <c r="U107" i="24" s="1"/>
  <c r="I106" i="24"/>
  <c r="I104" i="24"/>
  <c r="I105" i="24" s="1"/>
  <c r="I107" i="24" s="1"/>
  <c r="E132" i="24"/>
  <c r="E129" i="24"/>
  <c r="E130" i="24" s="1"/>
  <c r="E125" i="24"/>
  <c r="E131" i="24"/>
  <c r="W136" i="24"/>
  <c r="W137" i="24" s="1"/>
  <c r="W139" i="24"/>
  <c r="E149" i="24"/>
  <c r="E148" i="24"/>
  <c r="E145" i="24"/>
  <c r="E147" i="24" s="1"/>
  <c r="X120" i="24"/>
  <c r="X119" i="24"/>
  <c r="X121" i="24" s="1"/>
  <c r="V139" i="24"/>
  <c r="V136" i="24"/>
  <c r="V137" i="24" s="1"/>
  <c r="Q132" i="24"/>
  <c r="Q129" i="24"/>
  <c r="Q130" i="24" s="1"/>
  <c r="Q125" i="24"/>
  <c r="Q131" i="24"/>
  <c r="H149" i="24"/>
  <c r="H145" i="24"/>
  <c r="H147" i="24" s="1"/>
  <c r="H148" i="24"/>
  <c r="G104" i="24"/>
  <c r="G105" i="24" s="1"/>
  <c r="G107" i="24" s="1"/>
  <c r="G106" i="24"/>
  <c r="S131" i="24"/>
  <c r="S132" i="24"/>
  <c r="S129" i="24"/>
  <c r="S130" i="24" s="1"/>
  <c r="S125" i="24"/>
  <c r="I139" i="24"/>
  <c r="I136" i="24"/>
  <c r="I137" i="24" s="1"/>
  <c r="X104" i="24"/>
  <c r="X105" i="24" s="1"/>
  <c r="X107" i="24" s="1"/>
  <c r="X106" i="24"/>
  <c r="E120" i="24"/>
  <c r="E119" i="24"/>
  <c r="E121" i="24" s="1"/>
  <c r="F114" i="24"/>
  <c r="F111" i="24"/>
  <c r="F112" i="24" s="1"/>
  <c r="U114" i="24"/>
  <c r="U111" i="24"/>
  <c r="U112" i="24" s="1"/>
  <c r="I114" i="24"/>
  <c r="I111" i="24"/>
  <c r="I112" i="24" s="1"/>
  <c r="L113" i="24"/>
  <c r="I132" i="24"/>
  <c r="I129" i="24"/>
  <c r="I130" i="24" s="1"/>
  <c r="I125" i="24"/>
  <c r="I131" i="24"/>
  <c r="H113" i="24"/>
  <c r="J120" i="24"/>
  <c r="J119" i="24"/>
  <c r="J121" i="24" s="1"/>
  <c r="I119" i="24"/>
  <c r="I121" i="24" s="1"/>
  <c r="I120" i="24"/>
  <c r="G14" i="24"/>
  <c r="X111" i="24"/>
  <c r="X112" i="24" s="1"/>
  <c r="X114" i="24"/>
  <c r="V113" i="24"/>
  <c r="U132" i="24"/>
  <c r="U129" i="24"/>
  <c r="U130" i="24" s="1"/>
  <c r="U125" i="24"/>
  <c r="U131" i="24"/>
  <c r="F120" i="24"/>
  <c r="F119" i="24"/>
  <c r="F121" i="24" s="1"/>
  <c r="H132" i="24"/>
  <c r="H129" i="24"/>
  <c r="H130" i="24" s="1"/>
  <c r="H125" i="24"/>
  <c r="H131" i="24"/>
  <c r="W113" i="24"/>
  <c r="E14" i="24"/>
  <c r="F14" i="24"/>
  <c r="T132" i="24"/>
  <c r="T129" i="24"/>
  <c r="T130" i="24" s="1"/>
  <c r="T125" i="24"/>
  <c r="T131" i="24"/>
  <c r="F139" i="24"/>
  <c r="F136" i="24"/>
  <c r="F137" i="24" s="1"/>
  <c r="G139" i="24"/>
  <c r="G136" i="24"/>
  <c r="G137" i="24" s="1"/>
  <c r="H119" i="24"/>
  <c r="H121" i="24" s="1"/>
  <c r="H120" i="24"/>
  <c r="U149" i="24"/>
  <c r="U148" i="24"/>
  <c r="U145" i="24"/>
  <c r="U147" i="24" s="1"/>
  <c r="V132" i="24"/>
  <c r="V129" i="24"/>
  <c r="V130" i="24" s="1"/>
  <c r="V125" i="24"/>
  <c r="V131" i="24"/>
  <c r="U119" i="24"/>
  <c r="U121" i="24" s="1"/>
  <c r="U120" i="24"/>
  <c r="K132" i="24"/>
  <c r="K129" i="24"/>
  <c r="K130" i="24" s="1"/>
  <c r="K125" i="24"/>
  <c r="K131" i="24"/>
  <c r="H114" i="24"/>
  <c r="H111" i="24"/>
  <c r="H112" i="24" s="1"/>
  <c r="H139" i="24"/>
  <c r="H136" i="24"/>
  <c r="H137" i="24" s="1"/>
  <c r="W149" i="24"/>
  <c r="W148" i="24"/>
  <c r="W145" i="24"/>
  <c r="W147" i="24" s="1"/>
  <c r="W132" i="24"/>
  <c r="W129" i="24"/>
  <c r="W130" i="24" s="1"/>
  <c r="W125" i="24"/>
  <c r="W131" i="24"/>
  <c r="V120" i="24"/>
  <c r="V119" i="24"/>
  <c r="V121" i="24" s="1"/>
  <c r="G131" i="24"/>
  <c r="G132" i="24"/>
  <c r="G129" i="24"/>
  <c r="G130" i="24" s="1"/>
  <c r="G125" i="24"/>
  <c r="J24" i="24"/>
  <c r="J21" i="24"/>
  <c r="J23" i="24"/>
  <c r="S35" i="24"/>
  <c r="V149" i="24"/>
  <c r="V148" i="24"/>
  <c r="V145" i="24"/>
  <c r="V147" i="24" s="1"/>
  <c r="F148" i="24"/>
  <c r="F145" i="24"/>
  <c r="F147" i="24" s="1"/>
  <c r="F149" i="24"/>
  <c r="G148" i="24"/>
  <c r="G145" i="24"/>
  <c r="G147" i="24" s="1"/>
  <c r="G149" i="24"/>
  <c r="X139" i="24"/>
  <c r="X136" i="24"/>
  <c r="X137" i="24" s="1"/>
  <c r="H57" i="20"/>
  <c r="H44" i="20"/>
  <c r="H47" i="20"/>
  <c r="K35" i="23"/>
  <c r="M11" i="23"/>
  <c r="O11" i="23"/>
  <c r="O35" i="23" s="1"/>
  <c r="P35" i="23" s="1"/>
  <c r="L35" i="23"/>
  <c r="O35" i="22"/>
  <c r="P35" i="22" s="1"/>
  <c r="M35" i="22"/>
  <c r="N35" i="22" s="1"/>
  <c r="O35" i="20"/>
  <c r="P35" i="20" s="1"/>
  <c r="M11" i="20"/>
  <c r="M57" i="23"/>
  <c r="M84" i="23"/>
  <c r="M60" i="23"/>
  <c r="M49" i="23"/>
  <c r="M36" i="23"/>
  <c r="M52" i="23"/>
  <c r="M47" i="23"/>
  <c r="M44" i="23"/>
  <c r="T128" i="23"/>
  <c r="O128" i="23"/>
  <c r="I128" i="23"/>
  <c r="N128" i="23"/>
  <c r="H128" i="23"/>
  <c r="S128" i="23"/>
  <c r="M128" i="23"/>
  <c r="G128" i="23"/>
  <c r="W128" i="23"/>
  <c r="R128" i="23"/>
  <c r="L128" i="23"/>
  <c r="F128" i="23"/>
  <c r="V128" i="23"/>
  <c r="Q128" i="23"/>
  <c r="K128" i="23"/>
  <c r="E128" i="23"/>
  <c r="U128" i="23"/>
  <c r="P128" i="23"/>
  <c r="J128" i="23"/>
  <c r="M92" i="23"/>
  <c r="S95" i="23"/>
  <c r="V84" i="23"/>
  <c r="V60" i="23"/>
  <c r="V72" i="23"/>
  <c r="V57" i="23"/>
  <c r="I85" i="23"/>
  <c r="I61" i="23"/>
  <c r="I73" i="23"/>
  <c r="I56" i="23"/>
  <c r="I69" i="23"/>
  <c r="I65" i="23"/>
  <c r="O85" i="23"/>
  <c r="O61" i="23"/>
  <c r="O73" i="23"/>
  <c r="O56" i="23"/>
  <c r="O69" i="23"/>
  <c r="O65" i="23"/>
  <c r="T85" i="23"/>
  <c r="T61" i="23"/>
  <c r="T73" i="23"/>
  <c r="T56" i="23"/>
  <c r="T69" i="23"/>
  <c r="T65" i="23"/>
  <c r="G86" i="23"/>
  <c r="G62" i="23"/>
  <c r="G70" i="23"/>
  <c r="M86" i="23"/>
  <c r="M62" i="23"/>
  <c r="M70" i="23"/>
  <c r="S86" i="23"/>
  <c r="S62" i="23"/>
  <c r="S70" i="23"/>
  <c r="I64" i="23"/>
  <c r="O64" i="23"/>
  <c r="T64" i="23"/>
  <c r="G34" i="23"/>
  <c r="I36" i="23"/>
  <c r="O36" i="23"/>
  <c r="T36" i="23"/>
  <c r="T92" i="23" s="1"/>
  <c r="G37" i="23"/>
  <c r="G93" i="23" s="1"/>
  <c r="E38" i="23"/>
  <c r="I39" i="23"/>
  <c r="I95" i="23" s="1"/>
  <c r="O39" i="23"/>
  <c r="T39" i="23"/>
  <c r="T95" i="23" s="1"/>
  <c r="G44" i="23"/>
  <c r="I49" i="23"/>
  <c r="O49" i="23"/>
  <c r="T49" i="23"/>
  <c r="V52" i="23"/>
  <c r="N56" i="23"/>
  <c r="W64" i="23"/>
  <c r="P72" i="23"/>
  <c r="R85" i="23"/>
  <c r="S87" i="23"/>
  <c r="N93" i="23"/>
  <c r="F72" i="23"/>
  <c r="F84" i="23"/>
  <c r="L72" i="23"/>
  <c r="L84" i="23"/>
  <c r="L60" i="23"/>
  <c r="R72" i="23"/>
  <c r="R84" i="23"/>
  <c r="R60" i="23"/>
  <c r="W72" i="23"/>
  <c r="W84" i="23"/>
  <c r="W60" i="23"/>
  <c r="J73" i="23"/>
  <c r="J56" i="23"/>
  <c r="J85" i="23"/>
  <c r="J61" i="23"/>
  <c r="P73" i="23"/>
  <c r="P56" i="23"/>
  <c r="P85" i="23"/>
  <c r="P61" i="23"/>
  <c r="H86" i="23"/>
  <c r="H62" i="23"/>
  <c r="N86" i="23"/>
  <c r="N62" i="23"/>
  <c r="J64" i="23"/>
  <c r="P64" i="23"/>
  <c r="H34" i="23"/>
  <c r="N34" i="23"/>
  <c r="J36" i="23"/>
  <c r="P36" i="23"/>
  <c r="H37" i="23"/>
  <c r="H93" i="23" s="1"/>
  <c r="N37" i="23"/>
  <c r="J39" i="23"/>
  <c r="P39" i="23"/>
  <c r="U39" i="23"/>
  <c r="H44" i="23"/>
  <c r="N44" i="23"/>
  <c r="N92" i="23" s="1"/>
  <c r="H47" i="23"/>
  <c r="N47" i="23"/>
  <c r="N95" i="23" s="1"/>
  <c r="F48" i="23"/>
  <c r="W48" i="23"/>
  <c r="J49" i="23"/>
  <c r="P49" i="23"/>
  <c r="F52" i="23"/>
  <c r="L52" i="23"/>
  <c r="R52" i="23"/>
  <c r="W52" i="23"/>
  <c r="J62" i="23"/>
  <c r="J69" i="23"/>
  <c r="I92" i="23"/>
  <c r="O95" i="23"/>
  <c r="O92" i="23"/>
  <c r="G72" i="23"/>
  <c r="G57" i="23"/>
  <c r="G84" i="23"/>
  <c r="G60" i="23"/>
  <c r="V73" i="23"/>
  <c r="V56" i="23"/>
  <c r="V69" i="23"/>
  <c r="V65" i="23"/>
  <c r="V85" i="23"/>
  <c r="V61" i="23"/>
  <c r="I70" i="23"/>
  <c r="I86" i="23"/>
  <c r="I62" i="23"/>
  <c r="O70" i="23"/>
  <c r="O86" i="23"/>
  <c r="O62" i="23"/>
  <c r="T70" i="23"/>
  <c r="T86" i="23"/>
  <c r="T62" i="23"/>
  <c r="V64" i="23"/>
  <c r="I34" i="23"/>
  <c r="O34" i="23"/>
  <c r="T34" i="23"/>
  <c r="G35" i="23"/>
  <c r="M35" i="23"/>
  <c r="N35" i="23" s="1"/>
  <c r="E36" i="23"/>
  <c r="E92" i="23" s="1"/>
  <c r="V36" i="23"/>
  <c r="I37" i="23"/>
  <c r="I93" i="23" s="1"/>
  <c r="O37" i="23"/>
  <c r="O93" i="23" s="1"/>
  <c r="T37" i="23"/>
  <c r="T93" i="23" s="1"/>
  <c r="G38" i="23"/>
  <c r="G94" i="23" s="1"/>
  <c r="M38" i="23"/>
  <c r="M94" i="23" s="1"/>
  <c r="S38" i="23"/>
  <c r="S94" i="23" s="1"/>
  <c r="E39" i="23"/>
  <c r="K39" i="23"/>
  <c r="Q39" i="23"/>
  <c r="V39" i="23"/>
  <c r="V95" i="23" s="1"/>
  <c r="I44" i="23"/>
  <c r="O44" i="23"/>
  <c r="T44" i="23"/>
  <c r="V49" i="23"/>
  <c r="G52" i="23"/>
  <c r="P62" i="23"/>
  <c r="J65" i="23"/>
  <c r="P69" i="23"/>
  <c r="J86" i="23"/>
  <c r="J93" i="23"/>
  <c r="J98" i="23"/>
  <c r="J92" i="23"/>
  <c r="J97" i="23"/>
  <c r="P96" i="23"/>
  <c r="P93" i="23"/>
  <c r="P98" i="23"/>
  <c r="U95" i="23"/>
  <c r="H57" i="23"/>
  <c r="H72" i="23"/>
  <c r="N57" i="23"/>
  <c r="N72" i="23"/>
  <c r="F69" i="23"/>
  <c r="F65" i="23"/>
  <c r="F73" i="23"/>
  <c r="F56" i="23"/>
  <c r="L69" i="23"/>
  <c r="L65" i="23"/>
  <c r="L73" i="23"/>
  <c r="L56" i="23"/>
  <c r="R69" i="23"/>
  <c r="R65" i="23"/>
  <c r="R73" i="23"/>
  <c r="R56" i="23"/>
  <c r="W69" i="23"/>
  <c r="W65" i="23"/>
  <c r="W73" i="23"/>
  <c r="W56" i="23"/>
  <c r="U86" i="23"/>
  <c r="U70" i="23"/>
  <c r="J34" i="23"/>
  <c r="P34" i="23"/>
  <c r="H35" i="23"/>
  <c r="F36" i="23"/>
  <c r="F92" i="23" s="1"/>
  <c r="L36" i="23"/>
  <c r="R36" i="23"/>
  <c r="W36" i="23"/>
  <c r="W92" i="23" s="1"/>
  <c r="J37" i="23"/>
  <c r="P37" i="23"/>
  <c r="H38" i="23"/>
  <c r="H94" i="23" s="1"/>
  <c r="N38" i="23"/>
  <c r="F39" i="23"/>
  <c r="F95" i="23" s="1"/>
  <c r="L39" i="23"/>
  <c r="R39" i="23"/>
  <c r="W39" i="23"/>
  <c r="J44" i="23"/>
  <c r="P44" i="23"/>
  <c r="H48" i="23"/>
  <c r="N48" i="23"/>
  <c r="N96" i="23" s="1"/>
  <c r="F49" i="23"/>
  <c r="L49" i="23"/>
  <c r="L97" i="23" s="1"/>
  <c r="R49" i="23"/>
  <c r="R97" i="23" s="1"/>
  <c r="R14" i="23" s="1"/>
  <c r="W49" i="23"/>
  <c r="H52" i="23"/>
  <c r="N52" i="23"/>
  <c r="F57" i="23"/>
  <c r="L61" i="23"/>
  <c r="U62" i="23"/>
  <c r="F64" i="23"/>
  <c r="P65" i="23"/>
  <c r="P86" i="23"/>
  <c r="E95" i="23"/>
  <c r="E94" i="23"/>
  <c r="K95" i="23"/>
  <c r="K94" i="23"/>
  <c r="Q95" i="23"/>
  <c r="Q94" i="23"/>
  <c r="V93" i="23"/>
  <c r="V92" i="23"/>
  <c r="V94" i="23"/>
  <c r="I57" i="23"/>
  <c r="I84" i="23"/>
  <c r="I60" i="23"/>
  <c r="I72" i="23"/>
  <c r="O57" i="23"/>
  <c r="O84" i="23"/>
  <c r="O60" i="23"/>
  <c r="O72" i="23"/>
  <c r="T57" i="23"/>
  <c r="T84" i="23"/>
  <c r="T60" i="23"/>
  <c r="T72" i="23"/>
  <c r="G69" i="23"/>
  <c r="G65" i="23"/>
  <c r="G85" i="23"/>
  <c r="G61" i="23"/>
  <c r="G73" i="23"/>
  <c r="K70" i="23"/>
  <c r="K86" i="23"/>
  <c r="K62" i="23"/>
  <c r="Q70" i="23"/>
  <c r="Q86" i="23"/>
  <c r="Q62" i="23"/>
  <c r="V70" i="23"/>
  <c r="V62" i="23"/>
  <c r="G64" i="23"/>
  <c r="E34" i="23"/>
  <c r="V34" i="23"/>
  <c r="I35" i="23"/>
  <c r="J35" i="23" s="1"/>
  <c r="T35" i="23"/>
  <c r="G36" i="23"/>
  <c r="G92" i="23" s="1"/>
  <c r="E37" i="23"/>
  <c r="E93" i="23" s="1"/>
  <c r="V37" i="23"/>
  <c r="I38" i="23"/>
  <c r="I94" i="23" s="1"/>
  <c r="O38" i="23"/>
  <c r="O94" i="23" s="1"/>
  <c r="T38" i="23"/>
  <c r="T94" i="23" s="1"/>
  <c r="G39" i="23"/>
  <c r="G95" i="23" s="1"/>
  <c r="M39" i="23"/>
  <c r="M95" i="23" s="1"/>
  <c r="V44" i="23"/>
  <c r="E47" i="23"/>
  <c r="I48" i="23"/>
  <c r="O48" i="23"/>
  <c r="T48" i="23"/>
  <c r="G49" i="23"/>
  <c r="I52" i="23"/>
  <c r="O52" i="23"/>
  <c r="T52" i="23"/>
  <c r="G56" i="23"/>
  <c r="L57" i="23"/>
  <c r="H60" i="23"/>
  <c r="R61" i="23"/>
  <c r="L64" i="23"/>
  <c r="F85" i="23"/>
  <c r="V86" i="23"/>
  <c r="H25" i="23"/>
  <c r="F94" i="23"/>
  <c r="L98" i="23"/>
  <c r="L93" i="23"/>
  <c r="L96" i="23"/>
  <c r="R98" i="23"/>
  <c r="R93" i="23"/>
  <c r="W95" i="23"/>
  <c r="W94" i="23"/>
  <c r="J84" i="23"/>
  <c r="J60" i="23"/>
  <c r="J57" i="23"/>
  <c r="P84" i="23"/>
  <c r="P60" i="23"/>
  <c r="P57" i="23"/>
  <c r="P97" i="23" s="1"/>
  <c r="H85" i="23"/>
  <c r="H61" i="23"/>
  <c r="H69" i="23"/>
  <c r="H65" i="23"/>
  <c r="N85" i="23"/>
  <c r="N61" i="23"/>
  <c r="N69" i="23"/>
  <c r="N65" i="23"/>
  <c r="F86" i="23"/>
  <c r="F62" i="23"/>
  <c r="F70" i="23"/>
  <c r="L86" i="23"/>
  <c r="L62" i="23"/>
  <c r="L70" i="23"/>
  <c r="R86" i="23"/>
  <c r="R62" i="23"/>
  <c r="R70" i="23"/>
  <c r="W62" i="23"/>
  <c r="W86" i="23"/>
  <c r="W70" i="23"/>
  <c r="H64" i="23"/>
  <c r="N64" i="23"/>
  <c r="F34" i="23"/>
  <c r="L34" i="23"/>
  <c r="R34" i="23"/>
  <c r="W34" i="23"/>
  <c r="U35" i="23"/>
  <c r="H36" i="23"/>
  <c r="H92" i="23" s="1"/>
  <c r="N36" i="23"/>
  <c r="F37" i="23"/>
  <c r="F93" i="23" s="1"/>
  <c r="L37" i="23"/>
  <c r="R37" i="23"/>
  <c r="W37" i="23"/>
  <c r="W93" i="23" s="1"/>
  <c r="J38" i="23"/>
  <c r="P38" i="23"/>
  <c r="U38" i="23"/>
  <c r="U94" i="23" s="1"/>
  <c r="H39" i="23"/>
  <c r="H95" i="23" s="1"/>
  <c r="N39" i="23"/>
  <c r="F44" i="23"/>
  <c r="L44" i="23"/>
  <c r="L92" i="23" s="1"/>
  <c r="R44" i="23"/>
  <c r="R92" i="23" s="1"/>
  <c r="W44" i="23"/>
  <c r="L47" i="23"/>
  <c r="L95" i="23" s="1"/>
  <c r="R47" i="23"/>
  <c r="R95" i="23" s="1"/>
  <c r="J48" i="23"/>
  <c r="P48" i="23"/>
  <c r="H49" i="23"/>
  <c r="N49" i="23"/>
  <c r="N97" i="23" s="1"/>
  <c r="J52" i="23"/>
  <c r="P52" i="23"/>
  <c r="P92" i="23" s="1"/>
  <c r="H56" i="23"/>
  <c r="R57" i="23"/>
  <c r="N60" i="23"/>
  <c r="W61" i="23"/>
  <c r="R64" i="23"/>
  <c r="H70" i="23"/>
  <c r="J72" i="23"/>
  <c r="L85" i="23"/>
  <c r="N98" i="23"/>
  <c r="M52" i="22"/>
  <c r="M57" i="22"/>
  <c r="M47" i="22"/>
  <c r="M44" i="22"/>
  <c r="M84" i="22"/>
  <c r="M60" i="22"/>
  <c r="M49" i="22"/>
  <c r="M36" i="22"/>
  <c r="N128" i="22"/>
  <c r="H128" i="22"/>
  <c r="S128" i="22"/>
  <c r="M128" i="22"/>
  <c r="G128" i="22"/>
  <c r="W128" i="22"/>
  <c r="R128" i="22"/>
  <c r="L128" i="22"/>
  <c r="F128" i="22"/>
  <c r="V128" i="22"/>
  <c r="Q128" i="22"/>
  <c r="K128" i="22"/>
  <c r="E128" i="22"/>
  <c r="U128" i="22"/>
  <c r="P128" i="22"/>
  <c r="J128" i="22"/>
  <c r="T128" i="22"/>
  <c r="O128" i="22"/>
  <c r="I128" i="22"/>
  <c r="I57" i="22"/>
  <c r="I47" i="22"/>
  <c r="I84" i="22"/>
  <c r="I60" i="22"/>
  <c r="I49" i="22"/>
  <c r="O57" i="22"/>
  <c r="O47" i="22"/>
  <c r="O84" i="22"/>
  <c r="O60" i="22"/>
  <c r="O49" i="22"/>
  <c r="G69" i="22"/>
  <c r="G65" i="22"/>
  <c r="G48" i="22"/>
  <c r="G61" i="22"/>
  <c r="G85" i="22"/>
  <c r="K70" i="22"/>
  <c r="K62" i="22"/>
  <c r="K86" i="22"/>
  <c r="Q70" i="22"/>
  <c r="Q86" i="22"/>
  <c r="Q62" i="22"/>
  <c r="V70" i="22"/>
  <c r="V62" i="22"/>
  <c r="V86" i="22"/>
  <c r="G64" i="22"/>
  <c r="E34" i="22"/>
  <c r="V34" i="22"/>
  <c r="G36" i="22"/>
  <c r="G92" i="22" s="1"/>
  <c r="E37" i="22"/>
  <c r="E93" i="22" s="1"/>
  <c r="V37" i="22"/>
  <c r="V93" i="22" s="1"/>
  <c r="I38" i="22"/>
  <c r="I94" i="22" s="1"/>
  <c r="O38" i="22"/>
  <c r="T38" i="22"/>
  <c r="T94" i="22" s="1"/>
  <c r="G39" i="22"/>
  <c r="G95" i="22" s="1"/>
  <c r="M39" i="22"/>
  <c r="S39" i="22"/>
  <c r="S95" i="22" s="1"/>
  <c r="V44" i="22"/>
  <c r="O52" i="22"/>
  <c r="F93" i="22"/>
  <c r="L93" i="22"/>
  <c r="L98" i="22"/>
  <c r="L92" i="22"/>
  <c r="R93" i="22"/>
  <c r="R98" i="22"/>
  <c r="R92" i="22"/>
  <c r="W93" i="22"/>
  <c r="J84" i="22"/>
  <c r="J60" i="22"/>
  <c r="J49" i="22"/>
  <c r="J72" i="22"/>
  <c r="J52" i="22"/>
  <c r="J57" i="22"/>
  <c r="P84" i="22"/>
  <c r="P60" i="22"/>
  <c r="P49" i="22"/>
  <c r="P72" i="22"/>
  <c r="P52" i="22"/>
  <c r="P57" i="22"/>
  <c r="H85" i="22"/>
  <c r="H61" i="22"/>
  <c r="H73" i="22"/>
  <c r="H56" i="22"/>
  <c r="H69" i="22"/>
  <c r="H65" i="22"/>
  <c r="H48" i="22"/>
  <c r="N85" i="22"/>
  <c r="N61" i="22"/>
  <c r="N73" i="22"/>
  <c r="N56" i="22"/>
  <c r="N69" i="22"/>
  <c r="N65" i="22"/>
  <c r="N48" i="22"/>
  <c r="N96" i="22" s="1"/>
  <c r="F86" i="22"/>
  <c r="F62" i="22"/>
  <c r="F70" i="22"/>
  <c r="L86" i="22"/>
  <c r="L62" i="22"/>
  <c r="L70" i="22"/>
  <c r="R86" i="22"/>
  <c r="R62" i="22"/>
  <c r="R70" i="22"/>
  <c r="W86" i="22"/>
  <c r="W62" i="22"/>
  <c r="W70" i="22"/>
  <c r="H64" i="22"/>
  <c r="N64" i="22"/>
  <c r="F34" i="22"/>
  <c r="L34" i="22"/>
  <c r="R34" i="22"/>
  <c r="W34" i="22"/>
  <c r="H36" i="22"/>
  <c r="H92" i="22" s="1"/>
  <c r="N36" i="22"/>
  <c r="H39" i="22"/>
  <c r="H95" i="22" s="1"/>
  <c r="N39" i="22"/>
  <c r="I48" i="22"/>
  <c r="G56" i="22"/>
  <c r="G73" i="22"/>
  <c r="M92" i="22"/>
  <c r="M95" i="22"/>
  <c r="V84" i="22"/>
  <c r="V60" i="22"/>
  <c r="V49" i="22"/>
  <c r="V72" i="22"/>
  <c r="V52" i="22"/>
  <c r="I85" i="22"/>
  <c r="I61" i="22"/>
  <c r="I73" i="22"/>
  <c r="I56" i="22"/>
  <c r="O85" i="22"/>
  <c r="O61" i="22"/>
  <c r="O73" i="22"/>
  <c r="O56" i="22"/>
  <c r="G86" i="22"/>
  <c r="G62" i="22"/>
  <c r="M86" i="22"/>
  <c r="M62" i="22"/>
  <c r="S86" i="22"/>
  <c r="S62" i="22"/>
  <c r="I64" i="22"/>
  <c r="O64" i="22"/>
  <c r="G34" i="22"/>
  <c r="K35" i="22"/>
  <c r="L35" i="22" s="1"/>
  <c r="V35" i="22"/>
  <c r="I36" i="22"/>
  <c r="I92" i="22" s="1"/>
  <c r="O36" i="22"/>
  <c r="O92" i="22" s="1"/>
  <c r="G37" i="22"/>
  <c r="G93" i="22" s="1"/>
  <c r="E38" i="22"/>
  <c r="E94" i="22" s="1"/>
  <c r="K38" i="22"/>
  <c r="K94" i="22" s="1"/>
  <c r="Q38" i="22"/>
  <c r="Q94" i="22" s="1"/>
  <c r="V38" i="22"/>
  <c r="V94" i="22" s="1"/>
  <c r="I39" i="22"/>
  <c r="O39" i="22"/>
  <c r="T39" i="22"/>
  <c r="T95" i="22" s="1"/>
  <c r="P47" i="22"/>
  <c r="O48" i="22"/>
  <c r="O62" i="22"/>
  <c r="O65" i="22"/>
  <c r="N93" i="22"/>
  <c r="N98" i="22"/>
  <c r="N92" i="22"/>
  <c r="F72" i="22"/>
  <c r="F52" i="22"/>
  <c r="F57" i="22"/>
  <c r="F84" i="22"/>
  <c r="F49" i="22"/>
  <c r="L72" i="22"/>
  <c r="L52" i="22"/>
  <c r="L57" i="22"/>
  <c r="L47" i="22"/>
  <c r="L95" i="22" s="1"/>
  <c r="L84" i="22"/>
  <c r="L60" i="22"/>
  <c r="L49" i="22"/>
  <c r="L97" i="22" s="1"/>
  <c r="R72" i="22"/>
  <c r="R52" i="22"/>
  <c r="R57" i="22"/>
  <c r="R47" i="22"/>
  <c r="R95" i="22" s="1"/>
  <c r="R84" i="22"/>
  <c r="R60" i="22"/>
  <c r="R49" i="22"/>
  <c r="R97" i="22" s="1"/>
  <c r="W84" i="22"/>
  <c r="W72" i="22"/>
  <c r="W52" i="22"/>
  <c r="W57" i="22"/>
  <c r="W60" i="22"/>
  <c r="W49" i="22"/>
  <c r="J85" i="22"/>
  <c r="J73" i="22"/>
  <c r="J56" i="22"/>
  <c r="J69" i="22"/>
  <c r="J65" i="22"/>
  <c r="J48" i="22"/>
  <c r="J61" i="22"/>
  <c r="P85" i="22"/>
  <c r="P73" i="22"/>
  <c r="P56" i="22"/>
  <c r="P69" i="22"/>
  <c r="P65" i="22"/>
  <c r="P48" i="22"/>
  <c r="P61" i="22"/>
  <c r="H86" i="22"/>
  <c r="H70" i="22"/>
  <c r="H62" i="22"/>
  <c r="N86" i="22"/>
  <c r="N70" i="22"/>
  <c r="N62" i="22"/>
  <c r="J64" i="22"/>
  <c r="P64" i="22"/>
  <c r="H34" i="22"/>
  <c r="N34" i="22"/>
  <c r="F35" i="22"/>
  <c r="W35" i="22"/>
  <c r="J36" i="22"/>
  <c r="P36" i="22"/>
  <c r="H37" i="22"/>
  <c r="H93" i="22" s="1"/>
  <c r="N37" i="22"/>
  <c r="F38" i="22"/>
  <c r="F94" i="22" s="1"/>
  <c r="L38" i="22"/>
  <c r="R38" i="22"/>
  <c r="W38" i="22"/>
  <c r="W94" i="22" s="1"/>
  <c r="J39" i="22"/>
  <c r="P39" i="22"/>
  <c r="U39" i="22"/>
  <c r="G70" i="22"/>
  <c r="I72" i="22"/>
  <c r="I95" i="22"/>
  <c r="O95" i="22"/>
  <c r="O94" i="22"/>
  <c r="G72" i="22"/>
  <c r="G52" i="22"/>
  <c r="G57" i="22"/>
  <c r="V73" i="22"/>
  <c r="V56" i="22"/>
  <c r="V69" i="22"/>
  <c r="V65" i="22"/>
  <c r="V48" i="22"/>
  <c r="I86" i="22"/>
  <c r="I70" i="22"/>
  <c r="T86" i="22"/>
  <c r="T70" i="22"/>
  <c r="I34" i="22"/>
  <c r="O34" i="22"/>
  <c r="G35" i="22"/>
  <c r="E36" i="22"/>
  <c r="E92" i="22" s="1"/>
  <c r="V36" i="22"/>
  <c r="V92" i="22" s="1"/>
  <c r="I37" i="22"/>
  <c r="I93" i="22" s="1"/>
  <c r="O37" i="22"/>
  <c r="O93" i="22" s="1"/>
  <c r="G38" i="22"/>
  <c r="G94" i="22" s="1"/>
  <c r="M38" i="22"/>
  <c r="M94" i="22" s="1"/>
  <c r="S38" i="22"/>
  <c r="S94" i="22" s="1"/>
  <c r="E39" i="22"/>
  <c r="E95" i="22" s="1"/>
  <c r="K39" i="22"/>
  <c r="K95" i="22" s="1"/>
  <c r="Q39" i="22"/>
  <c r="Q95" i="22" s="1"/>
  <c r="V39" i="22"/>
  <c r="V95" i="22" s="1"/>
  <c r="I44" i="22"/>
  <c r="O44" i="22"/>
  <c r="M70" i="22"/>
  <c r="O72" i="22"/>
  <c r="O86" i="22"/>
  <c r="J98" i="22"/>
  <c r="J92" i="22"/>
  <c r="J97" i="22"/>
  <c r="J93" i="22"/>
  <c r="P98" i="22"/>
  <c r="P92" i="22"/>
  <c r="P97" i="22"/>
  <c r="P96" i="22"/>
  <c r="P14" i="22" s="1"/>
  <c r="P93" i="22"/>
  <c r="U95" i="22"/>
  <c r="U94" i="22"/>
  <c r="H57" i="22"/>
  <c r="H47" i="22"/>
  <c r="H84" i="22"/>
  <c r="H60" i="22"/>
  <c r="H49" i="22"/>
  <c r="H72" i="22"/>
  <c r="H52" i="22"/>
  <c r="N57" i="22"/>
  <c r="N47" i="22"/>
  <c r="N95" i="22" s="1"/>
  <c r="N84" i="22"/>
  <c r="N60" i="22"/>
  <c r="N49" i="22"/>
  <c r="N97" i="22" s="1"/>
  <c r="N72" i="22"/>
  <c r="N52" i="22"/>
  <c r="F85" i="22"/>
  <c r="F69" i="22"/>
  <c r="F65" i="22"/>
  <c r="F48" i="22"/>
  <c r="F61" i="22"/>
  <c r="F73" i="22"/>
  <c r="F56" i="22"/>
  <c r="L69" i="22"/>
  <c r="L65" i="22"/>
  <c r="L48" i="22"/>
  <c r="L96" i="22" s="1"/>
  <c r="L85" i="22"/>
  <c r="L61" i="22"/>
  <c r="L73" i="22"/>
  <c r="L56" i="22"/>
  <c r="R85" i="22"/>
  <c r="R69" i="22"/>
  <c r="R65" i="22"/>
  <c r="R48" i="22"/>
  <c r="R96" i="22" s="1"/>
  <c r="R14" i="22" s="1"/>
  <c r="R61" i="22"/>
  <c r="R73" i="22"/>
  <c r="R56" i="22"/>
  <c r="W69" i="22"/>
  <c r="W65" i="22"/>
  <c r="W48" i="22"/>
  <c r="W85" i="22"/>
  <c r="W61" i="22"/>
  <c r="W73" i="22"/>
  <c r="W56" i="22"/>
  <c r="J86" i="22"/>
  <c r="J70" i="22"/>
  <c r="J62" i="22"/>
  <c r="P70" i="22"/>
  <c r="P86" i="22"/>
  <c r="P62" i="22"/>
  <c r="U86" i="22"/>
  <c r="U70" i="22"/>
  <c r="U62" i="22"/>
  <c r="F64" i="22"/>
  <c r="L64" i="22"/>
  <c r="R64" i="22"/>
  <c r="W64" i="22"/>
  <c r="J34" i="22"/>
  <c r="P34" i="22"/>
  <c r="H35" i="22"/>
  <c r="J35" i="22" s="1"/>
  <c r="F36" i="22"/>
  <c r="F92" i="22" s="1"/>
  <c r="L36" i="22"/>
  <c r="R36" i="22"/>
  <c r="W36" i="22"/>
  <c r="W92" i="22" s="1"/>
  <c r="J37" i="22"/>
  <c r="P37" i="22"/>
  <c r="H38" i="22"/>
  <c r="H94" i="22" s="1"/>
  <c r="N38" i="22"/>
  <c r="F39" i="22"/>
  <c r="F95" i="22" s="1"/>
  <c r="L39" i="22"/>
  <c r="R39" i="22"/>
  <c r="W39" i="22"/>
  <c r="W95" i="22" s="1"/>
  <c r="J44" i="22"/>
  <c r="P44" i="22"/>
  <c r="E47" i="22"/>
  <c r="G49" i="22"/>
  <c r="I52" i="22"/>
  <c r="G60" i="22"/>
  <c r="V61" i="22"/>
  <c r="V64" i="22"/>
  <c r="I69" i="22"/>
  <c r="S70" i="22"/>
  <c r="G84" i="22"/>
  <c r="G35" i="20"/>
  <c r="N98" i="20"/>
  <c r="N93" i="20"/>
  <c r="N92" i="20"/>
  <c r="Z6" i="20"/>
  <c r="J85" i="20"/>
  <c r="J61" i="20"/>
  <c r="J37" i="20"/>
  <c r="J69" i="20"/>
  <c r="J65" i="20"/>
  <c r="J48" i="20"/>
  <c r="J73" i="20"/>
  <c r="G86" i="20"/>
  <c r="G62" i="20"/>
  <c r="G38" i="20"/>
  <c r="G94" i="20" s="1"/>
  <c r="G70" i="20"/>
  <c r="M86" i="20"/>
  <c r="M70" i="20"/>
  <c r="M62" i="20"/>
  <c r="M38" i="20"/>
  <c r="E87" i="20"/>
  <c r="E39" i="20"/>
  <c r="K87" i="20"/>
  <c r="K39" i="20"/>
  <c r="Q87" i="20"/>
  <c r="Q39" i="20"/>
  <c r="V87" i="20"/>
  <c r="V39" i="20"/>
  <c r="O64" i="20"/>
  <c r="T64" i="20"/>
  <c r="K35" i="20"/>
  <c r="L35" i="20" s="1"/>
  <c r="M57" i="20"/>
  <c r="G64" i="20"/>
  <c r="V72" i="20"/>
  <c r="Q11" i="20"/>
  <c r="E84" i="20"/>
  <c r="E36" i="20"/>
  <c r="E47" i="20"/>
  <c r="E34" i="20"/>
  <c r="L84" i="20"/>
  <c r="L60" i="20"/>
  <c r="L49" i="20"/>
  <c r="L97" i="20" s="1"/>
  <c r="L36" i="20"/>
  <c r="L57" i="20"/>
  <c r="L47" i="20"/>
  <c r="L44" i="20"/>
  <c r="L34" i="20"/>
  <c r="R64" i="20"/>
  <c r="U128" i="20"/>
  <c r="P128" i="20"/>
  <c r="J128" i="20"/>
  <c r="T128" i="20"/>
  <c r="O128" i="20"/>
  <c r="I128" i="20"/>
  <c r="W128" i="20"/>
  <c r="R128" i="20"/>
  <c r="L128" i="20"/>
  <c r="F128" i="20"/>
  <c r="V128" i="20"/>
  <c r="Q128" i="20"/>
  <c r="K128" i="20"/>
  <c r="E128" i="20"/>
  <c r="S128" i="20"/>
  <c r="N128" i="20"/>
  <c r="G128" i="20"/>
  <c r="H128" i="20"/>
  <c r="W84" i="20"/>
  <c r="W60" i="20"/>
  <c r="W49" i="20"/>
  <c r="W36" i="20"/>
  <c r="W92" i="20" s="1"/>
  <c r="W57" i="20"/>
  <c r="W44" i="20"/>
  <c r="W34" i="20"/>
  <c r="T85" i="20"/>
  <c r="T61" i="20"/>
  <c r="T37" i="20"/>
  <c r="T69" i="20"/>
  <c r="T65" i="20"/>
  <c r="T48" i="20"/>
  <c r="S86" i="20"/>
  <c r="S70" i="20"/>
  <c r="S62" i="20"/>
  <c r="S38" i="20"/>
  <c r="I64" i="20"/>
  <c r="L93" i="20"/>
  <c r="H86" i="20"/>
  <c r="H62" i="20"/>
  <c r="H38" i="20"/>
  <c r="H94" i="20" s="1"/>
  <c r="H70" i="20"/>
  <c r="N86" i="20"/>
  <c r="N62" i="20"/>
  <c r="N38" i="20"/>
  <c r="N70" i="20"/>
  <c r="F87" i="20"/>
  <c r="F39" i="20"/>
  <c r="F95" i="20" s="1"/>
  <c r="L87" i="20"/>
  <c r="L39" i="20"/>
  <c r="R87" i="20"/>
  <c r="R39" i="20"/>
  <c r="W87" i="20"/>
  <c r="W39" i="20"/>
  <c r="J64" i="20"/>
  <c r="P64" i="20"/>
  <c r="N34" i="20"/>
  <c r="R48" i="20"/>
  <c r="O49" i="20"/>
  <c r="T56" i="20"/>
  <c r="H64" i="20"/>
  <c r="W65" i="20"/>
  <c r="W72" i="20"/>
  <c r="S94" i="20"/>
  <c r="M84" i="20"/>
  <c r="M52" i="20"/>
  <c r="M60" i="20"/>
  <c r="M49" i="20"/>
  <c r="M36" i="20"/>
  <c r="M92" i="20" s="1"/>
  <c r="H93" i="20"/>
  <c r="H35" i="20"/>
  <c r="J35" i="20" s="1"/>
  <c r="H24" i="20"/>
  <c r="H25" i="20"/>
  <c r="F84" i="20"/>
  <c r="F60" i="20"/>
  <c r="F49" i="20"/>
  <c r="F36" i="20"/>
  <c r="F57" i="20"/>
  <c r="F44" i="20"/>
  <c r="F34" i="20"/>
  <c r="F72" i="20"/>
  <c r="O85" i="20"/>
  <c r="O61" i="20"/>
  <c r="O37" i="20"/>
  <c r="O73" i="20"/>
  <c r="O69" i="20"/>
  <c r="O65" i="20"/>
  <c r="O48" i="20"/>
  <c r="F64" i="20"/>
  <c r="L64" i="20"/>
  <c r="F48" i="20"/>
  <c r="P85" i="20"/>
  <c r="P61" i="20"/>
  <c r="P37" i="20"/>
  <c r="P69" i="20"/>
  <c r="P65" i="20"/>
  <c r="P48" i="20"/>
  <c r="G34" i="20"/>
  <c r="M47" i="20"/>
  <c r="L52" i="20"/>
  <c r="J56" i="20"/>
  <c r="T73" i="20"/>
  <c r="N95" i="20"/>
  <c r="M94" i="20"/>
  <c r="M35" i="20"/>
  <c r="N35" i="20" s="1"/>
  <c r="R84" i="20"/>
  <c r="R60" i="20"/>
  <c r="R49" i="20"/>
  <c r="R36" i="20"/>
  <c r="R57" i="20"/>
  <c r="R47" i="20"/>
  <c r="R95" i="20" s="1"/>
  <c r="R44" i="20"/>
  <c r="R92" i="20" s="1"/>
  <c r="R34" i="20"/>
  <c r="R72" i="20"/>
  <c r="L65" i="20"/>
  <c r="V84" i="20"/>
  <c r="V60" i="20"/>
  <c r="V49" i="20"/>
  <c r="V36" i="20"/>
  <c r="V92" i="20" s="1"/>
  <c r="V57" i="20"/>
  <c r="V44" i="20"/>
  <c r="V34" i="20"/>
  <c r="I85" i="20"/>
  <c r="I73" i="20"/>
  <c r="I61" i="20"/>
  <c r="I37" i="20"/>
  <c r="I93" i="20" s="1"/>
  <c r="I69" i="20"/>
  <c r="I65" i="20"/>
  <c r="I48" i="20"/>
  <c r="H34" i="20"/>
  <c r="L48" i="20"/>
  <c r="L96" i="20" s="1"/>
  <c r="I49" i="20"/>
  <c r="O56" i="20"/>
  <c r="R65" i="20"/>
  <c r="L72" i="20"/>
  <c r="E95" i="20"/>
  <c r="E92" i="20"/>
  <c r="K94" i="20"/>
  <c r="K95" i="20"/>
  <c r="Q94" i="20"/>
  <c r="Q95" i="20"/>
  <c r="V94" i="20"/>
  <c r="V95" i="20"/>
  <c r="G73" i="20"/>
  <c r="I35" i="20"/>
  <c r="G36" i="20"/>
  <c r="G92" i="20" s="1"/>
  <c r="E37" i="20"/>
  <c r="E93" i="20" s="1"/>
  <c r="V37" i="20"/>
  <c r="V93" i="20" s="1"/>
  <c r="I38" i="20"/>
  <c r="I94" i="20" s="1"/>
  <c r="O38" i="20"/>
  <c r="O94" i="20" s="1"/>
  <c r="T38" i="20"/>
  <c r="T94" i="20" s="1"/>
  <c r="G39" i="20"/>
  <c r="G95" i="20" s="1"/>
  <c r="M39" i="20"/>
  <c r="M95" i="20" s="1"/>
  <c r="S39" i="20"/>
  <c r="S95" i="20" s="1"/>
  <c r="G49" i="20"/>
  <c r="I52" i="20"/>
  <c r="O52" i="20"/>
  <c r="T52" i="20"/>
  <c r="G56" i="20"/>
  <c r="I62" i="20"/>
  <c r="O62" i="20"/>
  <c r="T62" i="20"/>
  <c r="T70" i="20"/>
  <c r="L86" i="20"/>
  <c r="F94" i="20"/>
  <c r="F92" i="20"/>
  <c r="L98" i="20"/>
  <c r="L95" i="20"/>
  <c r="L92" i="20"/>
  <c r="R97" i="20"/>
  <c r="W94" i="20"/>
  <c r="W95" i="20"/>
  <c r="J72" i="20"/>
  <c r="P72" i="20"/>
  <c r="H73" i="20"/>
  <c r="N73" i="20"/>
  <c r="U35" i="20"/>
  <c r="H36" i="20"/>
  <c r="H92" i="20" s="1"/>
  <c r="N36" i="20"/>
  <c r="F37" i="20"/>
  <c r="L37" i="20"/>
  <c r="R37" i="20"/>
  <c r="W37" i="20"/>
  <c r="W93" i="20" s="1"/>
  <c r="J38" i="20"/>
  <c r="P38" i="20"/>
  <c r="U38" i="20"/>
  <c r="U94" i="20" s="1"/>
  <c r="H39" i="20"/>
  <c r="H95" i="20" s="1"/>
  <c r="N39" i="20"/>
  <c r="H49" i="20"/>
  <c r="N49" i="20"/>
  <c r="N97" i="20" s="1"/>
  <c r="J52" i="20"/>
  <c r="P52" i="20"/>
  <c r="H56" i="20"/>
  <c r="N56" i="20"/>
  <c r="J62" i="20"/>
  <c r="P62" i="20"/>
  <c r="U62" i="20"/>
  <c r="O70" i="20"/>
  <c r="U70" i="20"/>
  <c r="I72" i="20"/>
  <c r="T72" i="20"/>
  <c r="T84" i="20"/>
  <c r="Q86" i="20"/>
  <c r="I95" i="20"/>
  <c r="I92" i="20"/>
  <c r="O95" i="20"/>
  <c r="O92" i="20"/>
  <c r="O93" i="20"/>
  <c r="T95" i="20"/>
  <c r="T93" i="20"/>
  <c r="G72" i="20"/>
  <c r="G84" i="20"/>
  <c r="V73" i="20"/>
  <c r="V85" i="20"/>
  <c r="I34" i="20"/>
  <c r="O34" i="20"/>
  <c r="T34" i="20"/>
  <c r="I44" i="20"/>
  <c r="O44" i="20"/>
  <c r="T44" i="20"/>
  <c r="I47" i="20"/>
  <c r="O47" i="20"/>
  <c r="G48" i="20"/>
  <c r="G52" i="20"/>
  <c r="V56" i="20"/>
  <c r="O57" i="20"/>
  <c r="G65" i="20"/>
  <c r="G69" i="20"/>
  <c r="O72" i="20"/>
  <c r="J84" i="20"/>
  <c r="H85" i="20"/>
  <c r="F86" i="20"/>
  <c r="F93" i="20"/>
  <c r="R96" i="20"/>
  <c r="J92" i="20"/>
  <c r="J93" i="20"/>
  <c r="P92" i="20"/>
  <c r="P96" i="20"/>
  <c r="P93" i="20"/>
  <c r="P98" i="20"/>
  <c r="U95" i="20"/>
  <c r="H72" i="20"/>
  <c r="H84" i="20"/>
  <c r="N72" i="20"/>
  <c r="N84" i="20"/>
  <c r="F73" i="20"/>
  <c r="F85" i="20"/>
  <c r="L73" i="20"/>
  <c r="L85" i="20"/>
  <c r="R73" i="20"/>
  <c r="R85" i="20"/>
  <c r="W73" i="20"/>
  <c r="W85" i="20"/>
  <c r="J34" i="20"/>
  <c r="P34" i="20"/>
  <c r="J44" i="20"/>
  <c r="P44" i="20"/>
  <c r="P47" i="20"/>
  <c r="H48" i="20"/>
  <c r="N48" i="20"/>
  <c r="N96" i="20" s="1"/>
  <c r="H52" i="20"/>
  <c r="N52" i="20"/>
  <c r="F56" i="20"/>
  <c r="L56" i="20"/>
  <c r="R56" i="20"/>
  <c r="W56" i="20"/>
  <c r="J57" i="20"/>
  <c r="P57" i="20"/>
  <c r="P97" i="20" s="1"/>
  <c r="H65" i="20"/>
  <c r="N65" i="20"/>
  <c r="H69" i="20"/>
  <c r="N69" i="20"/>
  <c r="K86" i="20"/>
  <c r="K11" i="6"/>
  <c r="M11" i="6" s="1"/>
  <c r="M6" i="6"/>
  <c r="H15" i="6"/>
  <c r="H21" i="6"/>
  <c r="T154" i="25" l="1"/>
  <c r="T16" i="25"/>
  <c r="E18" i="25"/>
  <c r="E162" i="25"/>
  <c r="K172" i="25"/>
  <c r="N14" i="20"/>
  <c r="G115" i="24"/>
  <c r="W25" i="24"/>
  <c r="W18" i="24"/>
  <c r="X46" i="24" s="1"/>
  <c r="W20" i="24"/>
  <c r="H115" i="24"/>
  <c r="H152" i="24" s="1"/>
  <c r="I115" i="24"/>
  <c r="I152" i="24" s="1"/>
  <c r="I170" i="24" s="1"/>
  <c r="W24" i="24"/>
  <c r="I24" i="24"/>
  <c r="E115" i="24"/>
  <c r="E152" i="24" s="1"/>
  <c r="I25" i="24"/>
  <c r="W21" i="24"/>
  <c r="F115" i="24"/>
  <c r="W23" i="24"/>
  <c r="V21" i="24"/>
  <c r="V25" i="24"/>
  <c r="V24" i="24"/>
  <c r="V23" i="24"/>
  <c r="N14" i="22"/>
  <c r="N21" i="22" s="1"/>
  <c r="Q35" i="22"/>
  <c r="R35" i="22" s="1"/>
  <c r="O18" i="25"/>
  <c r="O20" i="25" s="1"/>
  <c r="O22" i="25" s="1"/>
  <c r="L14" i="23"/>
  <c r="L23" i="23" s="1"/>
  <c r="O11" i="6"/>
  <c r="Q11" i="6" s="1"/>
  <c r="S11" i="6" s="1"/>
  <c r="R121" i="24"/>
  <c r="X16" i="24"/>
  <c r="X19" i="24"/>
  <c r="X22" i="24"/>
  <c r="X25" i="24"/>
  <c r="X17" i="24"/>
  <c r="X20" i="24"/>
  <c r="X23" i="24"/>
  <c r="X18" i="24"/>
  <c r="X21" i="24"/>
  <c r="X24" i="24"/>
  <c r="X68" i="24"/>
  <c r="I172" i="25"/>
  <c r="I18" i="25"/>
  <c r="J78" i="25" s="1"/>
  <c r="J94" i="25" s="1"/>
  <c r="I170" i="25"/>
  <c r="F152" i="25"/>
  <c r="F154" i="25"/>
  <c r="H154" i="25"/>
  <c r="H17" i="25" s="1"/>
  <c r="H155" i="25"/>
  <c r="H16" i="25"/>
  <c r="I68" i="25" s="1"/>
  <c r="I155" i="25"/>
  <c r="I154" i="25"/>
  <c r="O155" i="25"/>
  <c r="O154" i="25"/>
  <c r="I46" i="25"/>
  <c r="I55" i="25"/>
  <c r="I54" i="25"/>
  <c r="E155" i="25"/>
  <c r="E154" i="25"/>
  <c r="I16" i="25"/>
  <c r="J68" i="25" s="1"/>
  <c r="W154" i="25"/>
  <c r="I168" i="25"/>
  <c r="G168" i="25"/>
  <c r="G47" i="25"/>
  <c r="V154" i="25"/>
  <c r="X180" i="24"/>
  <c r="U115" i="24"/>
  <c r="X115" i="24"/>
  <c r="W180" i="24"/>
  <c r="W181" i="24"/>
  <c r="I23" i="24"/>
  <c r="X47" i="24"/>
  <c r="R23" i="24"/>
  <c r="E151" i="24"/>
  <c r="E154" i="24" s="1"/>
  <c r="L115" i="24"/>
  <c r="F151" i="24"/>
  <c r="F16" i="24" s="1"/>
  <c r="G68" i="24" s="1"/>
  <c r="G23" i="24"/>
  <c r="G21" i="24"/>
  <c r="G25" i="24"/>
  <c r="G24" i="24"/>
  <c r="U151" i="24"/>
  <c r="U16" i="24" s="1"/>
  <c r="G151" i="24"/>
  <c r="G16" i="24" s="1"/>
  <c r="H68" i="24" s="1"/>
  <c r="V115" i="24"/>
  <c r="H151" i="24"/>
  <c r="W115" i="24"/>
  <c r="V151" i="24"/>
  <c r="V16" i="24" s="1"/>
  <c r="F23" i="24"/>
  <c r="F24" i="24"/>
  <c r="F25" i="24"/>
  <c r="F21" i="24"/>
  <c r="W151" i="24"/>
  <c r="E162" i="24"/>
  <c r="E24" i="24"/>
  <c r="E21" i="24"/>
  <c r="F60" i="24" s="1"/>
  <c r="E18" i="24"/>
  <c r="E17" i="24" s="1"/>
  <c r="E23" i="24"/>
  <c r="E20" i="24"/>
  <c r="E22" i="24" s="1"/>
  <c r="E25" i="24"/>
  <c r="E16" i="24"/>
  <c r="F68" i="24" s="1"/>
  <c r="X151" i="24"/>
  <c r="I151" i="24"/>
  <c r="Q11" i="23"/>
  <c r="S11" i="23" s="1"/>
  <c r="O124" i="23"/>
  <c r="O123" i="23"/>
  <c r="T142" i="23"/>
  <c r="T146" i="23" s="1"/>
  <c r="T135" i="23"/>
  <c r="T141" i="23"/>
  <c r="T134" i="23"/>
  <c r="T138" i="23" s="1"/>
  <c r="I124" i="23"/>
  <c r="I123" i="23"/>
  <c r="O142" i="23"/>
  <c r="O146" i="23" s="1"/>
  <c r="O135" i="23"/>
  <c r="O141" i="23"/>
  <c r="O134" i="23"/>
  <c r="O138" i="23" s="1"/>
  <c r="G141" i="23"/>
  <c r="G135" i="23"/>
  <c r="G142" i="23"/>
  <c r="G146" i="23" s="1"/>
  <c r="G134" i="23"/>
  <c r="G138" i="23" s="1"/>
  <c r="U123" i="23"/>
  <c r="U124" i="23"/>
  <c r="H142" i="23"/>
  <c r="H146" i="23" s="1"/>
  <c r="H135" i="23"/>
  <c r="H134" i="23"/>
  <c r="H138" i="23" s="1"/>
  <c r="H141" i="23"/>
  <c r="L118" i="23"/>
  <c r="L117" i="23"/>
  <c r="L110" i="23"/>
  <c r="L109" i="23"/>
  <c r="E142" i="23"/>
  <c r="E146" i="23" s="1"/>
  <c r="E135" i="23"/>
  <c r="E141" i="23"/>
  <c r="E134" i="23"/>
  <c r="E138" i="23" s="1"/>
  <c r="S124" i="23"/>
  <c r="S123" i="23"/>
  <c r="T117" i="23"/>
  <c r="T110" i="23"/>
  <c r="T103" i="23"/>
  <c r="T118" i="23"/>
  <c r="T109" i="23"/>
  <c r="T102" i="23"/>
  <c r="R118" i="23"/>
  <c r="R117" i="23"/>
  <c r="R110" i="23"/>
  <c r="R109" i="23"/>
  <c r="N117" i="23"/>
  <c r="N110" i="23"/>
  <c r="N109" i="23"/>
  <c r="N118" i="23"/>
  <c r="P118" i="23"/>
  <c r="P117" i="23"/>
  <c r="H117" i="23"/>
  <c r="H118" i="23"/>
  <c r="H110" i="23"/>
  <c r="H103" i="23"/>
  <c r="H109" i="23"/>
  <c r="H102" i="23"/>
  <c r="G118" i="23"/>
  <c r="G117" i="23"/>
  <c r="G110" i="23"/>
  <c r="G103" i="23"/>
  <c r="G109" i="23"/>
  <c r="G102" i="23"/>
  <c r="H124" i="23"/>
  <c r="H123" i="23"/>
  <c r="M124" i="23"/>
  <c r="M123" i="23"/>
  <c r="F141" i="23"/>
  <c r="F135" i="23"/>
  <c r="F142" i="23"/>
  <c r="F146" i="23" s="1"/>
  <c r="F134" i="23"/>
  <c r="F138" i="23" s="1"/>
  <c r="I142" i="23"/>
  <c r="I146" i="23" s="1"/>
  <c r="I135" i="23"/>
  <c r="I134" i="23"/>
  <c r="I138" i="23" s="1"/>
  <c r="I141" i="23"/>
  <c r="W141" i="23"/>
  <c r="W134" i="23"/>
  <c r="W138" i="23" s="1"/>
  <c r="W135" i="23"/>
  <c r="W142" i="23"/>
  <c r="W146" i="23" s="1"/>
  <c r="T124" i="23"/>
  <c r="T123" i="23"/>
  <c r="N14" i="23"/>
  <c r="G124" i="23"/>
  <c r="G123" i="23"/>
  <c r="V142" i="23"/>
  <c r="V146" i="23" s="1"/>
  <c r="V135" i="23"/>
  <c r="V141" i="23"/>
  <c r="V134" i="23"/>
  <c r="V138" i="23" s="1"/>
  <c r="E123" i="23"/>
  <c r="E124" i="23"/>
  <c r="N90" i="23"/>
  <c r="N89" i="23"/>
  <c r="N42" i="23"/>
  <c r="N41" i="23"/>
  <c r="N88" i="23"/>
  <c r="N80" i="23"/>
  <c r="N40" i="23"/>
  <c r="G88" i="23"/>
  <c r="G90" i="23"/>
  <c r="G80" i="23"/>
  <c r="G89" i="23"/>
  <c r="G42" i="23"/>
  <c r="G98" i="23" s="1"/>
  <c r="G41" i="23"/>
  <c r="G97" i="23" s="1"/>
  <c r="G40" i="23"/>
  <c r="G96" i="23" s="1"/>
  <c r="W88" i="23"/>
  <c r="W90" i="23"/>
  <c r="W89" i="23"/>
  <c r="W80" i="23"/>
  <c r="W40" i="23"/>
  <c r="W96" i="23" s="1"/>
  <c r="W42" i="23"/>
  <c r="W98" i="23" s="1"/>
  <c r="W41" i="23"/>
  <c r="W97" i="23" s="1"/>
  <c r="F118" i="23"/>
  <c r="F117" i="23"/>
  <c r="F110" i="23"/>
  <c r="F103" i="23"/>
  <c r="F102" i="23"/>
  <c r="F109" i="23"/>
  <c r="V89" i="23"/>
  <c r="V88" i="23"/>
  <c r="V80" i="23"/>
  <c r="V40" i="23"/>
  <c r="V96" i="23" s="1"/>
  <c r="V42" i="23"/>
  <c r="V98" i="23" s="1"/>
  <c r="V90" i="23"/>
  <c r="V41" i="23"/>
  <c r="V97" i="23" s="1"/>
  <c r="V123" i="23"/>
  <c r="V124" i="23"/>
  <c r="K123" i="23"/>
  <c r="K124" i="23"/>
  <c r="T90" i="23"/>
  <c r="T89" i="23"/>
  <c r="T88" i="23"/>
  <c r="T80" i="23"/>
  <c r="T41" i="23"/>
  <c r="T97" i="23" s="1"/>
  <c r="T40" i="23"/>
  <c r="T96" i="23" s="1"/>
  <c r="T42" i="23"/>
  <c r="T98" i="23" s="1"/>
  <c r="O117" i="23"/>
  <c r="O110" i="23"/>
  <c r="O103" i="23"/>
  <c r="O109" i="23"/>
  <c r="O102" i="23"/>
  <c r="O118" i="23"/>
  <c r="H90" i="23"/>
  <c r="H89" i="23"/>
  <c r="H88" i="23"/>
  <c r="H42" i="23"/>
  <c r="H98" i="23" s="1"/>
  <c r="H41" i="23"/>
  <c r="H97" i="23" s="1"/>
  <c r="H40" i="23"/>
  <c r="H96" i="23" s="1"/>
  <c r="H80" i="23"/>
  <c r="R88" i="23"/>
  <c r="R90" i="23"/>
  <c r="R89" i="23"/>
  <c r="R80" i="23"/>
  <c r="R40" i="23"/>
  <c r="R42" i="23"/>
  <c r="R41" i="23"/>
  <c r="R141" i="23"/>
  <c r="R142" i="23"/>
  <c r="R146" i="23" s="1"/>
  <c r="E40" i="23"/>
  <c r="E96" i="23" s="1"/>
  <c r="E42" i="23"/>
  <c r="E98" i="23" s="1"/>
  <c r="E41" i="23"/>
  <c r="E97" i="23" s="1"/>
  <c r="E118" i="23"/>
  <c r="E109" i="23"/>
  <c r="E102" i="23"/>
  <c r="E117" i="23"/>
  <c r="E110" i="23"/>
  <c r="E103" i="23"/>
  <c r="H23" i="23"/>
  <c r="O90" i="23"/>
  <c r="O89" i="23"/>
  <c r="O88" i="23"/>
  <c r="O80" i="23"/>
  <c r="O41" i="23"/>
  <c r="O97" i="23" s="1"/>
  <c r="O40" i="23"/>
  <c r="O96" i="23" s="1"/>
  <c r="O42" i="23"/>
  <c r="O98" i="23" s="1"/>
  <c r="M110" i="23"/>
  <c r="M103" i="23"/>
  <c r="M109" i="23"/>
  <c r="M102" i="23"/>
  <c r="L88" i="23"/>
  <c r="L90" i="23"/>
  <c r="L89" i="23"/>
  <c r="L80" i="23"/>
  <c r="L40" i="23"/>
  <c r="L42" i="23"/>
  <c r="L41" i="23"/>
  <c r="W124" i="23"/>
  <c r="W123" i="23"/>
  <c r="V118" i="23"/>
  <c r="V109" i="23"/>
  <c r="V102" i="23"/>
  <c r="V117" i="23"/>
  <c r="V110" i="23"/>
  <c r="V103" i="23"/>
  <c r="J118" i="23"/>
  <c r="J117" i="23"/>
  <c r="I90" i="23"/>
  <c r="I89" i="23"/>
  <c r="I80" i="23"/>
  <c r="I88" i="23"/>
  <c r="I41" i="23"/>
  <c r="I97" i="23" s="1"/>
  <c r="I40" i="23"/>
  <c r="I96" i="23" s="1"/>
  <c r="I42" i="23"/>
  <c r="I98" i="23" s="1"/>
  <c r="Q35" i="23"/>
  <c r="R35" i="23" s="1"/>
  <c r="R23" i="23" s="1"/>
  <c r="F88" i="23"/>
  <c r="F90" i="23"/>
  <c r="F89" i="23"/>
  <c r="F40" i="23"/>
  <c r="F96" i="23" s="1"/>
  <c r="F42" i="23"/>
  <c r="F98" i="23" s="1"/>
  <c r="F41" i="23"/>
  <c r="F97" i="23" s="1"/>
  <c r="R21" i="23"/>
  <c r="L21" i="23"/>
  <c r="Q123" i="23"/>
  <c r="Q124" i="23"/>
  <c r="P89" i="23"/>
  <c r="P88" i="23"/>
  <c r="P90" i="23"/>
  <c r="P80" i="23"/>
  <c r="P41" i="23"/>
  <c r="P40" i="23"/>
  <c r="P42" i="23"/>
  <c r="P14" i="23"/>
  <c r="I117" i="23"/>
  <c r="I110" i="23"/>
  <c r="I103" i="23"/>
  <c r="I109" i="23"/>
  <c r="I102" i="23"/>
  <c r="I118" i="23"/>
  <c r="W118" i="23"/>
  <c r="W117" i="23"/>
  <c r="W110" i="23"/>
  <c r="W103" i="23"/>
  <c r="W109" i="23"/>
  <c r="W102" i="23"/>
  <c r="L141" i="23"/>
  <c r="L142" i="23"/>
  <c r="L146" i="23" s="1"/>
  <c r="F124" i="23"/>
  <c r="F123" i="23"/>
  <c r="J89" i="23"/>
  <c r="J88" i="23"/>
  <c r="J80" i="23"/>
  <c r="J96" i="23" s="1"/>
  <c r="J14" i="23" s="1"/>
  <c r="J90" i="23"/>
  <c r="J41" i="23"/>
  <c r="J40" i="23"/>
  <c r="J42" i="23"/>
  <c r="N142" i="23"/>
  <c r="N146" i="23" s="1"/>
  <c r="N141" i="23"/>
  <c r="L14" i="22"/>
  <c r="G124" i="22"/>
  <c r="G123" i="22"/>
  <c r="V124" i="22"/>
  <c r="V123" i="22"/>
  <c r="O118" i="22"/>
  <c r="O117" i="22"/>
  <c r="O110" i="22"/>
  <c r="O103" i="22"/>
  <c r="O109" i="22"/>
  <c r="O102" i="22"/>
  <c r="W118" i="22"/>
  <c r="W117" i="22"/>
  <c r="W110" i="22"/>
  <c r="W103" i="22"/>
  <c r="W109" i="22"/>
  <c r="W102" i="22"/>
  <c r="H134" i="22"/>
  <c r="H138" i="22" s="1"/>
  <c r="H141" i="22"/>
  <c r="H142" i="22"/>
  <c r="H146" i="22" s="1"/>
  <c r="H135" i="22"/>
  <c r="Q124" i="22"/>
  <c r="Q123" i="22"/>
  <c r="I118" i="22"/>
  <c r="I117" i="22"/>
  <c r="I110" i="22"/>
  <c r="I103" i="22"/>
  <c r="I109" i="22"/>
  <c r="I102" i="22"/>
  <c r="H117" i="22"/>
  <c r="H109" i="22"/>
  <c r="H102" i="22"/>
  <c r="H118" i="22"/>
  <c r="H110" i="22"/>
  <c r="H103" i="22"/>
  <c r="W124" i="22"/>
  <c r="W123" i="22"/>
  <c r="H124" i="22"/>
  <c r="H123" i="22"/>
  <c r="I142" i="22"/>
  <c r="I146" i="22" s="1"/>
  <c r="I135" i="22"/>
  <c r="I134" i="22"/>
  <c r="I138" i="22" s="1"/>
  <c r="I141" i="22"/>
  <c r="E124" i="22"/>
  <c r="E123" i="22"/>
  <c r="E142" i="22"/>
  <c r="E146" i="22" s="1"/>
  <c r="E135" i="22"/>
  <c r="E141" i="22"/>
  <c r="E134" i="22"/>
  <c r="E138" i="22" s="1"/>
  <c r="K124" i="22"/>
  <c r="K123" i="22"/>
  <c r="F118" i="22"/>
  <c r="F110" i="22"/>
  <c r="F103" i="22"/>
  <c r="F117" i="22"/>
  <c r="F109" i="22"/>
  <c r="F102" i="22"/>
  <c r="R21" i="22"/>
  <c r="S124" i="22"/>
  <c r="S123" i="22"/>
  <c r="V118" i="22"/>
  <c r="V110" i="22"/>
  <c r="V103" i="22"/>
  <c r="V117" i="22"/>
  <c r="V109" i="22"/>
  <c r="V102" i="22"/>
  <c r="G141" i="22"/>
  <c r="G142" i="22"/>
  <c r="G146" i="22" s="1"/>
  <c r="G135" i="22"/>
  <c r="G134" i="22"/>
  <c r="G138" i="22" s="1"/>
  <c r="G117" i="22"/>
  <c r="G109" i="22"/>
  <c r="G102" i="22"/>
  <c r="G118" i="22"/>
  <c r="G110" i="22"/>
  <c r="G103" i="22"/>
  <c r="O142" i="22"/>
  <c r="O146" i="22" s="1"/>
  <c r="O135" i="22"/>
  <c r="O141" i="22"/>
  <c r="O134" i="22"/>
  <c r="O138" i="22" s="1"/>
  <c r="M124" i="22"/>
  <c r="M123" i="22"/>
  <c r="E118" i="22"/>
  <c r="E110" i="22"/>
  <c r="E103" i="22"/>
  <c r="E117" i="22"/>
  <c r="E109" i="22"/>
  <c r="E102" i="22"/>
  <c r="F124" i="22"/>
  <c r="F123" i="22"/>
  <c r="P88" i="22"/>
  <c r="P90" i="22"/>
  <c r="P89" i="22"/>
  <c r="P80" i="22"/>
  <c r="P40" i="22"/>
  <c r="P42" i="22"/>
  <c r="P41" i="22"/>
  <c r="P118" i="22"/>
  <c r="P117" i="22"/>
  <c r="N89" i="22"/>
  <c r="N88" i="22"/>
  <c r="N90" i="22"/>
  <c r="N80" i="22"/>
  <c r="N41" i="22"/>
  <c r="N40" i="22"/>
  <c r="N42" i="22"/>
  <c r="J88" i="22"/>
  <c r="J90" i="22"/>
  <c r="J89" i="22"/>
  <c r="J80" i="22"/>
  <c r="J96" i="22" s="1"/>
  <c r="J14" i="22" s="1"/>
  <c r="J40" i="22"/>
  <c r="J42" i="22"/>
  <c r="J41" i="22"/>
  <c r="U123" i="22"/>
  <c r="U124" i="22"/>
  <c r="O123" i="22"/>
  <c r="O124" i="22"/>
  <c r="H89" i="22"/>
  <c r="H88" i="22"/>
  <c r="H90" i="22"/>
  <c r="H80" i="22"/>
  <c r="H41" i="22"/>
  <c r="H97" i="22" s="1"/>
  <c r="H40" i="22"/>
  <c r="H96" i="22" s="1"/>
  <c r="H42" i="22"/>
  <c r="H98" i="22" s="1"/>
  <c r="M109" i="22"/>
  <c r="M102" i="22"/>
  <c r="M110" i="22"/>
  <c r="M103" i="22"/>
  <c r="W90" i="22"/>
  <c r="W89" i="22"/>
  <c r="W88" i="22"/>
  <c r="W80" i="22"/>
  <c r="W42" i="22"/>
  <c r="W98" i="22" s="1"/>
  <c r="W41" i="22"/>
  <c r="W97" i="22" s="1"/>
  <c r="W40" i="22"/>
  <c r="W96" i="22" s="1"/>
  <c r="W14" i="22" s="1"/>
  <c r="W141" i="22"/>
  <c r="W134" i="22"/>
  <c r="W138" i="22" s="1"/>
  <c r="W142" i="22"/>
  <c r="W146" i="22" s="1"/>
  <c r="W135" i="22"/>
  <c r="N117" i="22"/>
  <c r="N109" i="22"/>
  <c r="N118" i="22"/>
  <c r="N110" i="22"/>
  <c r="R90" i="22"/>
  <c r="R89" i="22"/>
  <c r="R88" i="22"/>
  <c r="R80" i="22"/>
  <c r="R42" i="22"/>
  <c r="R41" i="22"/>
  <c r="R40" i="22"/>
  <c r="R141" i="22"/>
  <c r="R142" i="22"/>
  <c r="R146" i="22" s="1"/>
  <c r="L118" i="22"/>
  <c r="L110" i="22"/>
  <c r="L109" i="22"/>
  <c r="L117" i="22"/>
  <c r="V142" i="22"/>
  <c r="V146" i="22" s="1"/>
  <c r="V135" i="22"/>
  <c r="V141" i="22"/>
  <c r="V134" i="22"/>
  <c r="V138" i="22" s="1"/>
  <c r="L90" i="22"/>
  <c r="L89" i="22"/>
  <c r="L80" i="22"/>
  <c r="L42" i="22"/>
  <c r="L41" i="22"/>
  <c r="L88" i="22"/>
  <c r="L40" i="22"/>
  <c r="V90" i="22"/>
  <c r="V88" i="22"/>
  <c r="V80" i="22"/>
  <c r="V89" i="22"/>
  <c r="V42" i="22"/>
  <c r="V98" i="22" s="1"/>
  <c r="V41" i="22"/>
  <c r="V97" i="22" s="1"/>
  <c r="V40" i="22"/>
  <c r="V96" i="22" s="1"/>
  <c r="P23" i="22"/>
  <c r="P21" i="22"/>
  <c r="H23" i="22"/>
  <c r="O88" i="22"/>
  <c r="O89" i="22"/>
  <c r="O90" i="22"/>
  <c r="O80" i="22"/>
  <c r="O40" i="22"/>
  <c r="O96" i="22" s="1"/>
  <c r="O42" i="22"/>
  <c r="O98" i="22" s="1"/>
  <c r="O41" i="22"/>
  <c r="O97" i="22" s="1"/>
  <c r="T123" i="22"/>
  <c r="T124" i="22"/>
  <c r="I123" i="22"/>
  <c r="I124" i="22"/>
  <c r="G89" i="22"/>
  <c r="G90" i="22"/>
  <c r="G88" i="22"/>
  <c r="G80" i="22"/>
  <c r="G41" i="22"/>
  <c r="G97" i="22" s="1"/>
  <c r="G40" i="22"/>
  <c r="G96" i="22" s="1"/>
  <c r="G14" i="22" s="1"/>
  <c r="G42" i="22"/>
  <c r="G98" i="22" s="1"/>
  <c r="F90" i="22"/>
  <c r="F89" i="22"/>
  <c r="F88" i="22"/>
  <c r="F42" i="22"/>
  <c r="F98" i="22" s="1"/>
  <c r="F41" i="22"/>
  <c r="F97" i="22" s="1"/>
  <c r="F40" i="22"/>
  <c r="F96" i="22" s="1"/>
  <c r="F141" i="22"/>
  <c r="F142" i="22"/>
  <c r="F146" i="22" s="1"/>
  <c r="F135" i="22"/>
  <c r="F134" i="22"/>
  <c r="F138" i="22" s="1"/>
  <c r="E42" i="22"/>
  <c r="E98" i="22" s="1"/>
  <c r="E41" i="22"/>
  <c r="E97" i="22" s="1"/>
  <c r="E40" i="22"/>
  <c r="E96" i="22" s="1"/>
  <c r="J118" i="22"/>
  <c r="J117" i="22"/>
  <c r="I88" i="22"/>
  <c r="I89" i="22"/>
  <c r="I90" i="22"/>
  <c r="I80" i="22"/>
  <c r="I40" i="22"/>
  <c r="I96" i="22" s="1"/>
  <c r="I42" i="22"/>
  <c r="I98" i="22" s="1"/>
  <c r="I41" i="22"/>
  <c r="I97" i="22" s="1"/>
  <c r="N141" i="22"/>
  <c r="N142" i="22"/>
  <c r="N146" i="22" s="1"/>
  <c r="R118" i="22"/>
  <c r="R117" i="22"/>
  <c r="R110" i="22"/>
  <c r="R109" i="22"/>
  <c r="L141" i="22"/>
  <c r="L142" i="22"/>
  <c r="L146" i="22" s="1"/>
  <c r="O124" i="20"/>
  <c r="O123" i="20"/>
  <c r="G123" i="20"/>
  <c r="G124" i="20"/>
  <c r="M109" i="20"/>
  <c r="M102" i="20"/>
  <c r="M103" i="20"/>
  <c r="M110" i="20"/>
  <c r="R141" i="20"/>
  <c r="R142" i="20"/>
  <c r="R146" i="20" s="1"/>
  <c r="N21" i="20"/>
  <c r="N23" i="20"/>
  <c r="H117" i="20"/>
  <c r="H110" i="20"/>
  <c r="H103" i="20"/>
  <c r="H118" i="20"/>
  <c r="H102" i="20"/>
  <c r="H109" i="20"/>
  <c r="G118" i="20"/>
  <c r="G109" i="20"/>
  <c r="G102" i="20"/>
  <c r="G117" i="20"/>
  <c r="G103" i="20"/>
  <c r="G110" i="20"/>
  <c r="I88" i="20"/>
  <c r="I89" i="20"/>
  <c r="I80" i="20"/>
  <c r="I40" i="20"/>
  <c r="I96" i="20" s="1"/>
  <c r="I41" i="20"/>
  <c r="I97" i="20" s="1"/>
  <c r="I42" i="20"/>
  <c r="I98" i="20" s="1"/>
  <c r="I90" i="20"/>
  <c r="W118" i="20"/>
  <c r="W109" i="20"/>
  <c r="W117" i="20"/>
  <c r="W103" i="20"/>
  <c r="W110" i="20"/>
  <c r="W102" i="20"/>
  <c r="V142" i="20"/>
  <c r="V146" i="20" s="1"/>
  <c r="V135" i="20"/>
  <c r="V134" i="20"/>
  <c r="V138" i="20" s="1"/>
  <c r="V141" i="20"/>
  <c r="L14" i="20"/>
  <c r="V90" i="20"/>
  <c r="V80" i="20"/>
  <c r="V88" i="20"/>
  <c r="V42" i="20"/>
  <c r="V98" i="20" s="1"/>
  <c r="V89" i="20"/>
  <c r="V40" i="20"/>
  <c r="V96" i="20" s="1"/>
  <c r="V41" i="20"/>
  <c r="V97" i="20" s="1"/>
  <c r="R90" i="20"/>
  <c r="R80" i="20"/>
  <c r="R88" i="20"/>
  <c r="R89" i="20"/>
  <c r="R42" i="20"/>
  <c r="R40" i="20"/>
  <c r="R41" i="20"/>
  <c r="S11" i="20"/>
  <c r="Q35" i="20"/>
  <c r="R35" i="20" s="1"/>
  <c r="E109" i="20"/>
  <c r="E102" i="20"/>
  <c r="E117" i="20"/>
  <c r="E110" i="20"/>
  <c r="E103" i="20"/>
  <c r="E118" i="20"/>
  <c r="U124" i="20"/>
  <c r="U123" i="20"/>
  <c r="T117" i="20"/>
  <c r="T110" i="20"/>
  <c r="T103" i="20"/>
  <c r="T118" i="20"/>
  <c r="T109" i="20"/>
  <c r="T102" i="20"/>
  <c r="O141" i="20"/>
  <c r="O135" i="20"/>
  <c r="O134" i="20"/>
  <c r="O138" i="20" s="1"/>
  <c r="O142" i="20"/>
  <c r="O146" i="20" s="1"/>
  <c r="E142" i="20"/>
  <c r="E146" i="20" s="1"/>
  <c r="E135" i="20"/>
  <c r="E134" i="20"/>
  <c r="E138" i="20" s="1"/>
  <c r="E141" i="20"/>
  <c r="V123" i="20"/>
  <c r="V124" i="20"/>
  <c r="H89" i="20"/>
  <c r="H90" i="20"/>
  <c r="H80" i="20"/>
  <c r="H41" i="20"/>
  <c r="H97" i="20" s="1"/>
  <c r="H88" i="20"/>
  <c r="H42" i="20"/>
  <c r="H98" i="20" s="1"/>
  <c r="H40" i="20"/>
  <c r="H96" i="20" s="1"/>
  <c r="H142" i="20"/>
  <c r="H146" i="20" s="1"/>
  <c r="H141" i="20"/>
  <c r="H135" i="20"/>
  <c r="H134" i="20"/>
  <c r="H138" i="20" s="1"/>
  <c r="E42" i="20"/>
  <c r="E98" i="20" s="1"/>
  <c r="E40" i="20"/>
  <c r="E96" i="20" s="1"/>
  <c r="E41" i="20"/>
  <c r="E97" i="20" s="1"/>
  <c r="N117" i="20"/>
  <c r="N110" i="20"/>
  <c r="N118" i="20"/>
  <c r="N109" i="20"/>
  <c r="P14" i="20"/>
  <c r="N89" i="20"/>
  <c r="N90" i="20"/>
  <c r="N80" i="20"/>
  <c r="N41" i="20"/>
  <c r="N42" i="20"/>
  <c r="N40" i="20"/>
  <c r="N88" i="20"/>
  <c r="W90" i="20"/>
  <c r="W80" i="20"/>
  <c r="W88" i="20"/>
  <c r="W42" i="20"/>
  <c r="W98" i="20" s="1"/>
  <c r="W89" i="20"/>
  <c r="W40" i="20"/>
  <c r="W96" i="20" s="1"/>
  <c r="W14" i="20" s="1"/>
  <c r="W41" i="20"/>
  <c r="W97" i="20" s="1"/>
  <c r="J117" i="20"/>
  <c r="J118" i="20"/>
  <c r="R14" i="20"/>
  <c r="O117" i="20"/>
  <c r="O110" i="20"/>
  <c r="O103" i="20"/>
  <c r="O118" i="20"/>
  <c r="O102" i="20"/>
  <c r="O109" i="20"/>
  <c r="W123" i="20"/>
  <c r="W124" i="20"/>
  <c r="F118" i="20"/>
  <c r="F109" i="20"/>
  <c r="F117" i="20"/>
  <c r="F103" i="20"/>
  <c r="F110" i="20"/>
  <c r="F102" i="20"/>
  <c r="T124" i="20"/>
  <c r="T123" i="20"/>
  <c r="G89" i="20"/>
  <c r="G90" i="20"/>
  <c r="G80" i="20"/>
  <c r="G41" i="20"/>
  <c r="G97" i="20" s="1"/>
  <c r="G88" i="20"/>
  <c r="G42" i="20"/>
  <c r="G98" i="20" s="1"/>
  <c r="G40" i="20"/>
  <c r="G96" i="20" s="1"/>
  <c r="F90" i="20"/>
  <c r="F88" i="20"/>
  <c r="F42" i="20"/>
  <c r="F98" i="20" s="1"/>
  <c r="F89" i="20"/>
  <c r="F40" i="20"/>
  <c r="F96" i="20" s="1"/>
  <c r="F41" i="20"/>
  <c r="F97" i="20" s="1"/>
  <c r="H23" i="20"/>
  <c r="L90" i="20"/>
  <c r="L80" i="20"/>
  <c r="L88" i="20"/>
  <c r="L42" i="20"/>
  <c r="L40" i="20"/>
  <c r="L89" i="20"/>
  <c r="L41" i="20"/>
  <c r="Q123" i="20"/>
  <c r="Q124" i="20"/>
  <c r="P88" i="20"/>
  <c r="P89" i="20"/>
  <c r="P40" i="20"/>
  <c r="P41" i="20"/>
  <c r="P90" i="20"/>
  <c r="P80" i="20"/>
  <c r="P42" i="20"/>
  <c r="P117" i="20"/>
  <c r="P118" i="20"/>
  <c r="J88" i="20"/>
  <c r="J89" i="20"/>
  <c r="J40" i="20"/>
  <c r="J90" i="20"/>
  <c r="J41" i="20"/>
  <c r="J80" i="20"/>
  <c r="J96" i="20" s="1"/>
  <c r="J14" i="20" s="1"/>
  <c r="J42" i="20"/>
  <c r="W141" i="20"/>
  <c r="W134" i="20"/>
  <c r="W138" i="20" s="1"/>
  <c r="W135" i="20"/>
  <c r="W142" i="20"/>
  <c r="W146" i="20" s="1"/>
  <c r="T88" i="20"/>
  <c r="T89" i="20"/>
  <c r="T40" i="20"/>
  <c r="T96" i="20" s="1"/>
  <c r="T90" i="20"/>
  <c r="T41" i="20"/>
  <c r="T97" i="20" s="1"/>
  <c r="T42" i="20"/>
  <c r="T98" i="20" s="1"/>
  <c r="T80" i="20"/>
  <c r="I117" i="20"/>
  <c r="I110" i="20"/>
  <c r="I103" i="20"/>
  <c r="I118" i="20"/>
  <c r="I109" i="20"/>
  <c r="I102" i="20"/>
  <c r="E123" i="20"/>
  <c r="E124" i="20"/>
  <c r="H123" i="20"/>
  <c r="H124" i="20"/>
  <c r="S123" i="20"/>
  <c r="S124" i="20"/>
  <c r="L141" i="20"/>
  <c r="L142" i="20"/>
  <c r="L146" i="20" s="1"/>
  <c r="I124" i="20"/>
  <c r="I123" i="20"/>
  <c r="I142" i="20"/>
  <c r="I146" i="20" s="1"/>
  <c r="I141" i="20"/>
  <c r="I135" i="20"/>
  <c r="I134" i="20"/>
  <c r="I138" i="20" s="1"/>
  <c r="K123" i="20"/>
  <c r="K124" i="20"/>
  <c r="F141" i="20"/>
  <c r="F135" i="20"/>
  <c r="F134" i="20"/>
  <c r="F138" i="20" s="1"/>
  <c r="F142" i="20"/>
  <c r="F146" i="20" s="1"/>
  <c r="O88" i="20"/>
  <c r="O89" i="20"/>
  <c r="O90" i="20"/>
  <c r="O40" i="20"/>
  <c r="O96" i="20" s="1"/>
  <c r="O80" i="20"/>
  <c r="O41" i="20"/>
  <c r="O97" i="20" s="1"/>
  <c r="O42" i="20"/>
  <c r="O98" i="20" s="1"/>
  <c r="T141" i="20"/>
  <c r="T135" i="20"/>
  <c r="T142" i="20"/>
  <c r="T146" i="20" s="1"/>
  <c r="T134" i="20"/>
  <c r="T138" i="20" s="1"/>
  <c r="R118" i="20"/>
  <c r="R109" i="20"/>
  <c r="R110" i="20"/>
  <c r="R117" i="20"/>
  <c r="L118" i="20"/>
  <c r="L109" i="20"/>
  <c r="L117" i="20"/>
  <c r="L110" i="20"/>
  <c r="F123" i="20"/>
  <c r="F124" i="20"/>
  <c r="V109" i="20"/>
  <c r="V102" i="20"/>
  <c r="V117" i="20"/>
  <c r="V110" i="20"/>
  <c r="V103" i="20"/>
  <c r="V118" i="20"/>
  <c r="M123" i="20"/>
  <c r="M124" i="20"/>
  <c r="N141" i="20"/>
  <c r="N142" i="20"/>
  <c r="N146" i="20" s="1"/>
  <c r="G141" i="20"/>
  <c r="G135" i="20"/>
  <c r="G134" i="20"/>
  <c r="G138" i="20" s="1"/>
  <c r="G142" i="20"/>
  <c r="G146" i="20" s="1"/>
  <c r="W157" i="6"/>
  <c r="W158" i="6" s="1"/>
  <c r="V157" i="6"/>
  <c r="V158" i="6" s="1"/>
  <c r="U157" i="6"/>
  <c r="U158" i="6" s="1"/>
  <c r="T157" i="6"/>
  <c r="T158" i="6" s="1"/>
  <c r="S157" i="6"/>
  <c r="S158" i="6" s="1"/>
  <c r="R157" i="6"/>
  <c r="R158" i="6" s="1"/>
  <c r="Q157" i="6"/>
  <c r="Q158" i="6" s="1"/>
  <c r="P157" i="6"/>
  <c r="P158" i="6" s="1"/>
  <c r="O157" i="6"/>
  <c r="O158" i="6" s="1"/>
  <c r="W144" i="6"/>
  <c r="V144" i="6"/>
  <c r="U144" i="6"/>
  <c r="T144" i="6"/>
  <c r="S144" i="6"/>
  <c r="R144" i="6"/>
  <c r="Q144" i="6"/>
  <c r="P144" i="6"/>
  <c r="O144" i="6"/>
  <c r="W127" i="6"/>
  <c r="V127" i="6"/>
  <c r="U127" i="6"/>
  <c r="T127" i="6"/>
  <c r="S127" i="6"/>
  <c r="R127" i="6"/>
  <c r="Q127" i="6"/>
  <c r="P127" i="6"/>
  <c r="O127" i="6"/>
  <c r="W82" i="6"/>
  <c r="V82" i="6"/>
  <c r="U82" i="6"/>
  <c r="T82" i="6"/>
  <c r="S82" i="6"/>
  <c r="R82" i="6"/>
  <c r="Q82" i="6"/>
  <c r="P82" i="6"/>
  <c r="O82" i="6"/>
  <c r="W81" i="6"/>
  <c r="V81" i="6"/>
  <c r="U81" i="6"/>
  <c r="T81" i="6"/>
  <c r="S81" i="6"/>
  <c r="R81" i="6"/>
  <c r="Q81" i="6"/>
  <c r="P81" i="6"/>
  <c r="O81" i="6"/>
  <c r="W77" i="6"/>
  <c r="V77" i="6"/>
  <c r="U77" i="6"/>
  <c r="T77" i="6"/>
  <c r="S77" i="6"/>
  <c r="R77" i="6"/>
  <c r="Q77" i="6"/>
  <c r="P77" i="6"/>
  <c r="O77" i="6"/>
  <c r="W76" i="6"/>
  <c r="V76" i="6"/>
  <c r="U76" i="6"/>
  <c r="T76" i="6"/>
  <c r="S76" i="6"/>
  <c r="R76" i="6"/>
  <c r="Q76" i="6"/>
  <c r="P76" i="6"/>
  <c r="O76" i="6"/>
  <c r="W74" i="6"/>
  <c r="V74" i="6"/>
  <c r="U74" i="6"/>
  <c r="T74" i="6"/>
  <c r="S74" i="6"/>
  <c r="R74" i="6"/>
  <c r="Q74" i="6"/>
  <c r="P74" i="6"/>
  <c r="O74" i="6"/>
  <c r="W71" i="6"/>
  <c r="V71" i="6"/>
  <c r="U71" i="6"/>
  <c r="T71" i="6"/>
  <c r="S71" i="6"/>
  <c r="R71" i="6"/>
  <c r="Q71" i="6"/>
  <c r="P71" i="6"/>
  <c r="O71" i="6"/>
  <c r="W66" i="6"/>
  <c r="V66" i="6"/>
  <c r="U66" i="6"/>
  <c r="T66" i="6"/>
  <c r="S66" i="6"/>
  <c r="R66" i="6"/>
  <c r="Q66" i="6"/>
  <c r="P66" i="6"/>
  <c r="O66" i="6"/>
  <c r="W58" i="6"/>
  <c r="V58" i="6"/>
  <c r="U58" i="6"/>
  <c r="T58" i="6"/>
  <c r="S58" i="6"/>
  <c r="R58" i="6"/>
  <c r="Q58" i="6"/>
  <c r="P58" i="6"/>
  <c r="O58" i="6"/>
  <c r="W53" i="6"/>
  <c r="V53" i="6"/>
  <c r="U53" i="6"/>
  <c r="T53" i="6"/>
  <c r="S53" i="6"/>
  <c r="R53" i="6"/>
  <c r="Q53" i="6"/>
  <c r="P53" i="6"/>
  <c r="O53" i="6"/>
  <c r="V52" i="6"/>
  <c r="W50" i="6"/>
  <c r="V50" i="6"/>
  <c r="U50" i="6"/>
  <c r="T50" i="6"/>
  <c r="S50" i="6"/>
  <c r="R50" i="6"/>
  <c r="Q50" i="6"/>
  <c r="P50" i="6"/>
  <c r="O50" i="6"/>
  <c r="W45" i="6"/>
  <c r="V45" i="6"/>
  <c r="U45" i="6"/>
  <c r="T45" i="6"/>
  <c r="S45" i="6"/>
  <c r="R45" i="6"/>
  <c r="Q45" i="6"/>
  <c r="P45" i="6"/>
  <c r="O45" i="6"/>
  <c r="W33" i="6"/>
  <c r="V33" i="6"/>
  <c r="U33" i="6"/>
  <c r="T33" i="6"/>
  <c r="S33" i="6"/>
  <c r="R33" i="6"/>
  <c r="Q33" i="6"/>
  <c r="P33" i="6"/>
  <c r="O33" i="6"/>
  <c r="W32" i="6"/>
  <c r="V32" i="6"/>
  <c r="V87" i="6" s="1"/>
  <c r="U32" i="6"/>
  <c r="U87" i="6" s="1"/>
  <c r="T32" i="6"/>
  <c r="T87" i="6" s="1"/>
  <c r="S32" i="6"/>
  <c r="S87" i="6" s="1"/>
  <c r="R32" i="6"/>
  <c r="Q32" i="6"/>
  <c r="Q39" i="6" s="1"/>
  <c r="P32" i="6"/>
  <c r="P87" i="6" s="1"/>
  <c r="O32" i="6"/>
  <c r="O87" i="6" s="1"/>
  <c r="W31" i="6"/>
  <c r="W38" i="6" s="1"/>
  <c r="V31" i="6"/>
  <c r="V86" i="6" s="1"/>
  <c r="U31" i="6"/>
  <c r="U70" i="6" s="1"/>
  <c r="T31" i="6"/>
  <c r="T86" i="6" s="1"/>
  <c r="S31" i="6"/>
  <c r="S86" i="6" s="1"/>
  <c r="R31" i="6"/>
  <c r="R70" i="6" s="1"/>
  <c r="Q31" i="6"/>
  <c r="Q86" i="6" s="1"/>
  <c r="P31" i="6"/>
  <c r="O31" i="6"/>
  <c r="O70" i="6" s="1"/>
  <c r="W30" i="6"/>
  <c r="W37" i="6" s="1"/>
  <c r="V30" i="6"/>
  <c r="V69" i="6" s="1"/>
  <c r="U30" i="6"/>
  <c r="U37" i="6" s="1"/>
  <c r="T30" i="6"/>
  <c r="T61" i="6" s="1"/>
  <c r="R30" i="6"/>
  <c r="P30" i="6"/>
  <c r="P37" i="6" s="1"/>
  <c r="O30" i="6"/>
  <c r="O85" i="6" s="1"/>
  <c r="W29" i="6"/>
  <c r="W52" i="6" s="1"/>
  <c r="V29" i="6"/>
  <c r="V60" i="6" s="1"/>
  <c r="U29" i="6"/>
  <c r="U60" i="6" s="1"/>
  <c r="T29" i="6"/>
  <c r="T52" i="6" s="1"/>
  <c r="R29" i="6"/>
  <c r="R44" i="6" s="1"/>
  <c r="P29" i="6"/>
  <c r="P60" i="6" s="1"/>
  <c r="O29" i="6"/>
  <c r="O60" i="6" s="1"/>
  <c r="W28" i="6"/>
  <c r="V28" i="6"/>
  <c r="U28" i="6"/>
  <c r="T28" i="6"/>
  <c r="S28" i="6"/>
  <c r="R28" i="6"/>
  <c r="Q28" i="6"/>
  <c r="P28" i="6"/>
  <c r="O28" i="6"/>
  <c r="W15" i="6"/>
  <c r="V15" i="6"/>
  <c r="U15" i="6"/>
  <c r="T15" i="6"/>
  <c r="S15" i="6"/>
  <c r="R15" i="6"/>
  <c r="Q15" i="6"/>
  <c r="P15" i="6"/>
  <c r="O15" i="6"/>
  <c r="E14" i="23" l="1"/>
  <c r="U68" i="25"/>
  <c r="U6" i="25"/>
  <c r="U29" i="25" s="1"/>
  <c r="P54" i="25"/>
  <c r="P94" i="25" s="1"/>
  <c r="P135" i="25" s="1"/>
  <c r="O17" i="25"/>
  <c r="E159" i="25"/>
  <c r="E160" i="25" s="1"/>
  <c r="E19" i="25"/>
  <c r="P46" i="25"/>
  <c r="G152" i="25"/>
  <c r="F164" i="25"/>
  <c r="E164" i="25" s="1"/>
  <c r="F18" i="25"/>
  <c r="E20" i="25"/>
  <c r="E22" i="25" s="1"/>
  <c r="E17" i="25"/>
  <c r="F54" i="25"/>
  <c r="F46" i="25"/>
  <c r="F55" i="25"/>
  <c r="F152" i="24"/>
  <c r="F155" i="24" s="1"/>
  <c r="O14" i="20"/>
  <c r="E14" i="20"/>
  <c r="E21" i="20" s="1"/>
  <c r="V14" i="20"/>
  <c r="V180" i="20" s="1"/>
  <c r="G14" i="20"/>
  <c r="H113" i="22"/>
  <c r="I18" i="24"/>
  <c r="J46" i="24" s="1"/>
  <c r="I172" i="24"/>
  <c r="E155" i="24"/>
  <c r="S35" i="22"/>
  <c r="O14" i="22"/>
  <c r="O25" i="22" s="1"/>
  <c r="N23" i="22"/>
  <c r="H20" i="25"/>
  <c r="H22" i="25" s="1"/>
  <c r="F155" i="25"/>
  <c r="W113" i="23"/>
  <c r="E113" i="23"/>
  <c r="W14" i="23"/>
  <c r="W68" i="24"/>
  <c r="V68" i="24"/>
  <c r="O159" i="25"/>
  <c r="O160" i="25" s="1"/>
  <c r="O19" i="25"/>
  <c r="I159" i="25"/>
  <c r="I160" i="25" s="1"/>
  <c r="I19" i="25"/>
  <c r="J55" i="25" s="1"/>
  <c r="J170" i="25"/>
  <c r="H170" i="25"/>
  <c r="J103" i="25"/>
  <c r="J134" i="25"/>
  <c r="J138" i="25" s="1"/>
  <c r="J102" i="25"/>
  <c r="J135" i="25"/>
  <c r="J46" i="25"/>
  <c r="J54" i="25"/>
  <c r="I20" i="25"/>
  <c r="I22" i="25" s="1"/>
  <c r="I17" i="25"/>
  <c r="H159" i="25"/>
  <c r="H160" i="25" s="1"/>
  <c r="H19" i="25"/>
  <c r="X63" i="24"/>
  <c r="X55" i="24"/>
  <c r="X54" i="24"/>
  <c r="F154" i="24"/>
  <c r="F47" i="24"/>
  <c r="F46" i="24"/>
  <c r="F54" i="24"/>
  <c r="F55" i="24"/>
  <c r="W154" i="24"/>
  <c r="V154" i="24"/>
  <c r="G113" i="23"/>
  <c r="H113" i="23"/>
  <c r="I154" i="24"/>
  <c r="I155" i="24"/>
  <c r="I16" i="24"/>
  <c r="J68" i="24" s="1"/>
  <c r="H154" i="24"/>
  <c r="H155" i="24"/>
  <c r="H16" i="24"/>
  <c r="I68" i="24" s="1"/>
  <c r="U154" i="24"/>
  <c r="J170" i="24"/>
  <c r="H170" i="24"/>
  <c r="H168" i="24"/>
  <c r="H18" i="24"/>
  <c r="K172" i="24"/>
  <c r="G47" i="24"/>
  <c r="G113" i="22"/>
  <c r="X154" i="24"/>
  <c r="G154" i="24"/>
  <c r="R113" i="20"/>
  <c r="M113" i="20"/>
  <c r="M113" i="23"/>
  <c r="T113" i="23"/>
  <c r="R113" i="22"/>
  <c r="T113" i="20"/>
  <c r="T131" i="23"/>
  <c r="T132" i="23"/>
  <c r="T129" i="23"/>
  <c r="T130" i="23" s="1"/>
  <c r="T125" i="23"/>
  <c r="F139" i="23"/>
  <c r="F136" i="23"/>
  <c r="F137" i="23" s="1"/>
  <c r="H106" i="23"/>
  <c r="H104" i="23"/>
  <c r="H105" i="23" s="1"/>
  <c r="H107" i="23" s="1"/>
  <c r="N113" i="22"/>
  <c r="J24" i="23"/>
  <c r="J21" i="23"/>
  <c r="J23" i="23"/>
  <c r="P21" i="23"/>
  <c r="P23" i="23"/>
  <c r="V104" i="23"/>
  <c r="V105" i="23" s="1"/>
  <c r="V107" i="23" s="1"/>
  <c r="V106" i="23"/>
  <c r="R148" i="23"/>
  <c r="R145" i="23"/>
  <c r="R147" i="23" s="1"/>
  <c r="R149" i="23"/>
  <c r="F114" i="23"/>
  <c r="F111" i="23"/>
  <c r="F112" i="23" s="1"/>
  <c r="V139" i="23"/>
  <c r="V136" i="23"/>
  <c r="V137" i="23" s="1"/>
  <c r="F148" i="23"/>
  <c r="F145" i="23"/>
  <c r="F147" i="23" s="1"/>
  <c r="F149" i="23"/>
  <c r="G114" i="23"/>
  <c r="G111" i="23"/>
  <c r="G112" i="23" s="1"/>
  <c r="H114" i="23"/>
  <c r="H111" i="23"/>
  <c r="H112" i="23" s="1"/>
  <c r="T120" i="23"/>
  <c r="T119" i="23"/>
  <c r="T121" i="23" s="1"/>
  <c r="U132" i="23"/>
  <c r="U129" i="23"/>
  <c r="U130" i="23" s="1"/>
  <c r="U125" i="23"/>
  <c r="U131" i="23"/>
  <c r="O149" i="23"/>
  <c r="O148" i="23"/>
  <c r="O145" i="23"/>
  <c r="O147" i="23" s="1"/>
  <c r="T149" i="23"/>
  <c r="T148" i="23"/>
  <c r="T145" i="23"/>
  <c r="T147" i="23" s="1"/>
  <c r="V119" i="23"/>
  <c r="V121" i="23" s="1"/>
  <c r="V120" i="23"/>
  <c r="O120" i="23"/>
  <c r="O119" i="23"/>
  <c r="O121" i="23" s="1"/>
  <c r="V149" i="23"/>
  <c r="V148" i="23"/>
  <c r="V145" i="23"/>
  <c r="V147" i="23" s="1"/>
  <c r="I149" i="23"/>
  <c r="I145" i="23"/>
  <c r="I147" i="23" s="1"/>
  <c r="I148" i="23"/>
  <c r="G104" i="23"/>
  <c r="G105" i="23" s="1"/>
  <c r="G107" i="23" s="1"/>
  <c r="G106" i="23"/>
  <c r="E139" i="23"/>
  <c r="E136" i="23"/>
  <c r="E137" i="23" s="1"/>
  <c r="L113" i="22"/>
  <c r="W120" i="23"/>
  <c r="W119" i="23"/>
  <c r="W121" i="23" s="1"/>
  <c r="I106" i="23"/>
  <c r="I104" i="23"/>
  <c r="I105" i="23" s="1"/>
  <c r="I107" i="23" s="1"/>
  <c r="V114" i="23"/>
  <c r="V111" i="23"/>
  <c r="V112" i="23" s="1"/>
  <c r="O106" i="23"/>
  <c r="O104" i="23"/>
  <c r="O105" i="23" s="1"/>
  <c r="O107" i="23" s="1"/>
  <c r="T14" i="23"/>
  <c r="F104" i="23"/>
  <c r="F105" i="23" s="1"/>
  <c r="F107" i="23" s="1"/>
  <c r="F106" i="23"/>
  <c r="I139" i="23"/>
  <c r="I136" i="23"/>
  <c r="I137" i="23" s="1"/>
  <c r="M132" i="23"/>
  <c r="M129" i="23"/>
  <c r="M130" i="23" s="1"/>
  <c r="M125" i="23"/>
  <c r="M131" i="23"/>
  <c r="P119" i="23"/>
  <c r="P121" i="23" s="1"/>
  <c r="P120" i="23"/>
  <c r="N114" i="23"/>
  <c r="N111" i="23"/>
  <c r="N112" i="23" s="1"/>
  <c r="R114" i="23"/>
  <c r="R111" i="23"/>
  <c r="R112" i="23" s="1"/>
  <c r="T106" i="23"/>
  <c r="T104" i="23"/>
  <c r="T105" i="23" s="1"/>
  <c r="T107" i="23" s="1"/>
  <c r="S132" i="23"/>
  <c r="S129" i="23"/>
  <c r="S130" i="23" s="1"/>
  <c r="S125" i="23"/>
  <c r="S131" i="23"/>
  <c r="L114" i="23"/>
  <c r="L111" i="23"/>
  <c r="L112" i="23" s="1"/>
  <c r="H149" i="23"/>
  <c r="H148" i="23"/>
  <c r="H145" i="23"/>
  <c r="H147" i="23" s="1"/>
  <c r="O139" i="23"/>
  <c r="O136" i="23"/>
  <c r="O137" i="23" s="1"/>
  <c r="T139" i="23"/>
  <c r="T136" i="23"/>
  <c r="T137" i="23" s="1"/>
  <c r="N149" i="23"/>
  <c r="N145" i="23"/>
  <c r="N147" i="23" s="1"/>
  <c r="N148" i="23"/>
  <c r="I120" i="23"/>
  <c r="I119" i="23"/>
  <c r="I121" i="23" s="1"/>
  <c r="R120" i="23"/>
  <c r="R119" i="23"/>
  <c r="R121" i="23" s="1"/>
  <c r="F113" i="22"/>
  <c r="L148" i="23"/>
  <c r="L145" i="23"/>
  <c r="L147" i="23" s="1"/>
  <c r="L149" i="23"/>
  <c r="I114" i="23"/>
  <c r="I111" i="23"/>
  <c r="I112" i="23" s="1"/>
  <c r="S35" i="23"/>
  <c r="J119" i="23"/>
  <c r="J121" i="23" s="1"/>
  <c r="J120" i="23"/>
  <c r="E119" i="23"/>
  <c r="E121" i="23" s="1"/>
  <c r="E120" i="23"/>
  <c r="E23" i="23"/>
  <c r="E25" i="23"/>
  <c r="E24" i="23"/>
  <c r="E21" i="23"/>
  <c r="F60" i="23" s="1"/>
  <c r="O111" i="23"/>
  <c r="O112" i="23" s="1"/>
  <c r="O114" i="23"/>
  <c r="K132" i="23"/>
  <c r="K129" i="23"/>
  <c r="K130" i="23" s="1"/>
  <c r="K125" i="23"/>
  <c r="K131" i="23"/>
  <c r="V14" i="23"/>
  <c r="W181" i="23"/>
  <c r="W180" i="23"/>
  <c r="W23" i="23"/>
  <c r="W20" i="23"/>
  <c r="W25" i="23"/>
  <c r="W24" i="23"/>
  <c r="W17" i="23"/>
  <c r="W21" i="23"/>
  <c r="W19" i="23"/>
  <c r="W16" i="23"/>
  <c r="W22" i="23"/>
  <c r="W18" i="23"/>
  <c r="G132" i="23"/>
  <c r="G129" i="23"/>
  <c r="G130" i="23" s="1"/>
  <c r="G125" i="23"/>
  <c r="G131" i="23"/>
  <c r="W139" i="23"/>
  <c r="W136" i="23"/>
  <c r="W137" i="23" s="1"/>
  <c r="T114" i="23"/>
  <c r="T111" i="23"/>
  <c r="T112" i="23" s="1"/>
  <c r="L120" i="23"/>
  <c r="L119" i="23"/>
  <c r="L121" i="23" s="1"/>
  <c r="I113" i="22"/>
  <c r="W113" i="22"/>
  <c r="F132" i="23"/>
  <c r="F129" i="23"/>
  <c r="F130" i="23" s="1"/>
  <c r="F125" i="23"/>
  <c r="F131" i="23"/>
  <c r="W104" i="23"/>
  <c r="W105" i="23" s="1"/>
  <c r="W107" i="23" s="1"/>
  <c r="W106" i="23"/>
  <c r="Q132" i="23"/>
  <c r="Q129" i="23"/>
  <c r="Q130" i="23" s="1"/>
  <c r="Q125" i="23"/>
  <c r="Q131" i="23"/>
  <c r="W132" i="23"/>
  <c r="W129" i="23"/>
  <c r="W130" i="23" s="1"/>
  <c r="W125" i="23"/>
  <c r="W131" i="23"/>
  <c r="M104" i="23"/>
  <c r="M105" i="23" s="1"/>
  <c r="M107" i="23" s="1"/>
  <c r="M106" i="23"/>
  <c r="E104" i="23"/>
  <c r="E105" i="23" s="1"/>
  <c r="E107" i="23" s="1"/>
  <c r="E106" i="23"/>
  <c r="F113" i="23"/>
  <c r="E132" i="23"/>
  <c r="E129" i="23"/>
  <c r="E130" i="23" s="1"/>
  <c r="E125" i="23"/>
  <c r="E131" i="23"/>
  <c r="H131" i="23"/>
  <c r="H129" i="23"/>
  <c r="H130" i="23" s="1"/>
  <c r="H132" i="23"/>
  <c r="H125" i="23"/>
  <c r="G120" i="23"/>
  <c r="G119" i="23"/>
  <c r="G121" i="23" s="1"/>
  <c r="N113" i="23"/>
  <c r="H139" i="23"/>
  <c r="H136" i="23"/>
  <c r="H137" i="23" s="1"/>
  <c r="G139" i="23"/>
  <c r="G136" i="23"/>
  <c r="G137" i="23" s="1"/>
  <c r="I131" i="23"/>
  <c r="I132" i="23"/>
  <c r="I129" i="23"/>
  <c r="I130" i="23" s="1"/>
  <c r="I125" i="23"/>
  <c r="O131" i="23"/>
  <c r="O132" i="23"/>
  <c r="O129" i="23"/>
  <c r="O130" i="23" s="1"/>
  <c r="O125" i="23"/>
  <c r="M113" i="22"/>
  <c r="W114" i="23"/>
  <c r="W111" i="23"/>
  <c r="W112" i="23" s="1"/>
  <c r="I113" i="23"/>
  <c r="F14" i="23"/>
  <c r="I14" i="23"/>
  <c r="V113" i="23"/>
  <c r="M114" i="23"/>
  <c r="M111" i="23"/>
  <c r="M112" i="23" s="1"/>
  <c r="M115" i="23" s="1"/>
  <c r="O14" i="23"/>
  <c r="E114" i="23"/>
  <c r="E111" i="23"/>
  <c r="E112" i="23" s="1"/>
  <c r="O113" i="23"/>
  <c r="V132" i="23"/>
  <c r="V129" i="23"/>
  <c r="V130" i="23" s="1"/>
  <c r="V125" i="23"/>
  <c r="V131" i="23"/>
  <c r="F120" i="23"/>
  <c r="F119" i="23"/>
  <c r="F121" i="23" s="1"/>
  <c r="G14" i="23"/>
  <c r="N23" i="23"/>
  <c r="N21" i="23"/>
  <c r="W148" i="23"/>
  <c r="W145" i="23"/>
  <c r="W147" i="23" s="1"/>
  <c r="W149" i="23"/>
  <c r="H120" i="23"/>
  <c r="H119" i="23"/>
  <c r="H121" i="23" s="1"/>
  <c r="N120" i="23"/>
  <c r="N119" i="23"/>
  <c r="N121" i="23" s="1"/>
  <c r="R113" i="23"/>
  <c r="E149" i="23"/>
  <c r="E148" i="23"/>
  <c r="E145" i="23"/>
  <c r="E147" i="23" s="1"/>
  <c r="L113" i="23"/>
  <c r="G148" i="23"/>
  <c r="G145" i="23"/>
  <c r="G147" i="23" s="1"/>
  <c r="G149" i="23"/>
  <c r="F139" i="22"/>
  <c r="F136" i="22"/>
  <c r="F137" i="22" s="1"/>
  <c r="E114" i="22"/>
  <c r="E111" i="22"/>
  <c r="E112" i="22" s="1"/>
  <c r="G139" i="22"/>
  <c r="G136" i="22"/>
  <c r="G137" i="22" s="1"/>
  <c r="H104" i="22"/>
  <c r="H105" i="22" s="1"/>
  <c r="H107" i="22" s="1"/>
  <c r="H106" i="22"/>
  <c r="R114" i="22"/>
  <c r="R111" i="22"/>
  <c r="R112" i="22" s="1"/>
  <c r="G24" i="22"/>
  <c r="G21" i="22"/>
  <c r="G23" i="22"/>
  <c r="G25" i="22"/>
  <c r="L114" i="22"/>
  <c r="L111" i="22"/>
  <c r="L112" i="22" s="1"/>
  <c r="M104" i="22"/>
  <c r="M105" i="22" s="1"/>
  <c r="M107" i="22" s="1"/>
  <c r="M106" i="22"/>
  <c r="G120" i="22"/>
  <c r="G119" i="22"/>
  <c r="G121" i="22" s="1"/>
  <c r="V114" i="22"/>
  <c r="V111" i="22"/>
  <c r="V112" i="22" s="1"/>
  <c r="I114" i="22"/>
  <c r="I111" i="22"/>
  <c r="I112" i="22" s="1"/>
  <c r="W114" i="22"/>
  <c r="W111" i="22"/>
  <c r="W112" i="22" s="1"/>
  <c r="I132" i="22"/>
  <c r="I129" i="22"/>
  <c r="I130" i="22" s="1"/>
  <c r="I125" i="22"/>
  <c r="I131" i="22"/>
  <c r="V14" i="22"/>
  <c r="R148" i="22"/>
  <c r="R145" i="22"/>
  <c r="R147" i="22" s="1"/>
  <c r="R149" i="22"/>
  <c r="N114" i="22"/>
  <c r="N111" i="22"/>
  <c r="N112" i="22" s="1"/>
  <c r="W148" i="22"/>
  <c r="W145" i="22"/>
  <c r="W147" i="22" s="1"/>
  <c r="W149" i="22"/>
  <c r="M114" i="22"/>
  <c r="M111" i="22"/>
  <c r="M112" i="22" s="1"/>
  <c r="U132" i="22"/>
  <c r="U129" i="22"/>
  <c r="U130" i="22" s="1"/>
  <c r="U125" i="22"/>
  <c r="U131" i="22"/>
  <c r="E106" i="22"/>
  <c r="E104" i="22"/>
  <c r="E105" i="22" s="1"/>
  <c r="E107" i="22" s="1"/>
  <c r="M131" i="22"/>
  <c r="M132" i="22"/>
  <c r="M129" i="22"/>
  <c r="M130" i="22" s="1"/>
  <c r="M125" i="22"/>
  <c r="V119" i="22"/>
  <c r="V121" i="22" s="1"/>
  <c r="V120" i="22"/>
  <c r="K132" i="22"/>
  <c r="K129" i="22"/>
  <c r="K130" i="22" s="1"/>
  <c r="K125" i="22"/>
  <c r="K131" i="22"/>
  <c r="E132" i="22"/>
  <c r="E129" i="22"/>
  <c r="E130" i="22" s="1"/>
  <c r="E125" i="22"/>
  <c r="E131" i="22"/>
  <c r="H131" i="22"/>
  <c r="H132" i="22"/>
  <c r="H129" i="22"/>
  <c r="H130" i="22" s="1"/>
  <c r="H125" i="22"/>
  <c r="H139" i="22"/>
  <c r="H136" i="22"/>
  <c r="H137" i="22" s="1"/>
  <c r="O104" i="22"/>
  <c r="O105" i="22" s="1"/>
  <c r="O107" i="22" s="1"/>
  <c r="O106" i="22"/>
  <c r="V132" i="22"/>
  <c r="V129" i="22"/>
  <c r="V130" i="22" s="1"/>
  <c r="V125" i="22"/>
  <c r="V131" i="22"/>
  <c r="N148" i="22"/>
  <c r="N145" i="22"/>
  <c r="N147" i="22" s="1"/>
  <c r="N149" i="22"/>
  <c r="P119" i="22"/>
  <c r="P121" i="22" s="1"/>
  <c r="P120" i="22"/>
  <c r="R120" i="22"/>
  <c r="R119" i="22"/>
  <c r="R121" i="22" s="1"/>
  <c r="I14" i="22"/>
  <c r="T132" i="22"/>
  <c r="T129" i="22"/>
  <c r="T130" i="22" s="1"/>
  <c r="T125" i="22"/>
  <c r="T131" i="22"/>
  <c r="E120" i="22"/>
  <c r="E119" i="22"/>
  <c r="E121" i="22" s="1"/>
  <c r="V113" i="22"/>
  <c r="R23" i="22"/>
  <c r="F106" i="22"/>
  <c r="F104" i="22"/>
  <c r="F105" i="22" s="1"/>
  <c r="F107" i="22" s="1"/>
  <c r="I149" i="22"/>
  <c r="I148" i="22"/>
  <c r="I145" i="22"/>
  <c r="I147" i="22" s="1"/>
  <c r="W132" i="22"/>
  <c r="W129" i="22"/>
  <c r="W130" i="22" s="1"/>
  <c r="W125" i="22"/>
  <c r="W131" i="22"/>
  <c r="H114" i="22"/>
  <c r="H111" i="22"/>
  <c r="H112" i="22" s="1"/>
  <c r="I119" i="22"/>
  <c r="I121" i="22" s="1"/>
  <c r="I120" i="22"/>
  <c r="H148" i="22"/>
  <c r="H145" i="22"/>
  <c r="H147" i="22" s="1"/>
  <c r="H149" i="22"/>
  <c r="W120" i="22"/>
  <c r="W119" i="22"/>
  <c r="W121" i="22" s="1"/>
  <c r="G131" i="22"/>
  <c r="G132" i="22"/>
  <c r="G129" i="22"/>
  <c r="G130" i="22" s="1"/>
  <c r="G125" i="22"/>
  <c r="W181" i="22"/>
  <c r="W180" i="22"/>
  <c r="W25" i="22"/>
  <c r="W22" i="22"/>
  <c r="W19" i="22"/>
  <c r="W16" i="22"/>
  <c r="W24" i="22"/>
  <c r="W21" i="22"/>
  <c r="W18" i="22"/>
  <c r="W23" i="22"/>
  <c r="W20" i="22"/>
  <c r="W17" i="22"/>
  <c r="O114" i="22"/>
  <c r="O111" i="22"/>
  <c r="O112" i="22" s="1"/>
  <c r="V113" i="20"/>
  <c r="L113" i="20"/>
  <c r="W113" i="20"/>
  <c r="G113" i="20"/>
  <c r="L148" i="22"/>
  <c r="L145" i="22"/>
  <c r="L147" i="22" s="1"/>
  <c r="L149" i="22"/>
  <c r="E14" i="22"/>
  <c r="F148" i="22"/>
  <c r="F145" i="22"/>
  <c r="F147" i="22" s="1"/>
  <c r="F149" i="22"/>
  <c r="V149" i="22"/>
  <c r="V148" i="22"/>
  <c r="V145" i="22"/>
  <c r="V147" i="22" s="1"/>
  <c r="L120" i="22"/>
  <c r="L119" i="22"/>
  <c r="L121" i="22" s="1"/>
  <c r="W139" i="22"/>
  <c r="W136" i="22"/>
  <c r="W137" i="22" s="1"/>
  <c r="O149" i="22"/>
  <c r="O148" i="22"/>
  <c r="O145" i="22"/>
  <c r="O147" i="22" s="1"/>
  <c r="G104" i="22"/>
  <c r="G105" i="22" s="1"/>
  <c r="G107" i="22" s="1"/>
  <c r="G106" i="22"/>
  <c r="G148" i="22"/>
  <c r="G145" i="22"/>
  <c r="G147" i="22" s="1"/>
  <c r="G149" i="22"/>
  <c r="F114" i="22"/>
  <c r="F111" i="22"/>
  <c r="F112" i="22" s="1"/>
  <c r="E149" i="22"/>
  <c r="E148" i="22"/>
  <c r="E145" i="22"/>
  <c r="E147" i="22" s="1"/>
  <c r="H120" i="22"/>
  <c r="H119" i="22"/>
  <c r="H121" i="22" s="1"/>
  <c r="O113" i="22"/>
  <c r="N120" i="22"/>
  <c r="N119" i="22"/>
  <c r="N121" i="22" s="1"/>
  <c r="J119" i="22"/>
  <c r="J121" i="22" s="1"/>
  <c r="J120" i="22"/>
  <c r="F14" i="22"/>
  <c r="V139" i="22"/>
  <c r="V136" i="22"/>
  <c r="V137" i="22" s="1"/>
  <c r="O132" i="22"/>
  <c r="O129" i="22"/>
  <c r="O130" i="22" s="1"/>
  <c r="O125" i="22"/>
  <c r="O131" i="22"/>
  <c r="J23" i="22"/>
  <c r="J24" i="22"/>
  <c r="J21" i="22"/>
  <c r="F132" i="22"/>
  <c r="F129" i="22"/>
  <c r="F130" i="22" s="1"/>
  <c r="F125" i="22"/>
  <c r="F131" i="22"/>
  <c r="E113" i="22"/>
  <c r="O139" i="22"/>
  <c r="O136" i="22"/>
  <c r="O137" i="22" s="1"/>
  <c r="G114" i="22"/>
  <c r="G111" i="22"/>
  <c r="G112" i="22" s="1"/>
  <c r="V106" i="22"/>
  <c r="V104" i="22"/>
  <c r="V105" i="22" s="1"/>
  <c r="V107" i="22" s="1"/>
  <c r="S131" i="22"/>
  <c r="S132" i="22"/>
  <c r="S129" i="22"/>
  <c r="S130" i="22" s="1"/>
  <c r="S125" i="22"/>
  <c r="F120" i="22"/>
  <c r="F119" i="22"/>
  <c r="F121" i="22" s="1"/>
  <c r="E139" i="22"/>
  <c r="E136" i="22"/>
  <c r="E137" i="22" s="1"/>
  <c r="I139" i="22"/>
  <c r="I136" i="22"/>
  <c r="I137" i="22" s="1"/>
  <c r="I104" i="22"/>
  <c r="I105" i="22" s="1"/>
  <c r="I107" i="22" s="1"/>
  <c r="I106" i="22"/>
  <c r="Q132" i="22"/>
  <c r="Q129" i="22"/>
  <c r="Q130" i="22" s="1"/>
  <c r="Q125" i="22"/>
  <c r="Q131" i="22"/>
  <c r="W106" i="22"/>
  <c r="W104" i="22"/>
  <c r="W105" i="22" s="1"/>
  <c r="W107" i="22" s="1"/>
  <c r="O119" i="22"/>
  <c r="O121" i="22" s="1"/>
  <c r="O120" i="22"/>
  <c r="L21" i="22"/>
  <c r="L23" i="22"/>
  <c r="F113" i="20"/>
  <c r="G148" i="20"/>
  <c r="G145" i="20"/>
  <c r="G147" i="20" s="1"/>
  <c r="G149" i="20"/>
  <c r="R119" i="20"/>
  <c r="R121" i="20" s="1"/>
  <c r="R120" i="20"/>
  <c r="O114" i="20"/>
  <c r="O111" i="20"/>
  <c r="O112" i="20" s="1"/>
  <c r="O131" i="20"/>
  <c r="O132" i="20"/>
  <c r="O129" i="20"/>
  <c r="O130" i="20" s="1"/>
  <c r="O125" i="20"/>
  <c r="O23" i="20"/>
  <c r="O24" i="20"/>
  <c r="O21" i="20"/>
  <c r="O25" i="20"/>
  <c r="Q131" i="20"/>
  <c r="Q132" i="20"/>
  <c r="Q125" i="20"/>
  <c r="Q129" i="20"/>
  <c r="Q130" i="20" s="1"/>
  <c r="N149" i="20"/>
  <c r="N145" i="20"/>
  <c r="N147" i="20" s="1"/>
  <c r="N148" i="20"/>
  <c r="L114" i="20"/>
  <c r="L111" i="20"/>
  <c r="L112" i="20" s="1"/>
  <c r="R114" i="20"/>
  <c r="R111" i="20"/>
  <c r="R112" i="20" s="1"/>
  <c r="I139" i="20"/>
  <c r="I136" i="20"/>
  <c r="I137" i="20" s="1"/>
  <c r="I106" i="20"/>
  <c r="I104" i="20"/>
  <c r="I105" i="20" s="1"/>
  <c r="I107" i="20" s="1"/>
  <c r="J23" i="20"/>
  <c r="J24" i="20"/>
  <c r="J21" i="20"/>
  <c r="F104" i="20"/>
  <c r="F105" i="20" s="1"/>
  <c r="F107" i="20" s="1"/>
  <c r="F106" i="20"/>
  <c r="O113" i="20"/>
  <c r="J119" i="20"/>
  <c r="J120" i="20"/>
  <c r="P23" i="20"/>
  <c r="P21" i="20"/>
  <c r="N120" i="20"/>
  <c r="N119" i="20"/>
  <c r="N121" i="20" s="1"/>
  <c r="T114" i="20"/>
  <c r="T111" i="20"/>
  <c r="T112" i="20" s="1"/>
  <c r="E113" i="20"/>
  <c r="S35" i="20"/>
  <c r="G114" i="20"/>
  <c r="G111" i="20"/>
  <c r="G112" i="20" s="1"/>
  <c r="G115" i="20" s="1"/>
  <c r="H113" i="20"/>
  <c r="W139" i="20"/>
  <c r="W136" i="20"/>
  <c r="W137" i="20" s="1"/>
  <c r="L23" i="20"/>
  <c r="L21" i="20"/>
  <c r="H114" i="20"/>
  <c r="H111" i="20"/>
  <c r="H112" i="20" s="1"/>
  <c r="P119" i="20"/>
  <c r="P121" i="20" s="1"/>
  <c r="P120" i="20"/>
  <c r="F119" i="20"/>
  <c r="F121" i="20" s="1"/>
  <c r="F120" i="20"/>
  <c r="V149" i="20"/>
  <c r="V145" i="20"/>
  <c r="V147" i="20" s="1"/>
  <c r="V148" i="20"/>
  <c r="G139" i="20"/>
  <c r="G136" i="20"/>
  <c r="G137" i="20" s="1"/>
  <c r="F132" i="20"/>
  <c r="F129" i="20"/>
  <c r="F130" i="20" s="1"/>
  <c r="F131" i="20"/>
  <c r="F125" i="20"/>
  <c r="I148" i="20"/>
  <c r="I149" i="20"/>
  <c r="I145" i="20"/>
  <c r="I147" i="20" s="1"/>
  <c r="S132" i="20"/>
  <c r="S129" i="20"/>
  <c r="S130" i="20" s="1"/>
  <c r="S125" i="20"/>
  <c r="S131" i="20"/>
  <c r="I114" i="20"/>
  <c r="I111" i="20"/>
  <c r="I112" i="20" s="1"/>
  <c r="W132" i="20"/>
  <c r="W129" i="20"/>
  <c r="W130" i="20" s="1"/>
  <c r="W131" i="20"/>
  <c r="W125" i="20"/>
  <c r="O120" i="20"/>
  <c r="O119" i="20"/>
  <c r="O121" i="20" s="1"/>
  <c r="N114" i="20"/>
  <c r="N111" i="20"/>
  <c r="N112" i="20" s="1"/>
  <c r="E119" i="20"/>
  <c r="E120" i="20"/>
  <c r="W104" i="20"/>
  <c r="W105" i="20" s="1"/>
  <c r="W107" i="20" s="1"/>
  <c r="W106" i="20"/>
  <c r="H120" i="20"/>
  <c r="H119" i="20"/>
  <c r="H121" i="20" s="1"/>
  <c r="G132" i="20"/>
  <c r="G129" i="20"/>
  <c r="G130" i="20" s="1"/>
  <c r="G125" i="20"/>
  <c r="G131" i="20"/>
  <c r="R23" i="20"/>
  <c r="R21" i="20"/>
  <c r="V131" i="20"/>
  <c r="V129" i="20"/>
  <c r="V130" i="20" s="1"/>
  <c r="V125" i="20"/>
  <c r="V132" i="20"/>
  <c r="U131" i="20"/>
  <c r="U132" i="20"/>
  <c r="U129" i="20"/>
  <c r="U130" i="20" s="1"/>
  <c r="U125" i="20"/>
  <c r="V119" i="20"/>
  <c r="V121" i="20" s="1"/>
  <c r="V120" i="20"/>
  <c r="F139" i="20"/>
  <c r="F136" i="20"/>
  <c r="F137" i="20" s="1"/>
  <c r="O139" i="20"/>
  <c r="O136" i="20"/>
  <c r="O137" i="20" s="1"/>
  <c r="E111" i="20"/>
  <c r="E112" i="20" s="1"/>
  <c r="E115" i="20" s="1"/>
  <c r="E114" i="20"/>
  <c r="H106" i="20"/>
  <c r="H104" i="20"/>
  <c r="H105" i="20" s="1"/>
  <c r="H107" i="20" s="1"/>
  <c r="M104" i="20"/>
  <c r="M105" i="20" s="1"/>
  <c r="M107" i="20" s="1"/>
  <c r="M106" i="20"/>
  <c r="V22" i="20"/>
  <c r="V24" i="20"/>
  <c r="V21" i="20"/>
  <c r="H132" i="20"/>
  <c r="H129" i="20"/>
  <c r="H130" i="20" s="1"/>
  <c r="H125" i="20"/>
  <c r="H131" i="20"/>
  <c r="O106" i="20"/>
  <c r="O104" i="20"/>
  <c r="O105" i="20" s="1"/>
  <c r="O107" i="20" s="1"/>
  <c r="E149" i="20"/>
  <c r="E145" i="20"/>
  <c r="E147" i="20" s="1"/>
  <c r="E148" i="20"/>
  <c r="V106" i="20"/>
  <c r="V104" i="20"/>
  <c r="V105" i="20" s="1"/>
  <c r="V107" i="20" s="1"/>
  <c r="L119" i="20"/>
  <c r="L121" i="20" s="1"/>
  <c r="L120" i="20"/>
  <c r="T139" i="20"/>
  <c r="T136" i="20"/>
  <c r="T137" i="20" s="1"/>
  <c r="F148" i="20"/>
  <c r="F145" i="20"/>
  <c r="F147" i="20" s="1"/>
  <c r="F149" i="20"/>
  <c r="K131" i="20"/>
  <c r="K132" i="20"/>
  <c r="K129" i="20"/>
  <c r="K130" i="20" s="1"/>
  <c r="K125" i="20"/>
  <c r="I131" i="20"/>
  <c r="I132" i="20"/>
  <c r="I129" i="20"/>
  <c r="I130" i="20" s="1"/>
  <c r="I125" i="20"/>
  <c r="I113" i="20"/>
  <c r="T14" i="20"/>
  <c r="W148" i="20"/>
  <c r="W145" i="20"/>
  <c r="W147" i="20" s="1"/>
  <c r="W149" i="20"/>
  <c r="F14" i="20"/>
  <c r="T131" i="20"/>
  <c r="T132" i="20"/>
  <c r="T129" i="20"/>
  <c r="T130" i="20" s="1"/>
  <c r="T125" i="20"/>
  <c r="F114" i="20"/>
  <c r="F111" i="20"/>
  <c r="F112" i="20" s="1"/>
  <c r="F115" i="20" s="1"/>
  <c r="J121" i="20"/>
  <c r="H149" i="20"/>
  <c r="H145" i="20"/>
  <c r="H147" i="20" s="1"/>
  <c r="H148" i="20"/>
  <c r="O149" i="20"/>
  <c r="O145" i="20"/>
  <c r="O147" i="20" s="1"/>
  <c r="O148" i="20"/>
  <c r="T120" i="20"/>
  <c r="T119" i="20"/>
  <c r="T121" i="20" s="1"/>
  <c r="E121" i="20"/>
  <c r="W119" i="20"/>
  <c r="W121" i="20" s="1"/>
  <c r="W120" i="20"/>
  <c r="I14" i="20"/>
  <c r="G119" i="20"/>
  <c r="G121" i="20" s="1"/>
  <c r="G120" i="20"/>
  <c r="M114" i="20"/>
  <c r="M111" i="20"/>
  <c r="M112" i="20" s="1"/>
  <c r="M115" i="20" s="1"/>
  <c r="E162" i="20"/>
  <c r="E20" i="20"/>
  <c r="E17" i="20"/>
  <c r="E18" i="20"/>
  <c r="E24" i="20"/>
  <c r="E106" i="20"/>
  <c r="E104" i="20"/>
  <c r="E105" i="20" s="1"/>
  <c r="E107" i="20" s="1"/>
  <c r="G24" i="20"/>
  <c r="G23" i="20"/>
  <c r="H139" i="20"/>
  <c r="H136" i="20"/>
  <c r="H137" i="20" s="1"/>
  <c r="M132" i="20"/>
  <c r="M129" i="20"/>
  <c r="M130" i="20" s="1"/>
  <c r="M125" i="20"/>
  <c r="M131" i="20"/>
  <c r="V111" i="20"/>
  <c r="V112" i="20" s="1"/>
  <c r="V114" i="20"/>
  <c r="T148" i="20"/>
  <c r="T145" i="20"/>
  <c r="T147" i="20" s="1"/>
  <c r="T149" i="20"/>
  <c r="L148" i="20"/>
  <c r="L145" i="20"/>
  <c r="L147" i="20" s="1"/>
  <c r="L149" i="20"/>
  <c r="E131" i="20"/>
  <c r="E132" i="20"/>
  <c r="E129" i="20"/>
  <c r="E130" i="20" s="1"/>
  <c r="E125" i="20"/>
  <c r="I120" i="20"/>
  <c r="I119" i="20"/>
  <c r="I121" i="20" s="1"/>
  <c r="W181" i="20"/>
  <c r="W180" i="20"/>
  <c r="W25" i="20"/>
  <c r="W22" i="20"/>
  <c r="W19" i="20"/>
  <c r="W16" i="20"/>
  <c r="W23" i="20"/>
  <c r="W20" i="20"/>
  <c r="W17" i="20"/>
  <c r="W24" i="20"/>
  <c r="W21" i="20"/>
  <c r="W18" i="20"/>
  <c r="N113" i="20"/>
  <c r="E139" i="20"/>
  <c r="E136" i="20"/>
  <c r="E137" i="20" s="1"/>
  <c r="T106" i="20"/>
  <c r="T104" i="20"/>
  <c r="T105" i="20" s="1"/>
  <c r="T107" i="20" s="1"/>
  <c r="V139" i="20"/>
  <c r="V136" i="20"/>
  <c r="V137" i="20" s="1"/>
  <c r="W114" i="20"/>
  <c r="W111" i="20"/>
  <c r="W112" i="20" s="1"/>
  <c r="G104" i="20"/>
  <c r="G105" i="20" s="1"/>
  <c r="G107" i="20" s="1"/>
  <c r="G106" i="20"/>
  <c r="R148" i="20"/>
  <c r="R145" i="20"/>
  <c r="R147" i="20" s="1"/>
  <c r="R149" i="20"/>
  <c r="P39" i="6"/>
  <c r="U39" i="6"/>
  <c r="U95" i="6" s="1"/>
  <c r="U36" i="6"/>
  <c r="U92" i="6" s="1"/>
  <c r="W44" i="6"/>
  <c r="P84" i="6"/>
  <c r="V37" i="6"/>
  <c r="V93" i="6" s="1"/>
  <c r="W61" i="6"/>
  <c r="U84" i="6"/>
  <c r="P36" i="6"/>
  <c r="P64" i="6"/>
  <c r="U49" i="6"/>
  <c r="Q38" i="6"/>
  <c r="Q94" i="6" s="1"/>
  <c r="O52" i="6"/>
  <c r="S62" i="6"/>
  <c r="W73" i="6"/>
  <c r="U34" i="6"/>
  <c r="U42" i="6" s="1"/>
  <c r="U98" i="6" s="1"/>
  <c r="P44" i="6"/>
  <c r="W69" i="6"/>
  <c r="V85" i="6"/>
  <c r="W64" i="6"/>
  <c r="T37" i="6"/>
  <c r="T93" i="6" s="1"/>
  <c r="S70" i="6"/>
  <c r="W85" i="6"/>
  <c r="P49" i="6"/>
  <c r="V56" i="6"/>
  <c r="U72" i="6"/>
  <c r="S38" i="6"/>
  <c r="U57" i="6"/>
  <c r="O36" i="6"/>
  <c r="O92" i="6" s="1"/>
  <c r="O39" i="6"/>
  <c r="O95" i="6" s="1"/>
  <c r="U44" i="6"/>
  <c r="O49" i="6"/>
  <c r="O84" i="6"/>
  <c r="P56" i="6"/>
  <c r="P72" i="6"/>
  <c r="O44" i="6"/>
  <c r="P57" i="6"/>
  <c r="T62" i="6"/>
  <c r="R38" i="6"/>
  <c r="R73" i="6"/>
  <c r="R61" i="6"/>
  <c r="R69" i="6"/>
  <c r="R57" i="6"/>
  <c r="R37" i="6"/>
  <c r="R93" i="6" s="1"/>
  <c r="R48" i="6"/>
  <c r="R85" i="6"/>
  <c r="R86" i="6"/>
  <c r="T39" i="6"/>
  <c r="T44" i="6"/>
  <c r="T34" i="6"/>
  <c r="T88" i="6" s="1"/>
  <c r="T57" i="6"/>
  <c r="T60" i="6"/>
  <c r="T84" i="6"/>
  <c r="Q95" i="6"/>
  <c r="O34" i="6"/>
  <c r="T35" i="6"/>
  <c r="W94" i="6"/>
  <c r="W93" i="6"/>
  <c r="P69" i="6"/>
  <c r="P65" i="6"/>
  <c r="P48" i="6"/>
  <c r="U85" i="6"/>
  <c r="U69" i="6"/>
  <c r="U65" i="6"/>
  <c r="U48" i="6"/>
  <c r="W86" i="6"/>
  <c r="W70" i="6"/>
  <c r="R34" i="6"/>
  <c r="O35" i="6"/>
  <c r="P35" i="6" s="1"/>
  <c r="V35" i="6"/>
  <c r="T38" i="6"/>
  <c r="S39" i="6"/>
  <c r="O48" i="6"/>
  <c r="V48" i="6"/>
  <c r="T56" i="6"/>
  <c r="O61" i="6"/>
  <c r="U61" i="6"/>
  <c r="T64" i="6"/>
  <c r="R65" i="6"/>
  <c r="T69" i="6"/>
  <c r="P73" i="6"/>
  <c r="V73" i="6"/>
  <c r="V84" i="6"/>
  <c r="W35" i="6"/>
  <c r="T36" i="6"/>
  <c r="T92" i="6" s="1"/>
  <c r="O38" i="6"/>
  <c r="O94" i="6" s="1"/>
  <c r="V38" i="6"/>
  <c r="V94" i="6" s="1"/>
  <c r="V44" i="6"/>
  <c r="W48" i="6"/>
  <c r="T49" i="6"/>
  <c r="O56" i="6"/>
  <c r="U56" i="6"/>
  <c r="P61" i="6"/>
  <c r="V61" i="6"/>
  <c r="O64" i="6"/>
  <c r="U64" i="6"/>
  <c r="O69" i="6"/>
  <c r="P85" i="6"/>
  <c r="O86" i="6"/>
  <c r="Q87" i="6"/>
  <c r="V64" i="6"/>
  <c r="T70" i="6"/>
  <c r="T72" i="6"/>
  <c r="V36" i="6"/>
  <c r="V92" i="6" s="1"/>
  <c r="V49" i="6"/>
  <c r="O57" i="6"/>
  <c r="O62" i="6"/>
  <c r="V62" i="6"/>
  <c r="T65" i="6"/>
  <c r="O72" i="6"/>
  <c r="V72" i="6"/>
  <c r="P93" i="6"/>
  <c r="U93" i="6"/>
  <c r="U35" i="6"/>
  <c r="R84" i="6"/>
  <c r="R60" i="6"/>
  <c r="R49" i="6"/>
  <c r="R36" i="6"/>
  <c r="R92" i="6" s="1"/>
  <c r="W84" i="6"/>
  <c r="W60" i="6"/>
  <c r="W49" i="6"/>
  <c r="W36" i="6"/>
  <c r="W92" i="6" s="1"/>
  <c r="P86" i="6"/>
  <c r="P62" i="6"/>
  <c r="P38" i="6"/>
  <c r="U86" i="6"/>
  <c r="U62" i="6"/>
  <c r="U38" i="6"/>
  <c r="U94" i="6" s="1"/>
  <c r="R87" i="6"/>
  <c r="R39" i="6"/>
  <c r="W87" i="6"/>
  <c r="W39" i="6"/>
  <c r="W95" i="6" s="1"/>
  <c r="P34" i="6"/>
  <c r="V34" i="6"/>
  <c r="O37" i="6"/>
  <c r="O93" i="6" s="1"/>
  <c r="V39" i="6"/>
  <c r="V95" i="6" s="1"/>
  <c r="R52" i="6"/>
  <c r="V57" i="6"/>
  <c r="Q62" i="6"/>
  <c r="W62" i="6"/>
  <c r="R64" i="6"/>
  <c r="O65" i="6"/>
  <c r="V65" i="6"/>
  <c r="P70" i="6"/>
  <c r="V70" i="6"/>
  <c r="W72" i="6"/>
  <c r="T73" i="6"/>
  <c r="T85" i="6"/>
  <c r="W34" i="6"/>
  <c r="T48" i="6"/>
  <c r="W57" i="6"/>
  <c r="R62" i="6"/>
  <c r="W65" i="6"/>
  <c r="Q70" i="6"/>
  <c r="R72" i="6"/>
  <c r="O73" i="6"/>
  <c r="U73" i="6"/>
  <c r="P52" i="6"/>
  <c r="U52" i="6"/>
  <c r="R56" i="6"/>
  <c r="W56" i="6"/>
  <c r="H115" i="23" l="1"/>
  <c r="U44" i="25"/>
  <c r="U84" i="25"/>
  <c r="U57" i="25"/>
  <c r="U60" i="25"/>
  <c r="U52" i="25"/>
  <c r="U36" i="25"/>
  <c r="U92" i="25" s="1"/>
  <c r="U49" i="25"/>
  <c r="U47" i="25"/>
  <c r="P102" i="25"/>
  <c r="P104" i="25" s="1"/>
  <c r="P105" i="25" s="1"/>
  <c r="P103" i="25"/>
  <c r="P134" i="25"/>
  <c r="P138" i="25" s="1"/>
  <c r="G155" i="25"/>
  <c r="G166" i="25"/>
  <c r="G18" i="25"/>
  <c r="H78" i="25" s="1"/>
  <c r="F63" i="25"/>
  <c r="E153" i="25"/>
  <c r="F159" i="25"/>
  <c r="F160" i="25" s="1"/>
  <c r="F19" i="25"/>
  <c r="G79" i="25" s="1"/>
  <c r="F17" i="25"/>
  <c r="F20" i="25"/>
  <c r="F22" i="25" s="1"/>
  <c r="G46" i="25"/>
  <c r="G54" i="25"/>
  <c r="G55" i="25"/>
  <c r="G78" i="25"/>
  <c r="J54" i="24"/>
  <c r="I17" i="24"/>
  <c r="F159" i="24"/>
  <c r="F160" i="24" s="1"/>
  <c r="F19" i="24"/>
  <c r="E159" i="24"/>
  <c r="E160" i="24" s="1"/>
  <c r="E19" i="24"/>
  <c r="G152" i="24"/>
  <c r="F18" i="24"/>
  <c r="F164" i="24"/>
  <c r="E164" i="24" s="1"/>
  <c r="G16" i="20"/>
  <c r="H68" i="20" s="1"/>
  <c r="E16" i="20"/>
  <c r="F68" i="20" s="1"/>
  <c r="V17" i="20"/>
  <c r="E19" i="20"/>
  <c r="F55" i="20" s="1"/>
  <c r="V20" i="20"/>
  <c r="E23" i="20"/>
  <c r="V18" i="20"/>
  <c r="W54" i="20" s="1"/>
  <c r="R115" i="20"/>
  <c r="G25" i="20"/>
  <c r="E22" i="20"/>
  <c r="V23" i="20"/>
  <c r="E25" i="20"/>
  <c r="V16" i="20"/>
  <c r="W68" i="20" s="1"/>
  <c r="G21" i="20"/>
  <c r="E163" i="20"/>
  <c r="V19" i="20"/>
  <c r="W63" i="20" s="1"/>
  <c r="V181" i="20"/>
  <c r="V115" i="20"/>
  <c r="V25" i="20"/>
  <c r="O23" i="22"/>
  <c r="L115" i="22"/>
  <c r="R115" i="22"/>
  <c r="H115" i="22"/>
  <c r="H152" i="22" s="1"/>
  <c r="I20" i="24"/>
  <c r="I22" i="24" s="1"/>
  <c r="O21" i="22"/>
  <c r="O24" i="22"/>
  <c r="G115" i="22"/>
  <c r="I115" i="22"/>
  <c r="I152" i="22" s="1"/>
  <c r="I172" i="22" s="1"/>
  <c r="F115" i="22"/>
  <c r="W115" i="23"/>
  <c r="G115" i="23"/>
  <c r="T115" i="23"/>
  <c r="E115" i="23"/>
  <c r="E152" i="23" s="1"/>
  <c r="J136" i="25"/>
  <c r="J137" i="25" s="1"/>
  <c r="J139" i="25"/>
  <c r="J104" i="25"/>
  <c r="J105" i="25" s="1"/>
  <c r="J107" i="25" s="1"/>
  <c r="J106" i="25"/>
  <c r="J63" i="25"/>
  <c r="J47" i="25"/>
  <c r="I153" i="25"/>
  <c r="H153" i="25"/>
  <c r="I63" i="25"/>
  <c r="J79" i="25"/>
  <c r="J95" i="25" s="1"/>
  <c r="P139" i="25"/>
  <c r="P63" i="25"/>
  <c r="O153" i="25"/>
  <c r="O181" i="25" s="1"/>
  <c r="P55" i="25"/>
  <c r="P95" i="25" s="1"/>
  <c r="M115" i="22"/>
  <c r="J78" i="24"/>
  <c r="J94" i="24" s="1"/>
  <c r="I46" i="24"/>
  <c r="H17" i="24"/>
  <c r="H20" i="24"/>
  <c r="H22" i="24" s="1"/>
  <c r="I54" i="24"/>
  <c r="I55" i="24"/>
  <c r="G168" i="24"/>
  <c r="I168" i="24"/>
  <c r="I159" i="24"/>
  <c r="I160" i="24" s="1"/>
  <c r="I19" i="24"/>
  <c r="H159" i="24"/>
  <c r="H160" i="24" s="1"/>
  <c r="H19" i="24"/>
  <c r="W115" i="22"/>
  <c r="T115" i="20"/>
  <c r="L115" i="20"/>
  <c r="W115" i="20"/>
  <c r="O151" i="23"/>
  <c r="O16" i="23" s="1"/>
  <c r="P68" i="23" s="1"/>
  <c r="V151" i="23"/>
  <c r="V154" i="23" s="1"/>
  <c r="R115" i="23"/>
  <c r="N115" i="22"/>
  <c r="E151" i="23"/>
  <c r="E16" i="23" s="1"/>
  <c r="F68" i="23" s="1"/>
  <c r="F47" i="23"/>
  <c r="L115" i="23"/>
  <c r="T24" i="23"/>
  <c r="T21" i="23"/>
  <c r="T23" i="23"/>
  <c r="T25" i="23"/>
  <c r="G151" i="23"/>
  <c r="G16" i="23" s="1"/>
  <c r="H68" i="23" s="1"/>
  <c r="W151" i="22"/>
  <c r="W154" i="22" s="1"/>
  <c r="V181" i="23"/>
  <c r="V180" i="23"/>
  <c r="V23" i="23"/>
  <c r="V20" i="23"/>
  <c r="V17" i="23"/>
  <c r="V25" i="23"/>
  <c r="V22" i="23"/>
  <c r="V19" i="23"/>
  <c r="V16" i="23"/>
  <c r="W68" i="23" s="1"/>
  <c r="V24" i="23"/>
  <c r="V21" i="23"/>
  <c r="V18" i="23"/>
  <c r="O115" i="23"/>
  <c r="O152" i="23" s="1"/>
  <c r="T151" i="23"/>
  <c r="T16" i="23" s="1"/>
  <c r="I151" i="23"/>
  <c r="I16" i="23" s="1"/>
  <c r="J68" i="23" s="1"/>
  <c r="F115" i="23"/>
  <c r="F152" i="23" s="1"/>
  <c r="G152" i="23" s="1"/>
  <c r="G166" i="23" s="1"/>
  <c r="H151" i="23"/>
  <c r="O24" i="23"/>
  <c r="O21" i="23"/>
  <c r="O23" i="23"/>
  <c r="O25" i="23"/>
  <c r="I24" i="23"/>
  <c r="I21" i="23"/>
  <c r="I23" i="23"/>
  <c r="I25" i="23"/>
  <c r="H152" i="23"/>
  <c r="F23" i="23"/>
  <c r="F24" i="23"/>
  <c r="F21" i="23"/>
  <c r="F25" i="23"/>
  <c r="I115" i="23"/>
  <c r="I152" i="23" s="1"/>
  <c r="V115" i="23"/>
  <c r="H115" i="20"/>
  <c r="H152" i="20" s="1"/>
  <c r="G25" i="23"/>
  <c r="G24" i="23"/>
  <c r="G21" i="23"/>
  <c r="G23" i="23"/>
  <c r="W151" i="23"/>
  <c r="N115" i="23"/>
  <c r="F151" i="23"/>
  <c r="F16" i="23" s="1"/>
  <c r="G68" i="23" s="1"/>
  <c r="E151" i="22"/>
  <c r="V115" i="22"/>
  <c r="E115" i="22"/>
  <c r="E152" i="22" s="1"/>
  <c r="V151" i="22"/>
  <c r="O115" i="22"/>
  <c r="O152" i="22" s="1"/>
  <c r="H151" i="22"/>
  <c r="N115" i="20"/>
  <c r="I151" i="22"/>
  <c r="I16" i="22" s="1"/>
  <c r="J68" i="22" s="1"/>
  <c r="F151" i="22"/>
  <c r="F16" i="22" s="1"/>
  <c r="G68" i="22" s="1"/>
  <c r="O151" i="22"/>
  <c r="F25" i="22"/>
  <c r="F24" i="22"/>
  <c r="F21" i="22"/>
  <c r="F23" i="22"/>
  <c r="I23" i="22"/>
  <c r="I25" i="22"/>
  <c r="I24" i="22"/>
  <c r="I21" i="22"/>
  <c r="V181" i="22"/>
  <c r="V180" i="22"/>
  <c r="V25" i="22"/>
  <c r="V22" i="22"/>
  <c r="V19" i="22"/>
  <c r="V16" i="22"/>
  <c r="W68" i="22" s="1"/>
  <c r="V24" i="22"/>
  <c r="V21" i="22"/>
  <c r="V18" i="22"/>
  <c r="V23" i="22"/>
  <c r="V20" i="22"/>
  <c r="V17" i="22"/>
  <c r="G151" i="22"/>
  <c r="G16" i="22" s="1"/>
  <c r="H68" i="22" s="1"/>
  <c r="E25" i="22"/>
  <c r="E16" i="22"/>
  <c r="F68" i="22" s="1"/>
  <c r="E24" i="22"/>
  <c r="E21" i="22"/>
  <c r="F60" i="22" s="1"/>
  <c r="E23" i="22"/>
  <c r="I151" i="20"/>
  <c r="I16" i="20" s="1"/>
  <c r="J68" i="20" s="1"/>
  <c r="V151" i="20"/>
  <c r="V154" i="20" s="1"/>
  <c r="F25" i="20"/>
  <c r="F16" i="20"/>
  <c r="G68" i="20" s="1"/>
  <c r="F23" i="20"/>
  <c r="F24" i="20"/>
  <c r="F21" i="20"/>
  <c r="E151" i="20"/>
  <c r="H151" i="20"/>
  <c r="I115" i="20"/>
  <c r="I152" i="20" s="1"/>
  <c r="I172" i="20" s="1"/>
  <c r="W46" i="20"/>
  <c r="G151" i="20"/>
  <c r="E152" i="20"/>
  <c r="F152" i="20" s="1"/>
  <c r="G152" i="20" s="1"/>
  <c r="G166" i="20" s="1"/>
  <c r="I23" i="20"/>
  <c r="I24" i="20"/>
  <c r="I21" i="20"/>
  <c r="I25" i="20"/>
  <c r="T23" i="20"/>
  <c r="T24" i="20"/>
  <c r="T21" i="20"/>
  <c r="T25" i="20"/>
  <c r="O151" i="20"/>
  <c r="F151" i="20"/>
  <c r="F46" i="20"/>
  <c r="F54" i="20"/>
  <c r="W151" i="20"/>
  <c r="T151" i="20"/>
  <c r="T16" i="20" s="1"/>
  <c r="O115" i="20"/>
  <c r="O152" i="20" s="1"/>
  <c r="P92" i="6"/>
  <c r="P117" i="6" s="1"/>
  <c r="U80" i="6"/>
  <c r="T90" i="6"/>
  <c r="U110" i="6"/>
  <c r="U88" i="6"/>
  <c r="U89" i="6"/>
  <c r="U117" i="6"/>
  <c r="U120" i="6" s="1"/>
  <c r="U90" i="6"/>
  <c r="U40" i="6"/>
  <c r="U96" i="6" s="1"/>
  <c r="U14" i="6" s="1"/>
  <c r="U41" i="6"/>
  <c r="U97" i="6" s="1"/>
  <c r="T40" i="6"/>
  <c r="T96" i="6" s="1"/>
  <c r="T80" i="6"/>
  <c r="U109" i="6"/>
  <c r="T89" i="6"/>
  <c r="T41" i="6"/>
  <c r="T97" i="6" s="1"/>
  <c r="T42" i="6"/>
  <c r="T98" i="6" s="1"/>
  <c r="V118" i="6"/>
  <c r="V103" i="6"/>
  <c r="V102" i="6"/>
  <c r="V109" i="6"/>
  <c r="V117" i="6"/>
  <c r="V110" i="6"/>
  <c r="R117" i="6"/>
  <c r="T117" i="6"/>
  <c r="T118" i="6"/>
  <c r="O142" i="6"/>
  <c r="O146" i="6" s="1"/>
  <c r="O135" i="6"/>
  <c r="O141" i="6"/>
  <c r="O134" i="6"/>
  <c r="O138" i="6" s="1"/>
  <c r="O124" i="6"/>
  <c r="O123" i="6"/>
  <c r="U124" i="6"/>
  <c r="U123" i="6"/>
  <c r="R90" i="6"/>
  <c r="R80" i="6"/>
  <c r="R88" i="6"/>
  <c r="R89" i="6"/>
  <c r="R42" i="6"/>
  <c r="R98" i="6" s="1"/>
  <c r="R41" i="6"/>
  <c r="R97" i="6" s="1"/>
  <c r="R40" i="6"/>
  <c r="R96" i="6" s="1"/>
  <c r="W90" i="6"/>
  <c r="W80" i="6"/>
  <c r="W42" i="6"/>
  <c r="W98" i="6" s="1"/>
  <c r="W88" i="6"/>
  <c r="W89" i="6"/>
  <c r="W41" i="6"/>
  <c r="W97" i="6" s="1"/>
  <c r="W40" i="6"/>
  <c r="W96" i="6" s="1"/>
  <c r="W124" i="6"/>
  <c r="W123" i="6"/>
  <c r="O89" i="6"/>
  <c r="O90" i="6"/>
  <c r="O80" i="6"/>
  <c r="O88" i="6"/>
  <c r="O41" i="6"/>
  <c r="O97" i="6" s="1"/>
  <c r="O42" i="6"/>
  <c r="O98" i="6" s="1"/>
  <c r="O40" i="6"/>
  <c r="O96" i="6" s="1"/>
  <c r="U102" i="6"/>
  <c r="V89" i="6"/>
  <c r="V42" i="6"/>
  <c r="V98" i="6" s="1"/>
  <c r="V88" i="6"/>
  <c r="V90" i="6"/>
  <c r="V80" i="6"/>
  <c r="V41" i="6"/>
  <c r="V97" i="6" s="1"/>
  <c r="V40" i="6"/>
  <c r="V96" i="6" s="1"/>
  <c r="P89" i="6"/>
  <c r="P41" i="6"/>
  <c r="P97" i="6" s="1"/>
  <c r="P90" i="6"/>
  <c r="P80" i="6"/>
  <c r="P88" i="6"/>
  <c r="P40" i="6"/>
  <c r="P96" i="6" s="1"/>
  <c r="P42" i="6"/>
  <c r="P98" i="6" s="1"/>
  <c r="V124" i="6"/>
  <c r="V123" i="6"/>
  <c r="U103" i="6"/>
  <c r="V142" i="6"/>
  <c r="V146" i="6" s="1"/>
  <c r="V141" i="6"/>
  <c r="V134" i="6"/>
  <c r="V138" i="6" s="1"/>
  <c r="V135" i="6"/>
  <c r="W134" i="6"/>
  <c r="W138" i="6" s="1"/>
  <c r="W142" i="6"/>
  <c r="W146" i="6" s="1"/>
  <c r="W141" i="6"/>
  <c r="W135" i="6"/>
  <c r="U142" i="6"/>
  <c r="U146" i="6" s="1"/>
  <c r="U135" i="6"/>
  <c r="U141" i="6"/>
  <c r="U134" i="6"/>
  <c r="U138" i="6" s="1"/>
  <c r="O117" i="6"/>
  <c r="O110" i="6"/>
  <c r="O103" i="6"/>
  <c r="O102" i="6"/>
  <c r="O109" i="6"/>
  <c r="W118" i="6"/>
  <c r="W110" i="6"/>
  <c r="W103" i="6"/>
  <c r="W102" i="6"/>
  <c r="W117" i="6"/>
  <c r="W109" i="6"/>
  <c r="Q124" i="6"/>
  <c r="Q123" i="6"/>
  <c r="U118" i="6"/>
  <c r="U68" i="23" l="1"/>
  <c r="U6" i="23"/>
  <c r="U29" i="23" s="1"/>
  <c r="O154" i="23"/>
  <c r="E18" i="23"/>
  <c r="E162" i="23"/>
  <c r="G18" i="23"/>
  <c r="H55" i="23" s="1"/>
  <c r="F18" i="23"/>
  <c r="F164" i="23"/>
  <c r="E164" i="23" s="1"/>
  <c r="U103" i="25"/>
  <c r="U110" i="25"/>
  <c r="U109" i="25"/>
  <c r="U102" i="25"/>
  <c r="P136" i="25"/>
  <c r="P137" i="25" s="1"/>
  <c r="P107" i="25"/>
  <c r="P106" i="25"/>
  <c r="G159" i="25"/>
  <c r="G160" i="25" s="1"/>
  <c r="G19" i="25"/>
  <c r="H79" i="25" s="1"/>
  <c r="F153" i="25"/>
  <c r="E163" i="25"/>
  <c r="G20" i="25"/>
  <c r="G22" i="25" s="1"/>
  <c r="G17" i="25"/>
  <c r="I78" i="25"/>
  <c r="H46" i="25"/>
  <c r="H55" i="25"/>
  <c r="H54" i="25"/>
  <c r="G63" i="25"/>
  <c r="H166" i="25"/>
  <c r="F166" i="25"/>
  <c r="F152" i="22"/>
  <c r="E162" i="22"/>
  <c r="E18" i="22"/>
  <c r="F54" i="22" s="1"/>
  <c r="U68" i="20"/>
  <c r="U6" i="20"/>
  <c r="U29" i="20" s="1"/>
  <c r="F17" i="24"/>
  <c r="F20" i="24"/>
  <c r="F22" i="24" s="1"/>
  <c r="G55" i="24"/>
  <c r="G54" i="24"/>
  <c r="G78" i="24"/>
  <c r="G46" i="24"/>
  <c r="G18" i="24"/>
  <c r="H78" i="24" s="1"/>
  <c r="G166" i="24"/>
  <c r="G155" i="24"/>
  <c r="G79" i="24"/>
  <c r="F63" i="24"/>
  <c r="E153" i="24"/>
  <c r="G63" i="24"/>
  <c r="H166" i="20"/>
  <c r="F166" i="20"/>
  <c r="F164" i="20"/>
  <c r="E164" i="20" s="1"/>
  <c r="G18" i="20"/>
  <c r="F18" i="20"/>
  <c r="W55" i="20"/>
  <c r="F47" i="20"/>
  <c r="I154" i="20"/>
  <c r="F63" i="20"/>
  <c r="W47" i="20"/>
  <c r="H169" i="25"/>
  <c r="K173" i="25"/>
  <c r="P109" i="25"/>
  <c r="P141" i="25"/>
  <c r="P142" i="25"/>
  <c r="P146" i="25" s="1"/>
  <c r="P110" i="25"/>
  <c r="P123" i="25"/>
  <c r="P124" i="25"/>
  <c r="I173" i="25"/>
  <c r="I171" i="25"/>
  <c r="J109" i="25"/>
  <c r="J142" i="25"/>
  <c r="J146" i="25" s="1"/>
  <c r="J141" i="25"/>
  <c r="J110" i="25"/>
  <c r="J123" i="25"/>
  <c r="J124" i="25"/>
  <c r="J63" i="24"/>
  <c r="J47" i="24"/>
  <c r="I153" i="24"/>
  <c r="J55" i="24"/>
  <c r="H153" i="24"/>
  <c r="I63" i="24"/>
  <c r="J79" i="24"/>
  <c r="J95" i="24" s="1"/>
  <c r="J123" i="24" s="1"/>
  <c r="J134" i="24"/>
  <c r="J138" i="24" s="1"/>
  <c r="J103" i="24"/>
  <c r="J102" i="24"/>
  <c r="J135" i="24"/>
  <c r="I18" i="22"/>
  <c r="J46" i="22" s="1"/>
  <c r="I170" i="22"/>
  <c r="H170" i="22" s="1"/>
  <c r="I172" i="23"/>
  <c r="I18" i="23"/>
  <c r="I170" i="23"/>
  <c r="O18" i="23"/>
  <c r="O155" i="23"/>
  <c r="O180" i="23"/>
  <c r="H166" i="23"/>
  <c r="F166" i="23"/>
  <c r="G47" i="23"/>
  <c r="H168" i="23"/>
  <c r="H18" i="23"/>
  <c r="I78" i="23" s="1"/>
  <c r="K172" i="23"/>
  <c r="I154" i="23"/>
  <c r="I155" i="23"/>
  <c r="T154" i="23"/>
  <c r="W63" i="23"/>
  <c r="W47" i="23"/>
  <c r="G155" i="23"/>
  <c r="G154" i="23"/>
  <c r="F155" i="23"/>
  <c r="F154" i="23"/>
  <c r="W46" i="23"/>
  <c r="W54" i="23"/>
  <c r="W55" i="23"/>
  <c r="U47" i="23"/>
  <c r="W154" i="23"/>
  <c r="H154" i="23"/>
  <c r="H155" i="23"/>
  <c r="H16" i="23"/>
  <c r="I68" i="23" s="1"/>
  <c r="E155" i="23"/>
  <c r="E154" i="23"/>
  <c r="W46" i="22"/>
  <c r="W55" i="22"/>
  <c r="W54" i="22"/>
  <c r="O154" i="22"/>
  <c r="O155" i="22"/>
  <c r="O16" i="22"/>
  <c r="P68" i="22" s="1"/>
  <c r="V154" i="22"/>
  <c r="H154" i="22"/>
  <c r="H155" i="22"/>
  <c r="H16" i="22"/>
  <c r="I68" i="22" s="1"/>
  <c r="E155" i="22"/>
  <c r="E154" i="22"/>
  <c r="F47" i="22"/>
  <c r="G47" i="22"/>
  <c r="F155" i="22"/>
  <c r="F154" i="22"/>
  <c r="G154" i="22"/>
  <c r="W63" i="22"/>
  <c r="W47" i="22"/>
  <c r="I154" i="22"/>
  <c r="I155" i="22"/>
  <c r="F46" i="22"/>
  <c r="O18" i="22"/>
  <c r="O180" i="22"/>
  <c r="H168" i="22"/>
  <c r="H18" i="22"/>
  <c r="K172" i="22"/>
  <c r="O18" i="20"/>
  <c r="O180" i="20"/>
  <c r="H168" i="20"/>
  <c r="H18" i="20"/>
  <c r="K172" i="20"/>
  <c r="G155" i="20"/>
  <c r="G154" i="20"/>
  <c r="E153" i="20"/>
  <c r="H154" i="20"/>
  <c r="H155" i="20"/>
  <c r="H16" i="20"/>
  <c r="I68" i="20" s="1"/>
  <c r="W154" i="20"/>
  <c r="O154" i="20"/>
  <c r="O155" i="20"/>
  <c r="O16" i="20"/>
  <c r="P68" i="20" s="1"/>
  <c r="F155" i="20"/>
  <c r="F154" i="20"/>
  <c r="I155" i="20"/>
  <c r="U47" i="20"/>
  <c r="E155" i="20"/>
  <c r="E159" i="20" s="1"/>
  <c r="E160" i="20" s="1"/>
  <c r="E154" i="20"/>
  <c r="T154" i="20"/>
  <c r="I18" i="20"/>
  <c r="I170" i="20"/>
  <c r="G46" i="20"/>
  <c r="H78" i="20"/>
  <c r="G54" i="20"/>
  <c r="G55" i="20"/>
  <c r="G47" i="20"/>
  <c r="P118" i="6"/>
  <c r="U113" i="6"/>
  <c r="U119" i="6"/>
  <c r="U121" i="6" s="1"/>
  <c r="W14" i="6"/>
  <c r="W19" i="6" s="1"/>
  <c r="T14" i="6"/>
  <c r="T23" i="6" s="1"/>
  <c r="O113" i="6"/>
  <c r="W113" i="6"/>
  <c r="R14" i="6"/>
  <c r="U114" i="6"/>
  <c r="U111" i="6"/>
  <c r="V139" i="6"/>
  <c r="V136" i="6"/>
  <c r="V137" i="6" s="1"/>
  <c r="T120" i="6"/>
  <c r="T119" i="6"/>
  <c r="T121" i="6" s="1"/>
  <c r="V104" i="6"/>
  <c r="V106" i="6"/>
  <c r="W139" i="6"/>
  <c r="W136" i="6"/>
  <c r="W137" i="6" s="1"/>
  <c r="V145" i="6"/>
  <c r="V147" i="6" s="1"/>
  <c r="V149" i="6"/>
  <c r="V148" i="6"/>
  <c r="P14" i="6"/>
  <c r="R120" i="6"/>
  <c r="R119" i="6"/>
  <c r="T21" i="6"/>
  <c r="O120" i="6"/>
  <c r="O119" i="6"/>
  <c r="U136" i="6"/>
  <c r="U137" i="6" s="1"/>
  <c r="U139" i="6"/>
  <c r="O14" i="6"/>
  <c r="V113" i="6"/>
  <c r="W114" i="6"/>
  <c r="W111" i="6"/>
  <c r="O111" i="6"/>
  <c r="O114" i="6"/>
  <c r="V132" i="6"/>
  <c r="V129" i="6"/>
  <c r="V125" i="6"/>
  <c r="V131" i="6"/>
  <c r="W132" i="6"/>
  <c r="W129" i="6"/>
  <c r="W125" i="6"/>
  <c r="W131" i="6"/>
  <c r="U131" i="6"/>
  <c r="U129" i="6"/>
  <c r="U132" i="6"/>
  <c r="U125" i="6"/>
  <c r="V119" i="6"/>
  <c r="V121" i="6" s="1"/>
  <c r="V120" i="6"/>
  <c r="O149" i="6"/>
  <c r="O145" i="6"/>
  <c r="O147" i="6" s="1"/>
  <c r="O148" i="6"/>
  <c r="V114" i="6"/>
  <c r="V111" i="6"/>
  <c r="O139" i="6"/>
  <c r="O136" i="6"/>
  <c r="O137" i="6" s="1"/>
  <c r="W120" i="6"/>
  <c r="W119" i="6"/>
  <c r="W121" i="6" s="1"/>
  <c r="W25" i="6"/>
  <c r="W23" i="6"/>
  <c r="W20" i="6"/>
  <c r="W24" i="6"/>
  <c r="O106" i="6"/>
  <c r="O104" i="6"/>
  <c r="W104" i="6"/>
  <c r="W106" i="6"/>
  <c r="P120" i="6"/>
  <c r="P119" i="6"/>
  <c r="O131" i="6"/>
  <c r="O129" i="6"/>
  <c r="O132" i="6"/>
  <c r="O125" i="6"/>
  <c r="V14" i="6"/>
  <c r="Q132" i="6"/>
  <c r="Q129" i="6"/>
  <c r="Q125" i="6"/>
  <c r="Q131" i="6"/>
  <c r="U149" i="6"/>
  <c r="U148" i="6"/>
  <c r="U145" i="6"/>
  <c r="U147" i="6" s="1"/>
  <c r="W145" i="6"/>
  <c r="W147" i="6" s="1"/>
  <c r="W149" i="6"/>
  <c r="W148" i="6"/>
  <c r="U106" i="6"/>
  <c r="U104" i="6"/>
  <c r="U180" i="6"/>
  <c r="U181" i="6"/>
  <c r="U24" i="6"/>
  <c r="U21" i="6"/>
  <c r="U18" i="6"/>
  <c r="U23" i="6"/>
  <c r="U16" i="6"/>
  <c r="V68" i="6" s="1"/>
  <c r="U25" i="6"/>
  <c r="U20" i="6"/>
  <c r="U22" i="6"/>
  <c r="U17" i="6"/>
  <c r="U19" i="6"/>
  <c r="U36" i="23" l="1"/>
  <c r="U92" i="23" s="1"/>
  <c r="U84" i="23"/>
  <c r="U52" i="23"/>
  <c r="U44" i="23"/>
  <c r="U60" i="23"/>
  <c r="U49" i="23"/>
  <c r="U57" i="23"/>
  <c r="H46" i="23"/>
  <c r="H78" i="23"/>
  <c r="G54" i="23"/>
  <c r="H54" i="23"/>
  <c r="G55" i="23"/>
  <c r="G46" i="23"/>
  <c r="F159" i="23"/>
  <c r="F160" i="23" s="1"/>
  <c r="F19" i="23"/>
  <c r="G78" i="23"/>
  <c r="F17" i="23"/>
  <c r="F20" i="23"/>
  <c r="F22" i="23" s="1"/>
  <c r="G159" i="23"/>
  <c r="G160" i="23" s="1"/>
  <c r="G19" i="23"/>
  <c r="H63" i="23" s="1"/>
  <c r="G20" i="23"/>
  <c r="G22" i="23" s="1"/>
  <c r="G17" i="23"/>
  <c r="E159" i="23"/>
  <c r="E160" i="23" s="1"/>
  <c r="E19" i="23"/>
  <c r="E20" i="23"/>
  <c r="E22" i="23" s="1"/>
  <c r="E17" i="23"/>
  <c r="F46" i="23"/>
  <c r="F54" i="23"/>
  <c r="F55" i="23"/>
  <c r="U104" i="25"/>
  <c r="U105" i="25" s="1"/>
  <c r="U107" i="25" s="1"/>
  <c r="U106" i="25"/>
  <c r="U114" i="25"/>
  <c r="U111" i="25"/>
  <c r="U112" i="25" s="1"/>
  <c r="U115" i="25" s="1"/>
  <c r="U113" i="25"/>
  <c r="P113" i="25"/>
  <c r="G153" i="25"/>
  <c r="G167" i="25" s="1"/>
  <c r="F165" i="25"/>
  <c r="E165" i="25" s="1"/>
  <c r="J113" i="25"/>
  <c r="H63" i="25"/>
  <c r="I79" i="25"/>
  <c r="F55" i="22"/>
  <c r="F159" i="22"/>
  <c r="F160" i="22" s="1"/>
  <c r="F19" i="22"/>
  <c r="E20" i="22"/>
  <c r="E22" i="22" s="1"/>
  <c r="E17" i="22"/>
  <c r="E159" i="22"/>
  <c r="E160" i="22" s="1"/>
  <c r="E19" i="22"/>
  <c r="G152" i="22"/>
  <c r="F164" i="22"/>
  <c r="E164" i="22" s="1"/>
  <c r="F18" i="22"/>
  <c r="G78" i="22" s="1"/>
  <c r="U60" i="20"/>
  <c r="U84" i="20"/>
  <c r="U36" i="20"/>
  <c r="U92" i="20" s="1"/>
  <c r="U44" i="20"/>
  <c r="U57" i="20"/>
  <c r="U52" i="20"/>
  <c r="U49" i="20"/>
  <c r="G159" i="24"/>
  <c r="G160" i="24" s="1"/>
  <c r="G19" i="24"/>
  <c r="H166" i="24"/>
  <c r="F166" i="24"/>
  <c r="G17" i="24"/>
  <c r="G20" i="24"/>
  <c r="G22" i="24" s="1"/>
  <c r="H54" i="24"/>
  <c r="H46" i="24"/>
  <c r="H55" i="24"/>
  <c r="I78" i="24"/>
  <c r="F153" i="24"/>
  <c r="E163" i="24"/>
  <c r="G159" i="20"/>
  <c r="G160" i="20" s="1"/>
  <c r="G19" i="20"/>
  <c r="H63" i="20" s="1"/>
  <c r="F153" i="20"/>
  <c r="G78" i="20"/>
  <c r="F20" i="20"/>
  <c r="F22" i="20" s="1"/>
  <c r="F17" i="20"/>
  <c r="F159" i="20"/>
  <c r="F160" i="20" s="1"/>
  <c r="F19" i="20"/>
  <c r="G17" i="20"/>
  <c r="H46" i="20"/>
  <c r="G20" i="20"/>
  <c r="G22" i="20" s="1"/>
  <c r="H55" i="20"/>
  <c r="H54" i="20"/>
  <c r="J170" i="22"/>
  <c r="I20" i="22"/>
  <c r="I22" i="22" s="1"/>
  <c r="I17" i="22"/>
  <c r="J54" i="22"/>
  <c r="W22" i="6"/>
  <c r="W181" i="6"/>
  <c r="J114" i="25"/>
  <c r="J111" i="25"/>
  <c r="J112" i="25" s="1"/>
  <c r="J115" i="25" s="1"/>
  <c r="J149" i="25"/>
  <c r="J148" i="25"/>
  <c r="J145" i="25"/>
  <c r="J147" i="25" s="1"/>
  <c r="H171" i="25"/>
  <c r="J171" i="25"/>
  <c r="P149" i="25"/>
  <c r="P148" i="25"/>
  <c r="P145" i="25"/>
  <c r="P147" i="25" s="1"/>
  <c r="G169" i="25"/>
  <c r="I169" i="25"/>
  <c r="P132" i="25"/>
  <c r="P129" i="25"/>
  <c r="P130" i="25" s="1"/>
  <c r="P125" i="25"/>
  <c r="P131" i="25"/>
  <c r="J129" i="25"/>
  <c r="J130" i="25" s="1"/>
  <c r="J125" i="25"/>
  <c r="J132" i="25" s="1"/>
  <c r="P114" i="25"/>
  <c r="P111" i="25"/>
  <c r="P112" i="25" s="1"/>
  <c r="J129" i="24"/>
  <c r="J130" i="24" s="1"/>
  <c r="J110" i="24"/>
  <c r="J109" i="24"/>
  <c r="J141" i="24"/>
  <c r="J142" i="24"/>
  <c r="J146" i="24" s="1"/>
  <c r="J106" i="24"/>
  <c r="J104" i="24"/>
  <c r="J105" i="24" s="1"/>
  <c r="J107" i="24" s="1"/>
  <c r="J124" i="24"/>
  <c r="J136" i="24"/>
  <c r="J137" i="24" s="1"/>
  <c r="J139" i="24"/>
  <c r="I173" i="24"/>
  <c r="I171" i="24"/>
  <c r="H169" i="24"/>
  <c r="K173" i="24"/>
  <c r="H159" i="23"/>
  <c r="H160" i="23" s="1"/>
  <c r="H19" i="23"/>
  <c r="G168" i="23"/>
  <c r="I168" i="23"/>
  <c r="O159" i="23"/>
  <c r="O160" i="23" s="1"/>
  <c r="O19" i="23"/>
  <c r="P55" i="23" s="1"/>
  <c r="P95" i="23" s="1"/>
  <c r="P46" i="23"/>
  <c r="P54" i="23"/>
  <c r="P94" i="23" s="1"/>
  <c r="O20" i="23"/>
  <c r="O22" i="23" s="1"/>
  <c r="O17" i="23"/>
  <c r="I159" i="23"/>
  <c r="I160" i="23" s="1"/>
  <c r="I19" i="23"/>
  <c r="J55" i="23" s="1"/>
  <c r="J170" i="23"/>
  <c r="H170" i="23"/>
  <c r="J46" i="23"/>
  <c r="J54" i="23"/>
  <c r="I17" i="23"/>
  <c r="I20" i="23"/>
  <c r="I22" i="23" s="1"/>
  <c r="J78" i="23"/>
  <c r="J94" i="23" s="1"/>
  <c r="I46" i="23"/>
  <c r="H17" i="23"/>
  <c r="H20" i="23"/>
  <c r="H22" i="23" s="1"/>
  <c r="I54" i="23"/>
  <c r="I55" i="23"/>
  <c r="P46" i="22"/>
  <c r="P54" i="22"/>
  <c r="P94" i="22" s="1"/>
  <c r="O17" i="22"/>
  <c r="O20" i="22"/>
  <c r="O22" i="22" s="1"/>
  <c r="I159" i="22"/>
  <c r="I160" i="22" s="1"/>
  <c r="I19" i="22"/>
  <c r="H159" i="22"/>
  <c r="H160" i="22" s="1"/>
  <c r="H19" i="22"/>
  <c r="I46" i="22"/>
  <c r="J78" i="22"/>
  <c r="J94" i="22" s="1"/>
  <c r="H20" i="22"/>
  <c r="H22" i="22" s="1"/>
  <c r="H17" i="22"/>
  <c r="I54" i="22"/>
  <c r="I55" i="22"/>
  <c r="G168" i="22"/>
  <c r="I168" i="22"/>
  <c r="O159" i="22"/>
  <c r="O160" i="22" s="1"/>
  <c r="O19" i="22"/>
  <c r="H170" i="20"/>
  <c r="J170" i="20"/>
  <c r="J46" i="20"/>
  <c r="J54" i="20"/>
  <c r="I20" i="20"/>
  <c r="I22" i="20" s="1"/>
  <c r="I17" i="20"/>
  <c r="I159" i="20"/>
  <c r="I160" i="20" s="1"/>
  <c r="I19" i="20"/>
  <c r="J55" i="20" s="1"/>
  <c r="H159" i="20"/>
  <c r="H160" i="20" s="1"/>
  <c r="H19" i="20"/>
  <c r="J78" i="20"/>
  <c r="J94" i="20" s="1"/>
  <c r="I46" i="20"/>
  <c r="H20" i="20"/>
  <c r="H22" i="20" s="1"/>
  <c r="H17" i="20"/>
  <c r="I54" i="20"/>
  <c r="I55" i="20"/>
  <c r="I78" i="20"/>
  <c r="O159" i="20"/>
  <c r="O160" i="20" s="1"/>
  <c r="O19" i="20"/>
  <c r="I168" i="20"/>
  <c r="G168" i="20"/>
  <c r="P46" i="20"/>
  <c r="P54" i="20"/>
  <c r="P94" i="20" s="1"/>
  <c r="O20" i="20"/>
  <c r="O22" i="20" s="1"/>
  <c r="O17" i="20"/>
  <c r="P121" i="6"/>
  <c r="W18" i="6"/>
  <c r="W180" i="6"/>
  <c r="W16" i="6"/>
  <c r="W17" i="6"/>
  <c r="W21" i="6"/>
  <c r="R21" i="6"/>
  <c r="V181" i="6"/>
  <c r="V180" i="6"/>
  <c r="V16" i="6"/>
  <c r="W68" i="6" s="1"/>
  <c r="V20" i="6"/>
  <c r="V21" i="6"/>
  <c r="V23" i="6"/>
  <c r="V18" i="6"/>
  <c r="W78" i="6" s="1"/>
  <c r="V25" i="6"/>
  <c r="V22" i="6"/>
  <c r="V17" i="6"/>
  <c r="V19" i="6"/>
  <c r="W79" i="6" s="1"/>
  <c r="V24" i="6"/>
  <c r="O151" i="6"/>
  <c r="O16" i="6" s="1"/>
  <c r="P68" i="6" s="1"/>
  <c r="V151" i="6"/>
  <c r="U151" i="6"/>
  <c r="P21" i="6"/>
  <c r="P23" i="6"/>
  <c r="W151" i="6"/>
  <c r="V63" i="6"/>
  <c r="V47" i="6"/>
  <c r="V46" i="6"/>
  <c r="O21" i="6"/>
  <c r="O23" i="6"/>
  <c r="O25" i="6"/>
  <c r="O24" i="6"/>
  <c r="U110" i="23" l="1"/>
  <c r="U109" i="23"/>
  <c r="U102" i="23"/>
  <c r="U103" i="23"/>
  <c r="E153" i="23"/>
  <c r="E163" i="23" s="1"/>
  <c r="F63" i="23"/>
  <c r="G79" i="23"/>
  <c r="F153" i="23"/>
  <c r="G63" i="23"/>
  <c r="H79" i="23"/>
  <c r="P115" i="25"/>
  <c r="P152" i="25" s="1"/>
  <c r="P18" i="25" s="1"/>
  <c r="J131" i="25"/>
  <c r="F167" i="25"/>
  <c r="H167" i="25"/>
  <c r="G18" i="22"/>
  <c r="H78" i="22" s="1"/>
  <c r="G166" i="22"/>
  <c r="G155" i="22"/>
  <c r="F20" i="22"/>
  <c r="F22" i="22" s="1"/>
  <c r="F17" i="22"/>
  <c r="G46" i="22"/>
  <c r="G54" i="22"/>
  <c r="G55" i="22"/>
  <c r="G63" i="22"/>
  <c r="E153" i="22"/>
  <c r="F63" i="22"/>
  <c r="G79" i="22"/>
  <c r="U103" i="20"/>
  <c r="U109" i="20"/>
  <c r="U102" i="20"/>
  <c r="U110" i="20"/>
  <c r="U113" i="20" s="1"/>
  <c r="G153" i="24"/>
  <c r="G167" i="24" s="1"/>
  <c r="F165" i="24"/>
  <c r="E165" i="24" s="1"/>
  <c r="H63" i="24"/>
  <c r="I79" i="24"/>
  <c r="H79" i="24"/>
  <c r="G153" i="20"/>
  <c r="G167" i="20" s="1"/>
  <c r="F165" i="20"/>
  <c r="E165" i="20" s="1"/>
  <c r="G79" i="20"/>
  <c r="G63" i="20"/>
  <c r="H79" i="20"/>
  <c r="P55" i="20"/>
  <c r="P95" i="20" s="1"/>
  <c r="P124" i="20" s="1"/>
  <c r="P55" i="22"/>
  <c r="P95" i="22" s="1"/>
  <c r="P123" i="22" s="1"/>
  <c r="P151" i="25"/>
  <c r="J152" i="25"/>
  <c r="J151" i="25"/>
  <c r="J125" i="24"/>
  <c r="J131" i="24" s="1"/>
  <c r="J171" i="24"/>
  <c r="H171" i="24"/>
  <c r="J114" i="24"/>
  <c r="J111" i="24"/>
  <c r="J112" i="24" s="1"/>
  <c r="I169" i="24"/>
  <c r="G169" i="24"/>
  <c r="J113" i="24"/>
  <c r="J149" i="24"/>
  <c r="J148" i="24"/>
  <c r="J145" i="24"/>
  <c r="J147" i="24" s="1"/>
  <c r="P63" i="23"/>
  <c r="O153" i="23"/>
  <c r="O181" i="23" s="1"/>
  <c r="J103" i="23"/>
  <c r="J135" i="23"/>
  <c r="J134" i="23"/>
  <c r="J138" i="23" s="1"/>
  <c r="J102" i="23"/>
  <c r="P109" i="23"/>
  <c r="P142" i="23"/>
  <c r="P146" i="23" s="1"/>
  <c r="P141" i="23"/>
  <c r="P110" i="23"/>
  <c r="P123" i="23"/>
  <c r="P124" i="23"/>
  <c r="P134" i="23"/>
  <c r="P138" i="23" s="1"/>
  <c r="P102" i="23"/>
  <c r="P135" i="23"/>
  <c r="P103" i="23"/>
  <c r="J63" i="23"/>
  <c r="J47" i="23"/>
  <c r="I153" i="23"/>
  <c r="H153" i="23"/>
  <c r="I63" i="23"/>
  <c r="J79" i="23"/>
  <c r="J95" i="23" s="1"/>
  <c r="J123" i="23" s="1"/>
  <c r="I79" i="23"/>
  <c r="J135" i="22"/>
  <c r="J103" i="22"/>
  <c r="J134" i="22"/>
  <c r="J138" i="22" s="1"/>
  <c r="J102" i="22"/>
  <c r="H153" i="22"/>
  <c r="I63" i="22"/>
  <c r="J79" i="22"/>
  <c r="J95" i="22" s="1"/>
  <c r="J123" i="22" s="1"/>
  <c r="P63" i="22"/>
  <c r="O153" i="22"/>
  <c r="O181" i="22" s="1"/>
  <c r="P135" i="22"/>
  <c r="P102" i="22"/>
  <c r="P134" i="22"/>
  <c r="P138" i="22" s="1"/>
  <c r="P103" i="22"/>
  <c r="J63" i="22"/>
  <c r="J47" i="22"/>
  <c r="I153" i="22"/>
  <c r="J55" i="22"/>
  <c r="H153" i="20"/>
  <c r="J79" i="20"/>
  <c r="J95" i="20" s="1"/>
  <c r="J123" i="20" s="1"/>
  <c r="I63" i="20"/>
  <c r="I79" i="20"/>
  <c r="P63" i="20"/>
  <c r="O153" i="20"/>
  <c r="O181" i="20" s="1"/>
  <c r="P142" i="20"/>
  <c r="P146" i="20" s="1"/>
  <c r="P141" i="20"/>
  <c r="P135" i="20"/>
  <c r="P134" i="20"/>
  <c r="P138" i="20" s="1"/>
  <c r="P102" i="20"/>
  <c r="P103" i="20"/>
  <c r="J63" i="20"/>
  <c r="J47" i="20"/>
  <c r="I153" i="20"/>
  <c r="J134" i="20"/>
  <c r="J138" i="20" s="1"/>
  <c r="J103" i="20"/>
  <c r="J135" i="20"/>
  <c r="J102" i="20"/>
  <c r="U154" i="6"/>
  <c r="W154" i="6"/>
  <c r="V154" i="6"/>
  <c r="O154" i="6"/>
  <c r="W46" i="6"/>
  <c r="W63" i="6"/>
  <c r="W47" i="6"/>
  <c r="U104" i="23" l="1"/>
  <c r="U105" i="23" s="1"/>
  <c r="U107" i="23" s="1"/>
  <c r="U106" i="23"/>
  <c r="U114" i="23"/>
  <c r="U111" i="23"/>
  <c r="U112" i="23" s="1"/>
  <c r="U115" i="23" s="1"/>
  <c r="U113" i="23"/>
  <c r="G153" i="23"/>
  <c r="G167" i="23" s="1"/>
  <c r="F165" i="23"/>
  <c r="E165" i="23" s="1"/>
  <c r="P180" i="25"/>
  <c r="F153" i="22"/>
  <c r="E163" i="22"/>
  <c r="H166" i="22"/>
  <c r="F166" i="22"/>
  <c r="G159" i="22"/>
  <c r="G160" i="22" s="1"/>
  <c r="G19" i="22"/>
  <c r="G20" i="22"/>
  <c r="G22" i="22" s="1"/>
  <c r="G17" i="22"/>
  <c r="H46" i="22"/>
  <c r="H54" i="22"/>
  <c r="H55" i="22"/>
  <c r="I78" i="22"/>
  <c r="U104" i="20"/>
  <c r="U105" i="20" s="1"/>
  <c r="U107" i="20" s="1"/>
  <c r="U106" i="20"/>
  <c r="U111" i="20"/>
  <c r="U112" i="20" s="1"/>
  <c r="U115" i="20" s="1"/>
  <c r="U114" i="20"/>
  <c r="F167" i="24"/>
  <c r="H167" i="24"/>
  <c r="J124" i="20"/>
  <c r="J125" i="20" s="1"/>
  <c r="J131" i="20" s="1"/>
  <c r="P109" i="20"/>
  <c r="H167" i="20"/>
  <c r="F167" i="20"/>
  <c r="P123" i="20"/>
  <c r="P110" i="20"/>
  <c r="P113" i="20" s="1"/>
  <c r="P141" i="22"/>
  <c r="P110" i="22"/>
  <c r="P109" i="22"/>
  <c r="P124" i="22"/>
  <c r="P132" i="22" s="1"/>
  <c r="P142" i="22"/>
  <c r="P146" i="22" s="1"/>
  <c r="J151" i="24"/>
  <c r="J154" i="24" s="1"/>
  <c r="J18" i="25"/>
  <c r="J172" i="25"/>
  <c r="J154" i="25"/>
  <c r="J155" i="25"/>
  <c r="J16" i="25"/>
  <c r="P154" i="25"/>
  <c r="P17" i="25" s="1"/>
  <c r="Q7" i="25" s="1"/>
  <c r="Q30" i="25" s="1"/>
  <c r="P155" i="25"/>
  <c r="P16" i="25"/>
  <c r="P20" i="25" s="1"/>
  <c r="P22" i="25" s="1"/>
  <c r="Q46" i="25"/>
  <c r="P25" i="25"/>
  <c r="Q78" i="25"/>
  <c r="J115" i="24"/>
  <c r="J132" i="24"/>
  <c r="J124" i="22"/>
  <c r="J125" i="22" s="1"/>
  <c r="J132" i="22" s="1"/>
  <c r="J129" i="23"/>
  <c r="J130" i="23" s="1"/>
  <c r="H169" i="23"/>
  <c r="K173" i="23"/>
  <c r="P139" i="23"/>
  <c r="P136" i="23"/>
  <c r="P137" i="23" s="1"/>
  <c r="P149" i="23"/>
  <c r="P148" i="23"/>
  <c r="P145" i="23"/>
  <c r="P147" i="23" s="1"/>
  <c r="I173" i="23"/>
  <c r="I171" i="23"/>
  <c r="P104" i="23"/>
  <c r="P105" i="23" s="1"/>
  <c r="P107" i="23" s="1"/>
  <c r="P106" i="23"/>
  <c r="J124" i="23"/>
  <c r="P114" i="23"/>
  <c r="P111" i="23"/>
  <c r="P112" i="23" s="1"/>
  <c r="J104" i="23"/>
  <c r="J105" i="23" s="1"/>
  <c r="J107" i="23" s="1"/>
  <c r="J106" i="23"/>
  <c r="J142" i="23"/>
  <c r="J146" i="23" s="1"/>
  <c r="J141" i="23"/>
  <c r="J109" i="23"/>
  <c r="J110" i="23"/>
  <c r="P132" i="23"/>
  <c r="P129" i="23"/>
  <c r="P130" i="23" s="1"/>
  <c r="P125" i="23"/>
  <c r="P131" i="23"/>
  <c r="P113" i="23"/>
  <c r="J136" i="23"/>
  <c r="J137" i="23" s="1"/>
  <c r="J139" i="23"/>
  <c r="P129" i="22"/>
  <c r="P130" i="22" s="1"/>
  <c r="H169" i="22"/>
  <c r="K173" i="22"/>
  <c r="J129" i="22"/>
  <c r="J130" i="22" s="1"/>
  <c r="J104" i="22"/>
  <c r="J105" i="22" s="1"/>
  <c r="J107" i="22" s="1"/>
  <c r="J106" i="22"/>
  <c r="I173" i="22"/>
  <c r="I171" i="22"/>
  <c r="P104" i="22"/>
  <c r="P105" i="22" s="1"/>
  <c r="P107" i="22" s="1"/>
  <c r="P106" i="22"/>
  <c r="P139" i="22"/>
  <c r="P136" i="22"/>
  <c r="P137" i="22" s="1"/>
  <c r="J142" i="22"/>
  <c r="J146" i="22" s="1"/>
  <c r="J141" i="22"/>
  <c r="J110" i="22"/>
  <c r="J109" i="22"/>
  <c r="J139" i="22"/>
  <c r="J136" i="22"/>
  <c r="J137" i="22" s="1"/>
  <c r="J129" i="20"/>
  <c r="J130" i="20" s="1"/>
  <c r="P106" i="20"/>
  <c r="P104" i="20"/>
  <c r="P105" i="20" s="1"/>
  <c r="P107" i="20" s="1"/>
  <c r="P149" i="20"/>
  <c r="P145" i="20"/>
  <c r="P147" i="20" s="1"/>
  <c r="P148" i="20"/>
  <c r="J106" i="20"/>
  <c r="J104" i="20"/>
  <c r="J105" i="20" s="1"/>
  <c r="J107" i="20" s="1"/>
  <c r="J136" i="20"/>
  <c r="J137" i="20" s="1"/>
  <c r="J139" i="20"/>
  <c r="P139" i="20"/>
  <c r="P136" i="20"/>
  <c r="P137" i="20" s="1"/>
  <c r="P111" i="20"/>
  <c r="P112" i="20" s="1"/>
  <c r="P114" i="20"/>
  <c r="J110" i="20"/>
  <c r="J109" i="20"/>
  <c r="J141" i="20"/>
  <c r="J142" i="20"/>
  <c r="J146" i="20" s="1"/>
  <c r="I173" i="20"/>
  <c r="I171" i="20"/>
  <c r="P131" i="20"/>
  <c r="P132" i="20"/>
  <c r="P129" i="20"/>
  <c r="P130" i="20" s="1"/>
  <c r="P125" i="20"/>
  <c r="H169" i="20"/>
  <c r="K173" i="20"/>
  <c r="T18" i="6"/>
  <c r="T180" i="6"/>
  <c r="T16" i="6"/>
  <c r="U68" i="6" s="1"/>
  <c r="H167" i="23" l="1"/>
  <c r="F167" i="23"/>
  <c r="H63" i="22"/>
  <c r="I79" i="22"/>
  <c r="H79" i="22"/>
  <c r="G153" i="22"/>
  <c r="G167" i="22" s="1"/>
  <c r="F165" i="22"/>
  <c r="E165" i="22" s="1"/>
  <c r="P149" i="22"/>
  <c r="P113" i="22"/>
  <c r="P145" i="22"/>
  <c r="P147" i="22" s="1"/>
  <c r="P148" i="22"/>
  <c r="P111" i="22"/>
  <c r="P112" i="22" s="1"/>
  <c r="P114" i="22"/>
  <c r="P131" i="22"/>
  <c r="P125" i="22"/>
  <c r="J16" i="24"/>
  <c r="K68" i="24" s="1"/>
  <c r="J152" i="24"/>
  <c r="J18" i="24" s="1"/>
  <c r="K68" i="25"/>
  <c r="K6" i="25"/>
  <c r="K29" i="25" s="1"/>
  <c r="J159" i="25"/>
  <c r="J160" i="25" s="1"/>
  <c r="J19" i="25"/>
  <c r="Q73" i="25"/>
  <c r="Q69" i="25"/>
  <c r="Q85" i="25"/>
  <c r="Q61" i="25"/>
  <c r="Q37" i="25"/>
  <c r="Q93" i="25" s="1"/>
  <c r="Q68" i="25"/>
  <c r="Q6" i="25"/>
  <c r="Q29" i="25" s="1"/>
  <c r="Q56" i="25" s="1"/>
  <c r="P159" i="25"/>
  <c r="P160" i="25" s="1"/>
  <c r="P19" i="25"/>
  <c r="K46" i="25"/>
  <c r="J25" i="25"/>
  <c r="J20" i="25"/>
  <c r="J22" i="25" s="1"/>
  <c r="J17" i="25"/>
  <c r="K7" i="25" s="1"/>
  <c r="K30" i="25" s="1"/>
  <c r="K78" i="25"/>
  <c r="P115" i="20"/>
  <c r="P152" i="20" s="1"/>
  <c r="J131" i="22"/>
  <c r="J114" i="23"/>
  <c r="J111" i="23"/>
  <c r="J112" i="23" s="1"/>
  <c r="J149" i="23"/>
  <c r="J148" i="23"/>
  <c r="J145" i="23"/>
  <c r="J147" i="23" s="1"/>
  <c r="I169" i="23"/>
  <c r="G169" i="23"/>
  <c r="P151" i="23"/>
  <c r="J125" i="23"/>
  <c r="J131" i="23" s="1"/>
  <c r="J171" i="23"/>
  <c r="H171" i="23"/>
  <c r="J113" i="23"/>
  <c r="P115" i="23"/>
  <c r="P152" i="23" s="1"/>
  <c r="I169" i="22"/>
  <c r="G169" i="22"/>
  <c r="J114" i="22"/>
  <c r="J111" i="22"/>
  <c r="J112" i="22" s="1"/>
  <c r="J171" i="22"/>
  <c r="H171" i="22"/>
  <c r="J113" i="22"/>
  <c r="J149" i="22"/>
  <c r="J148" i="22"/>
  <c r="J145" i="22"/>
  <c r="J147" i="22" s="1"/>
  <c r="J113" i="20"/>
  <c r="G169" i="20"/>
  <c r="I169" i="20"/>
  <c r="J171" i="20"/>
  <c r="H171" i="20"/>
  <c r="P151" i="20"/>
  <c r="J149" i="20"/>
  <c r="J148" i="20"/>
  <c r="J145" i="20"/>
  <c r="J147" i="20" s="1"/>
  <c r="J114" i="20"/>
  <c r="J111" i="20"/>
  <c r="J112" i="20" s="1"/>
  <c r="J132" i="20"/>
  <c r="T19" i="6"/>
  <c r="T20" i="6"/>
  <c r="T22" i="6" s="1"/>
  <c r="T17" i="6"/>
  <c r="T25" i="6"/>
  <c r="V78" i="6"/>
  <c r="U46" i="6"/>
  <c r="J115" i="23" l="1"/>
  <c r="F167" i="22"/>
  <c r="H167" i="22"/>
  <c r="P115" i="22"/>
  <c r="P152" i="22" s="1"/>
  <c r="P18" i="22" s="1"/>
  <c r="Q46" i="22" s="1"/>
  <c r="P151" i="22"/>
  <c r="P154" i="22" s="1"/>
  <c r="K6" i="24"/>
  <c r="K29" i="24" s="1"/>
  <c r="K49" i="24" s="1"/>
  <c r="J172" i="24"/>
  <c r="J155" i="24"/>
  <c r="J159" i="24" s="1"/>
  <c r="J160" i="24" s="1"/>
  <c r="Q48" i="25"/>
  <c r="Q141" i="25"/>
  <c r="Q134" i="25"/>
  <c r="Q138" i="25" s="1"/>
  <c r="Q142" i="25"/>
  <c r="Q146" i="25" s="1"/>
  <c r="Q135" i="25"/>
  <c r="K73" i="25"/>
  <c r="K69" i="25"/>
  <c r="K65" i="25"/>
  <c r="K85" i="25"/>
  <c r="K61" i="25"/>
  <c r="K48" i="25"/>
  <c r="K37" i="25"/>
  <c r="K93" i="25" s="1"/>
  <c r="K56" i="25"/>
  <c r="Q63" i="25"/>
  <c r="P24" i="25"/>
  <c r="P153" i="25"/>
  <c r="P181" i="25" s="1"/>
  <c r="Q79" i="25"/>
  <c r="Q55" i="25"/>
  <c r="K63" i="25"/>
  <c r="J153" i="25"/>
  <c r="J173" i="25" s="1"/>
  <c r="K79" i="25"/>
  <c r="Q84" i="25"/>
  <c r="Q60" i="25"/>
  <c r="Q72" i="25"/>
  <c r="Q57" i="25"/>
  <c r="Q49" i="25"/>
  <c r="Q36" i="25"/>
  <c r="Q92" i="25" s="1"/>
  <c r="Q52" i="25"/>
  <c r="Q47" i="25"/>
  <c r="Q44" i="25"/>
  <c r="Q34" i="25"/>
  <c r="Q64" i="25"/>
  <c r="Q54" i="25"/>
  <c r="K84" i="25"/>
  <c r="K60" i="25"/>
  <c r="K72" i="25"/>
  <c r="K49" i="25"/>
  <c r="K36" i="25"/>
  <c r="K92" i="25" s="1"/>
  <c r="K57" i="25"/>
  <c r="K52" i="25"/>
  <c r="K47" i="25"/>
  <c r="K44" i="25"/>
  <c r="K34" i="25"/>
  <c r="K54" i="25"/>
  <c r="K64" i="25"/>
  <c r="K55" i="25"/>
  <c r="Q65" i="25"/>
  <c r="K46" i="24"/>
  <c r="J20" i="24"/>
  <c r="J22" i="24" s="1"/>
  <c r="J25" i="24"/>
  <c r="J17" i="24"/>
  <c r="K7" i="24" s="1"/>
  <c r="K30" i="24" s="1"/>
  <c r="K78" i="24"/>
  <c r="J151" i="22"/>
  <c r="J154" i="22" s="1"/>
  <c r="J115" i="20"/>
  <c r="J152" i="20" s="1"/>
  <c r="J18" i="20" s="1"/>
  <c r="J151" i="23"/>
  <c r="P155" i="23"/>
  <c r="P154" i="23"/>
  <c r="P16" i="23"/>
  <c r="P18" i="23"/>
  <c r="P180" i="23"/>
  <c r="J132" i="23"/>
  <c r="J115" i="22"/>
  <c r="J152" i="22" s="1"/>
  <c r="J151" i="20"/>
  <c r="J154" i="20" s="1"/>
  <c r="P155" i="20"/>
  <c r="P154" i="20"/>
  <c r="P16" i="20"/>
  <c r="P18" i="20"/>
  <c r="P180" i="20"/>
  <c r="T24" i="6"/>
  <c r="U47" i="6"/>
  <c r="V79" i="6"/>
  <c r="U63" i="6"/>
  <c r="J152" i="23" l="1"/>
  <c r="J155" i="23" s="1"/>
  <c r="J19" i="24"/>
  <c r="P17" i="22"/>
  <c r="Q7" i="22" s="1"/>
  <c r="Q30" i="22" s="1"/>
  <c r="Q73" i="22" s="1"/>
  <c r="P25" i="22"/>
  <c r="Q78" i="22"/>
  <c r="P180" i="22"/>
  <c r="P16" i="22"/>
  <c r="Q68" i="22" s="1"/>
  <c r="P155" i="22"/>
  <c r="P159" i="22" s="1"/>
  <c r="P160" i="22" s="1"/>
  <c r="K84" i="24"/>
  <c r="K47" i="24"/>
  <c r="K60" i="24"/>
  <c r="K54" i="24"/>
  <c r="K44" i="24"/>
  <c r="K52" i="24"/>
  <c r="K57" i="24"/>
  <c r="K36" i="24"/>
  <c r="K92" i="24" s="1"/>
  <c r="K102" i="24" s="1"/>
  <c r="Q118" i="25"/>
  <c r="Q117" i="25"/>
  <c r="Q110" i="25"/>
  <c r="Q103" i="25"/>
  <c r="Q109" i="25"/>
  <c r="Q102" i="25"/>
  <c r="Q139" i="25"/>
  <c r="Q136" i="25"/>
  <c r="Q137" i="25" s="1"/>
  <c r="K118" i="25"/>
  <c r="K117" i="25"/>
  <c r="K110" i="25"/>
  <c r="K103" i="25"/>
  <c r="K109" i="25"/>
  <c r="K102" i="25"/>
  <c r="K141" i="25"/>
  <c r="K134" i="25"/>
  <c r="K138" i="25" s="1"/>
  <c r="K142" i="25"/>
  <c r="K146" i="25" s="1"/>
  <c r="K135" i="25"/>
  <c r="K90" i="25"/>
  <c r="K80" i="25"/>
  <c r="K89" i="25"/>
  <c r="K88" i="25"/>
  <c r="K42" i="25"/>
  <c r="K98" i="25" s="1"/>
  <c r="K41" i="25"/>
  <c r="K97" i="25" s="1"/>
  <c r="K40" i="25"/>
  <c r="K96" i="25" s="1"/>
  <c r="Q90" i="25"/>
  <c r="Q80" i="25"/>
  <c r="Q89" i="25"/>
  <c r="Q88" i="25"/>
  <c r="Q42" i="25"/>
  <c r="Q98" i="25" s="1"/>
  <c r="Q41" i="25"/>
  <c r="Q97" i="25" s="1"/>
  <c r="Q40" i="25"/>
  <c r="Q96" i="25" s="1"/>
  <c r="Q148" i="25"/>
  <c r="Q145" i="25"/>
  <c r="Q147" i="25" s="1"/>
  <c r="Q149" i="25"/>
  <c r="K63" i="24"/>
  <c r="J153" i="24"/>
  <c r="J173" i="24" s="1"/>
  <c r="K79" i="24"/>
  <c r="K55" i="24"/>
  <c r="J16" i="22"/>
  <c r="K6" i="22" s="1"/>
  <c r="K29" i="22" s="1"/>
  <c r="K69" i="24"/>
  <c r="K65" i="24"/>
  <c r="K85" i="24"/>
  <c r="K61" i="24"/>
  <c r="K56" i="24"/>
  <c r="K48" i="24"/>
  <c r="K37" i="24"/>
  <c r="K93" i="24" s="1"/>
  <c r="K73" i="24"/>
  <c r="K34" i="24"/>
  <c r="K72" i="24"/>
  <c r="K64" i="24"/>
  <c r="J172" i="20"/>
  <c r="Q68" i="23"/>
  <c r="Q6" i="23"/>
  <c r="Q29" i="23" s="1"/>
  <c r="Q46" i="23"/>
  <c r="P20" i="23"/>
  <c r="P22" i="23" s="1"/>
  <c r="P25" i="23"/>
  <c r="P17" i="23"/>
  <c r="Q7" i="23" s="1"/>
  <c r="Q30" i="23" s="1"/>
  <c r="Q78" i="23"/>
  <c r="P159" i="23"/>
  <c r="P160" i="23" s="1"/>
  <c r="P19" i="23"/>
  <c r="J154" i="23"/>
  <c r="J16" i="23"/>
  <c r="J18" i="22"/>
  <c r="J172" i="22"/>
  <c r="J16" i="20"/>
  <c r="K6" i="20" s="1"/>
  <c r="K29" i="20" s="1"/>
  <c r="J155" i="20"/>
  <c r="J19" i="20" s="1"/>
  <c r="J155" i="22"/>
  <c r="P159" i="20"/>
  <c r="P160" i="20" s="1"/>
  <c r="P19" i="20"/>
  <c r="Y19" i="20" s="1"/>
  <c r="Q46" i="20"/>
  <c r="P25" i="20"/>
  <c r="P20" i="20"/>
  <c r="P22" i="20" s="1"/>
  <c r="P17" i="20"/>
  <c r="Q7" i="20" s="1"/>
  <c r="Q30" i="20" s="1"/>
  <c r="Q78" i="20"/>
  <c r="Q68" i="20"/>
  <c r="Q6" i="20"/>
  <c r="Q29" i="20" s="1"/>
  <c r="K46" i="20"/>
  <c r="J25" i="20"/>
  <c r="J17" i="20"/>
  <c r="K7" i="20" s="1"/>
  <c r="K30" i="20" s="1"/>
  <c r="K78" i="20"/>
  <c r="T181" i="6"/>
  <c r="E15" i="6"/>
  <c r="F15" i="6"/>
  <c r="G15" i="6"/>
  <c r="I15" i="6"/>
  <c r="J15" i="6"/>
  <c r="K15" i="6"/>
  <c r="L15" i="6"/>
  <c r="M15" i="6"/>
  <c r="N15" i="6"/>
  <c r="E28" i="6"/>
  <c r="F28" i="6"/>
  <c r="G28" i="6"/>
  <c r="H28" i="6"/>
  <c r="I28" i="6"/>
  <c r="J28" i="6"/>
  <c r="K28" i="6"/>
  <c r="L28" i="6"/>
  <c r="E29" i="6"/>
  <c r="F29" i="6"/>
  <c r="G29" i="6"/>
  <c r="H29" i="6"/>
  <c r="I29" i="6"/>
  <c r="J29" i="6"/>
  <c r="L29" i="6"/>
  <c r="E30" i="6"/>
  <c r="F30" i="6"/>
  <c r="G30" i="6"/>
  <c r="H30" i="6"/>
  <c r="I30" i="6"/>
  <c r="J30" i="6"/>
  <c r="E31" i="6"/>
  <c r="F31" i="6"/>
  <c r="G31" i="6"/>
  <c r="H31" i="6"/>
  <c r="I31" i="6"/>
  <c r="J31" i="6"/>
  <c r="K31" i="6"/>
  <c r="L31" i="6"/>
  <c r="J172" i="23" l="1"/>
  <c r="J18" i="23"/>
  <c r="J25" i="23" s="1"/>
  <c r="K118" i="24"/>
  <c r="K109" i="24"/>
  <c r="K114" i="24" s="1"/>
  <c r="K68" i="20"/>
  <c r="P20" i="22"/>
  <c r="P22" i="22" s="1"/>
  <c r="P19" i="22"/>
  <c r="Q6" i="22"/>
  <c r="Q29" i="22" s="1"/>
  <c r="Q57" i="22" s="1"/>
  <c r="Q61" i="22"/>
  <c r="Q37" i="22"/>
  <c r="Q93" i="22" s="1"/>
  <c r="Q142" i="22" s="1"/>
  <c r="Q146" i="22" s="1"/>
  <c r="Q69" i="22"/>
  <c r="Q85" i="22"/>
  <c r="K110" i="24"/>
  <c r="K103" i="24"/>
  <c r="K68" i="22"/>
  <c r="K113" i="25"/>
  <c r="H24" i="6"/>
  <c r="H25" i="6"/>
  <c r="Q114" i="25"/>
  <c r="Q111" i="25"/>
  <c r="Q112" i="25" s="1"/>
  <c r="K119" i="25"/>
  <c r="K120" i="25"/>
  <c r="K139" i="25"/>
  <c r="K136" i="25"/>
  <c r="K137" i="25" s="1"/>
  <c r="K148" i="25"/>
  <c r="K145" i="25"/>
  <c r="K147" i="25" s="1"/>
  <c r="K149" i="25"/>
  <c r="K121" i="25"/>
  <c r="Q113" i="25"/>
  <c r="Q14" i="25"/>
  <c r="K104" i="25"/>
  <c r="K105" i="25" s="1"/>
  <c r="K107" i="25" s="1"/>
  <c r="K106" i="25"/>
  <c r="Q119" i="25"/>
  <c r="Q121" i="25" s="1"/>
  <c r="Q120" i="25"/>
  <c r="Q104" i="25"/>
  <c r="Q105" i="25" s="1"/>
  <c r="Q107" i="25" s="1"/>
  <c r="Q106" i="25"/>
  <c r="K14" i="25"/>
  <c r="K114" i="25"/>
  <c r="K111" i="25"/>
  <c r="K112" i="25" s="1"/>
  <c r="K104" i="24"/>
  <c r="K105" i="24" s="1"/>
  <c r="K106" i="24"/>
  <c r="K88" i="24"/>
  <c r="K89" i="24"/>
  <c r="K90" i="24"/>
  <c r="K41" i="24"/>
  <c r="K97" i="24" s="1"/>
  <c r="K40" i="24"/>
  <c r="K96" i="24" s="1"/>
  <c r="K80" i="24"/>
  <c r="K42" i="24"/>
  <c r="K98" i="24" s="1"/>
  <c r="K142" i="24"/>
  <c r="K146" i="24" s="1"/>
  <c r="K135" i="24"/>
  <c r="K141" i="24"/>
  <c r="K134" i="24"/>
  <c r="K138" i="24" s="1"/>
  <c r="K117" i="24"/>
  <c r="J20" i="20"/>
  <c r="J22" i="20" s="1"/>
  <c r="J159" i="20"/>
  <c r="J160" i="20" s="1"/>
  <c r="K55" i="20"/>
  <c r="K68" i="23"/>
  <c r="K6" i="23"/>
  <c r="K29" i="23" s="1"/>
  <c r="Q73" i="23"/>
  <c r="Q56" i="23"/>
  <c r="Q69" i="23"/>
  <c r="Q65" i="23"/>
  <c r="Q85" i="23"/>
  <c r="Q61" i="23"/>
  <c r="Q37" i="23"/>
  <c r="Q93" i="23" s="1"/>
  <c r="Q48" i="23"/>
  <c r="Q84" i="23"/>
  <c r="Q60" i="23"/>
  <c r="Q72" i="23"/>
  <c r="Q57" i="23"/>
  <c r="Q47" i="23"/>
  <c r="Q44" i="23"/>
  <c r="Q34" i="23"/>
  <c r="Q49" i="23"/>
  <c r="Q36" i="23"/>
  <c r="Q92" i="23" s="1"/>
  <c r="Q52" i="23"/>
  <c r="Q54" i="23"/>
  <c r="Q64" i="23"/>
  <c r="J159" i="23"/>
  <c r="J160" i="23" s="1"/>
  <c r="J19" i="23"/>
  <c r="Q63" i="23"/>
  <c r="P24" i="23"/>
  <c r="P153" i="23"/>
  <c r="P181" i="23" s="1"/>
  <c r="Q79" i="23"/>
  <c r="Q55" i="23"/>
  <c r="K46" i="23"/>
  <c r="K78" i="23"/>
  <c r="K84" i="22"/>
  <c r="K60" i="22"/>
  <c r="K49" i="22"/>
  <c r="K52" i="22"/>
  <c r="K57" i="22"/>
  <c r="K36" i="22"/>
  <c r="K92" i="22" s="1"/>
  <c r="K47" i="22"/>
  <c r="K44" i="22"/>
  <c r="K54" i="22"/>
  <c r="J159" i="22"/>
  <c r="J160" i="22" s="1"/>
  <c r="J19" i="22"/>
  <c r="K55" i="22" s="1"/>
  <c r="K46" i="22"/>
  <c r="J25" i="22"/>
  <c r="J20" i="22"/>
  <c r="J22" i="22" s="1"/>
  <c r="J17" i="22"/>
  <c r="K7" i="22" s="1"/>
  <c r="K30" i="22" s="1"/>
  <c r="K64" i="22" s="1"/>
  <c r="K78" i="22"/>
  <c r="Q73" i="20"/>
  <c r="Q85" i="20"/>
  <c r="Q56" i="20"/>
  <c r="Q61" i="20"/>
  <c r="Q37" i="20"/>
  <c r="Q93" i="20" s="1"/>
  <c r="Q65" i="20"/>
  <c r="Q69" i="20"/>
  <c r="Q48" i="20"/>
  <c r="K63" i="20"/>
  <c r="J153" i="20"/>
  <c r="J173" i="20" s="1"/>
  <c r="K79" i="20"/>
  <c r="K73" i="20"/>
  <c r="K85" i="20"/>
  <c r="K56" i="20"/>
  <c r="K61" i="20"/>
  <c r="K37" i="20"/>
  <c r="K93" i="20" s="1"/>
  <c r="K48" i="20"/>
  <c r="K65" i="20"/>
  <c r="K69" i="20"/>
  <c r="Q55" i="20"/>
  <c r="K84" i="20"/>
  <c r="K60" i="20"/>
  <c r="K49" i="20"/>
  <c r="K36" i="20"/>
  <c r="K92" i="20" s="1"/>
  <c r="K57" i="20"/>
  <c r="K47" i="20"/>
  <c r="K44" i="20"/>
  <c r="K34" i="20"/>
  <c r="K52" i="20"/>
  <c r="K72" i="20"/>
  <c r="K64" i="20"/>
  <c r="K54" i="20"/>
  <c r="Q84" i="20"/>
  <c r="Q72" i="20"/>
  <c r="Q60" i="20"/>
  <c r="Q49" i="20"/>
  <c r="Q36" i="20"/>
  <c r="Q92" i="20" s="1"/>
  <c r="Q57" i="20"/>
  <c r="Q47" i="20"/>
  <c r="Q44" i="20"/>
  <c r="Q34" i="20"/>
  <c r="Q52" i="20"/>
  <c r="Q64" i="20"/>
  <c r="Q54" i="20"/>
  <c r="Q63" i="20"/>
  <c r="P153" i="20"/>
  <c r="P181" i="20" s="1"/>
  <c r="P24" i="20"/>
  <c r="Q79" i="20"/>
  <c r="B63" i="2"/>
  <c r="B65" i="2" s="1"/>
  <c r="E59" i="2"/>
  <c r="B29" i="2"/>
  <c r="B30" i="2"/>
  <c r="D30" i="2" s="1"/>
  <c r="B31" i="2"/>
  <c r="D60" i="2"/>
  <c r="D61" i="2" s="1"/>
  <c r="D62" i="2" s="1"/>
  <c r="D29" i="2"/>
  <c r="C29" i="2"/>
  <c r="D28" i="2"/>
  <c r="C28" i="2"/>
  <c r="B9" i="2"/>
  <c r="C9" i="2" s="1"/>
  <c r="D6" i="2"/>
  <c r="E6" i="2"/>
  <c r="D9" i="2"/>
  <c r="D8" i="2"/>
  <c r="C8" i="2"/>
  <c r="E84" i="6"/>
  <c r="E85" i="6"/>
  <c r="E38" i="6"/>
  <c r="E32" i="6"/>
  <c r="E87" i="6" s="1"/>
  <c r="E33" i="6"/>
  <c r="M2" i="6"/>
  <c r="O118" i="6" s="1"/>
  <c r="O121" i="6" s="1"/>
  <c r="E35" i="6"/>
  <c r="J36" i="6"/>
  <c r="J61" i="6"/>
  <c r="J70" i="6"/>
  <c r="J32" i="6"/>
  <c r="J33" i="6"/>
  <c r="N28" i="6"/>
  <c r="N29" i="6"/>
  <c r="N52" i="6" s="1"/>
  <c r="N31" i="6"/>
  <c r="N70" i="6" s="1"/>
  <c r="N32" i="6"/>
  <c r="N33" i="6"/>
  <c r="M28" i="6"/>
  <c r="M29" i="6"/>
  <c r="M31" i="6"/>
  <c r="M70" i="6" s="1"/>
  <c r="M32" i="6"/>
  <c r="M39" i="6" s="1"/>
  <c r="M33" i="6"/>
  <c r="L36" i="6"/>
  <c r="L38" i="6"/>
  <c r="L32" i="6"/>
  <c r="L87" i="6" s="1"/>
  <c r="L33" i="6"/>
  <c r="K32" i="6"/>
  <c r="K87" i="6" s="1"/>
  <c r="K33" i="6"/>
  <c r="I44" i="6"/>
  <c r="I37" i="6"/>
  <c r="I86" i="6"/>
  <c r="I32" i="6"/>
  <c r="I33" i="6"/>
  <c r="H44" i="6"/>
  <c r="H61" i="6"/>
  <c r="H32" i="6"/>
  <c r="H87" i="6" s="1"/>
  <c r="H33" i="6"/>
  <c r="G35" i="6"/>
  <c r="G44" i="6"/>
  <c r="G37" i="6"/>
  <c r="G38" i="6"/>
  <c r="G32" i="6"/>
  <c r="G87" i="6" s="1"/>
  <c r="G33" i="6"/>
  <c r="F52" i="6"/>
  <c r="F85" i="6"/>
  <c r="F62" i="6"/>
  <c r="F32" i="6"/>
  <c r="F33" i="6"/>
  <c r="J50" i="6"/>
  <c r="I50" i="6"/>
  <c r="H81" i="6"/>
  <c r="H82" i="6"/>
  <c r="F58" i="6"/>
  <c r="H76" i="6"/>
  <c r="E144" i="6"/>
  <c r="Z3" i="6"/>
  <c r="Z4" i="6" s="1"/>
  <c r="F53" i="6"/>
  <c r="F127" i="6"/>
  <c r="F144" i="6"/>
  <c r="G127" i="6"/>
  <c r="G144" i="6"/>
  <c r="H77" i="6"/>
  <c r="H127" i="6"/>
  <c r="I45" i="6"/>
  <c r="J45" i="6"/>
  <c r="L127" i="6"/>
  <c r="I144" i="6"/>
  <c r="J127" i="6"/>
  <c r="I127" i="6"/>
  <c r="E90" i="6"/>
  <c r="E89" i="6"/>
  <c r="E88" i="6"/>
  <c r="K127" i="6"/>
  <c r="C164" i="6"/>
  <c r="C166" i="6" s="1"/>
  <c r="C168" i="6" s="1"/>
  <c r="C170" i="6" s="1"/>
  <c r="C172" i="6" s="1"/>
  <c r="C174" i="6" s="1"/>
  <c r="C176" i="6" s="1"/>
  <c r="C178" i="6" s="1"/>
  <c r="C180" i="6" s="1"/>
  <c r="N77" i="6"/>
  <c r="M77" i="6"/>
  <c r="L77" i="6"/>
  <c r="K77" i="6"/>
  <c r="J77" i="6"/>
  <c r="I77" i="6"/>
  <c r="N76" i="6"/>
  <c r="M76" i="6"/>
  <c r="L76" i="6"/>
  <c r="K76" i="6"/>
  <c r="J76" i="6"/>
  <c r="I76" i="6"/>
  <c r="G76" i="6"/>
  <c r="H144" i="6"/>
  <c r="K53" i="6"/>
  <c r="N53" i="6"/>
  <c r="M53" i="6"/>
  <c r="L53" i="6"/>
  <c r="J53" i="6"/>
  <c r="I53" i="6"/>
  <c r="H53" i="6"/>
  <c r="G53" i="6"/>
  <c r="E46" i="6"/>
  <c r="E44" i="6"/>
  <c r="N157" i="6"/>
  <c r="N158" i="6" s="1"/>
  <c r="M157" i="6"/>
  <c r="M158" i="6" s="1"/>
  <c r="L157" i="6"/>
  <c r="L158" i="6" s="1"/>
  <c r="K157" i="6"/>
  <c r="K158" i="6" s="1"/>
  <c r="J157" i="6"/>
  <c r="J158" i="6" s="1"/>
  <c r="I157" i="6"/>
  <c r="I158" i="6" s="1"/>
  <c r="H157" i="6"/>
  <c r="H158" i="6" s="1"/>
  <c r="G157" i="6"/>
  <c r="G158" i="6" s="1"/>
  <c r="F157" i="6"/>
  <c r="F158" i="6" s="1"/>
  <c r="E157" i="6"/>
  <c r="E158" i="6" s="1"/>
  <c r="G77" i="6"/>
  <c r="N82" i="6"/>
  <c r="M82" i="6"/>
  <c r="L82" i="6"/>
  <c r="K82" i="6"/>
  <c r="J82" i="6"/>
  <c r="I82" i="6"/>
  <c r="N81" i="6"/>
  <c r="M81" i="6"/>
  <c r="L81" i="6"/>
  <c r="K81" i="6"/>
  <c r="J81" i="6"/>
  <c r="I81" i="6"/>
  <c r="G81" i="6"/>
  <c r="G82" i="6"/>
  <c r="N71" i="6"/>
  <c r="M71" i="6"/>
  <c r="L71" i="6"/>
  <c r="K71" i="6"/>
  <c r="J71" i="6"/>
  <c r="I71" i="6"/>
  <c r="H71" i="6"/>
  <c r="G71" i="6"/>
  <c r="F71" i="6"/>
  <c r="N74" i="6"/>
  <c r="M74" i="6"/>
  <c r="L74" i="6"/>
  <c r="K74" i="6"/>
  <c r="J74" i="6"/>
  <c r="I74" i="6"/>
  <c r="H74" i="6"/>
  <c r="G74" i="6"/>
  <c r="F74" i="6"/>
  <c r="N66" i="6"/>
  <c r="M66" i="6"/>
  <c r="L66" i="6"/>
  <c r="K66" i="6"/>
  <c r="J66" i="6"/>
  <c r="I66" i="6"/>
  <c r="H66" i="6"/>
  <c r="G66" i="6"/>
  <c r="F66" i="6"/>
  <c r="E55" i="6"/>
  <c r="E54" i="6"/>
  <c r="E53" i="6"/>
  <c r="E52" i="6"/>
  <c r="F79" i="6"/>
  <c r="F78" i="6"/>
  <c r="F77" i="6"/>
  <c r="F76" i="6"/>
  <c r="E79" i="6"/>
  <c r="E78" i="6"/>
  <c r="E77" i="6"/>
  <c r="E76" i="6"/>
  <c r="E71" i="6"/>
  <c r="E70" i="6"/>
  <c r="E69" i="6"/>
  <c r="E68" i="6"/>
  <c r="E63" i="6"/>
  <c r="E62" i="6"/>
  <c r="E61" i="6"/>
  <c r="E60" i="6"/>
  <c r="N58" i="6"/>
  <c r="M58" i="6"/>
  <c r="L58" i="6"/>
  <c r="K58" i="6"/>
  <c r="J58" i="6"/>
  <c r="I58" i="6"/>
  <c r="H58" i="6"/>
  <c r="G58" i="6"/>
  <c r="F50" i="6"/>
  <c r="N50" i="6"/>
  <c r="M50" i="6"/>
  <c r="L50" i="6"/>
  <c r="K50" i="6"/>
  <c r="H50" i="6"/>
  <c r="G50" i="6"/>
  <c r="F82" i="6"/>
  <c r="F81" i="6"/>
  <c r="F80" i="6"/>
  <c r="E82" i="6"/>
  <c r="E81" i="6"/>
  <c r="E80" i="6"/>
  <c r="E74" i="6"/>
  <c r="E73" i="6"/>
  <c r="E72" i="6"/>
  <c r="E66" i="6"/>
  <c r="E65" i="6"/>
  <c r="E64" i="6"/>
  <c r="E58" i="6"/>
  <c r="E57" i="6"/>
  <c r="E56" i="6"/>
  <c r="E50" i="6"/>
  <c r="E49" i="6"/>
  <c r="N45" i="6"/>
  <c r="M45" i="6"/>
  <c r="L45" i="6"/>
  <c r="K45" i="6"/>
  <c r="H45" i="6"/>
  <c r="G45" i="6"/>
  <c r="F45" i="6"/>
  <c r="E45" i="6"/>
  <c r="E48" i="6"/>
  <c r="N144" i="6"/>
  <c r="M144" i="6"/>
  <c r="L144" i="6"/>
  <c r="K144" i="6"/>
  <c r="J144" i="6"/>
  <c r="N127" i="6"/>
  <c r="M127" i="6"/>
  <c r="E127" i="6"/>
  <c r="E9" i="2"/>
  <c r="E8" i="2"/>
  <c r="F6" i="2"/>
  <c r="C30" i="2"/>
  <c r="G6" i="2"/>
  <c r="J20" i="23" l="1"/>
  <c r="J22" i="23" s="1"/>
  <c r="J17" i="23"/>
  <c r="K7" i="23" s="1"/>
  <c r="K30" i="23" s="1"/>
  <c r="K65" i="23" s="1"/>
  <c r="K115" i="25"/>
  <c r="Q47" i="22"/>
  <c r="Q56" i="22"/>
  <c r="K113" i="24"/>
  <c r="K111" i="24"/>
  <c r="K112" i="24" s="1"/>
  <c r="K107" i="24"/>
  <c r="Q134" i="22"/>
  <c r="Q138" i="22" s="1"/>
  <c r="Q135" i="22"/>
  <c r="Q139" i="22" s="1"/>
  <c r="Q141" i="22"/>
  <c r="Q149" i="22" s="1"/>
  <c r="Q36" i="22"/>
  <c r="Q92" i="22" s="1"/>
  <c r="Q102" i="22" s="1"/>
  <c r="Q49" i="22"/>
  <c r="Q52" i="22"/>
  <c r="Q72" i="22"/>
  <c r="Q60" i="22"/>
  <c r="Q84" i="22"/>
  <c r="Q55" i="22"/>
  <c r="Q79" i="22"/>
  <c r="P153" i="22"/>
  <c r="P181" i="22" s="1"/>
  <c r="P24" i="22"/>
  <c r="Q54" i="22"/>
  <c r="Q48" i="22"/>
  <c r="Q63" i="22"/>
  <c r="Q34" i="22"/>
  <c r="Q88" i="22" s="1"/>
  <c r="Q44" i="22"/>
  <c r="Q65" i="22"/>
  <c r="Q64" i="22"/>
  <c r="K115" i="24"/>
  <c r="Q115" i="25"/>
  <c r="K152" i="25"/>
  <c r="K176" i="25" s="1"/>
  <c r="K25" i="25"/>
  <c r="K24" i="25"/>
  <c r="K23" i="25"/>
  <c r="K21" i="25"/>
  <c r="K151" i="25"/>
  <c r="K16" i="25" s="1"/>
  <c r="L68" i="25" s="1"/>
  <c r="Q151" i="25"/>
  <c r="Q16" i="25" s="1"/>
  <c r="R68" i="25" s="1"/>
  <c r="Q152" i="25"/>
  <c r="Q18" i="25" s="1"/>
  <c r="Q25" i="25"/>
  <c r="Q24" i="25"/>
  <c r="Q23" i="25"/>
  <c r="Q21" i="25"/>
  <c r="K14" i="24"/>
  <c r="K24" i="24" s="1"/>
  <c r="K149" i="24"/>
  <c r="K148" i="24"/>
  <c r="K145" i="24"/>
  <c r="K147" i="24" s="1"/>
  <c r="K139" i="24"/>
  <c r="K136" i="24"/>
  <c r="K137" i="24" s="1"/>
  <c r="K120" i="24"/>
  <c r="K119" i="24"/>
  <c r="K121" i="24" s="1"/>
  <c r="K55" i="23"/>
  <c r="Q89" i="23"/>
  <c r="Q88" i="23"/>
  <c r="Q80" i="23"/>
  <c r="Q90" i="23"/>
  <c r="Q40" i="23"/>
  <c r="Q96" i="23" s="1"/>
  <c r="Q42" i="23"/>
  <c r="Q98" i="23" s="1"/>
  <c r="Q41" i="23"/>
  <c r="Q97" i="23" s="1"/>
  <c r="K34" i="22"/>
  <c r="K41" i="22" s="1"/>
  <c r="K97" i="22" s="1"/>
  <c r="K72" i="22"/>
  <c r="Q142" i="23"/>
  <c r="Q146" i="23" s="1"/>
  <c r="Q135" i="23"/>
  <c r="Q141" i="23"/>
  <c r="Q134" i="23"/>
  <c r="Q138" i="23" s="1"/>
  <c r="K84" i="23"/>
  <c r="K60" i="23"/>
  <c r="K57" i="23"/>
  <c r="K47" i="23"/>
  <c r="K44" i="23"/>
  <c r="K49" i="23"/>
  <c r="K36" i="23"/>
  <c r="K92" i="23" s="1"/>
  <c r="K52" i="23"/>
  <c r="K54" i="23"/>
  <c r="K64" i="23"/>
  <c r="Q118" i="23"/>
  <c r="Q109" i="23"/>
  <c r="Q102" i="23"/>
  <c r="Q117" i="23"/>
  <c r="Q110" i="23"/>
  <c r="Q103" i="23"/>
  <c r="K63" i="23"/>
  <c r="J153" i="23"/>
  <c r="J173" i="23" s="1"/>
  <c r="K79" i="23"/>
  <c r="K63" i="22"/>
  <c r="J153" i="22"/>
  <c r="J173" i="22" s="1"/>
  <c r="K79" i="22"/>
  <c r="K73" i="22"/>
  <c r="K56" i="22"/>
  <c r="K69" i="22"/>
  <c r="K65" i="22"/>
  <c r="K48" i="22"/>
  <c r="K61" i="22"/>
  <c r="K85" i="22"/>
  <c r="K37" i="22"/>
  <c r="K93" i="22" s="1"/>
  <c r="K118" i="22" s="1"/>
  <c r="K110" i="22"/>
  <c r="K103" i="22"/>
  <c r="K109" i="22"/>
  <c r="K102" i="22"/>
  <c r="Q90" i="20"/>
  <c r="Q80" i="20"/>
  <c r="Q88" i="20"/>
  <c r="Q89" i="20"/>
  <c r="Q42" i="20"/>
  <c r="Q98" i="20" s="1"/>
  <c r="Q40" i="20"/>
  <c r="Q96" i="20" s="1"/>
  <c r="Q41" i="20"/>
  <c r="Q97" i="20" s="1"/>
  <c r="K90" i="20"/>
  <c r="K80" i="20"/>
  <c r="K88" i="20"/>
  <c r="K42" i="20"/>
  <c r="K98" i="20" s="1"/>
  <c r="K40" i="20"/>
  <c r="K96" i="20" s="1"/>
  <c r="K89" i="20"/>
  <c r="K41" i="20"/>
  <c r="K97" i="20" s="1"/>
  <c r="K142" i="20"/>
  <c r="K146" i="20" s="1"/>
  <c r="K135" i="20"/>
  <c r="K141" i="20"/>
  <c r="K134" i="20"/>
  <c r="K138" i="20" s="1"/>
  <c r="Q142" i="20"/>
  <c r="Q146" i="20" s="1"/>
  <c r="Q135" i="20"/>
  <c r="Q134" i="20"/>
  <c r="Q138" i="20" s="1"/>
  <c r="Q141" i="20"/>
  <c r="Q109" i="20"/>
  <c r="Q102" i="20"/>
  <c r="Q117" i="20"/>
  <c r="Q110" i="20"/>
  <c r="Q103" i="20"/>
  <c r="Q118" i="20"/>
  <c r="K109" i="20"/>
  <c r="K102" i="20"/>
  <c r="K117" i="20"/>
  <c r="K110" i="20"/>
  <c r="K103" i="20"/>
  <c r="K118" i="20"/>
  <c r="V128" i="6"/>
  <c r="V130" i="6" s="1"/>
  <c r="S128" i="6"/>
  <c r="R128" i="6"/>
  <c r="Q128" i="6"/>
  <c r="Q130" i="6" s="1"/>
  <c r="T128" i="6"/>
  <c r="O128" i="6"/>
  <c r="O130" i="6" s="1"/>
  <c r="W128" i="6"/>
  <c r="W130" i="6" s="1"/>
  <c r="P128" i="6"/>
  <c r="U128" i="6"/>
  <c r="U130" i="6" s="1"/>
  <c r="R118" i="6"/>
  <c r="R121" i="6" s="1"/>
  <c r="U112" i="6"/>
  <c r="U115" i="6" s="1"/>
  <c r="O105" i="6"/>
  <c r="O107" i="6" s="1"/>
  <c r="W112" i="6"/>
  <c r="W115" i="6" s="1"/>
  <c r="W105" i="6"/>
  <c r="W107" i="6" s="1"/>
  <c r="V112" i="6"/>
  <c r="V115" i="6" s="1"/>
  <c r="O112" i="6"/>
  <c r="O115" i="6" s="1"/>
  <c r="U105" i="6"/>
  <c r="U107" i="6" s="1"/>
  <c r="V105" i="6"/>
  <c r="V107" i="6" s="1"/>
  <c r="V54" i="6"/>
  <c r="U54" i="6"/>
  <c r="W54" i="6"/>
  <c r="H39" i="6"/>
  <c r="M87" i="6"/>
  <c r="G62" i="6"/>
  <c r="G39" i="6"/>
  <c r="J62" i="6"/>
  <c r="M38" i="6"/>
  <c r="I84" i="6"/>
  <c r="M35" i="6"/>
  <c r="N35" i="6" s="1"/>
  <c r="H60" i="6"/>
  <c r="I52" i="6"/>
  <c r="N84" i="6"/>
  <c r="I36" i="6"/>
  <c r="I92" i="6" s="1"/>
  <c r="H49" i="6"/>
  <c r="I49" i="6"/>
  <c r="L57" i="6"/>
  <c r="N57" i="6"/>
  <c r="J57" i="6"/>
  <c r="I60" i="6"/>
  <c r="F84" i="6"/>
  <c r="J60" i="6"/>
  <c r="N44" i="6"/>
  <c r="N36" i="6"/>
  <c r="N60" i="6"/>
  <c r="J52" i="6"/>
  <c r="H84" i="6"/>
  <c r="G52" i="6"/>
  <c r="E86" i="6"/>
  <c r="F70" i="6"/>
  <c r="M86" i="6"/>
  <c r="M62" i="6"/>
  <c r="G86" i="6"/>
  <c r="G70" i="6"/>
  <c r="F38" i="6"/>
  <c r="F86" i="6"/>
  <c r="H57" i="6"/>
  <c r="N49" i="6"/>
  <c r="E47" i="6"/>
  <c r="I35" i="6"/>
  <c r="E36" i="6"/>
  <c r="E92" i="6" s="1"/>
  <c r="G93" i="6"/>
  <c r="G94" i="6"/>
  <c r="J92" i="6"/>
  <c r="J49" i="6"/>
  <c r="G61" i="6"/>
  <c r="F72" i="6"/>
  <c r="F49" i="6"/>
  <c r="F36" i="6"/>
  <c r="G73" i="6"/>
  <c r="J69" i="6"/>
  <c r="G64" i="6"/>
  <c r="F57" i="6"/>
  <c r="G69" i="6"/>
  <c r="J48" i="6"/>
  <c r="E39" i="6"/>
  <c r="E95" i="6" s="1"/>
  <c r="G72" i="6"/>
  <c r="F44" i="6"/>
  <c r="J85" i="6"/>
  <c r="J37" i="6"/>
  <c r="J93" i="6" s="1"/>
  <c r="G85" i="6"/>
  <c r="I69" i="6"/>
  <c r="F34" i="6"/>
  <c r="F88" i="6" s="1"/>
  <c r="D65" i="2"/>
  <c r="D66" i="2" s="1"/>
  <c r="B67" i="2"/>
  <c r="G8" i="2"/>
  <c r="G9" i="2"/>
  <c r="B32" i="2"/>
  <c r="D31" i="2"/>
  <c r="C31" i="2"/>
  <c r="F8" i="2"/>
  <c r="F9" i="2"/>
  <c r="N39" i="6"/>
  <c r="N87" i="6"/>
  <c r="J87" i="6"/>
  <c r="J39" i="6"/>
  <c r="H6" i="2"/>
  <c r="H86" i="6"/>
  <c r="H38" i="6"/>
  <c r="H62" i="6"/>
  <c r="H56" i="6"/>
  <c r="H72" i="6"/>
  <c r="H34" i="6"/>
  <c r="H89" i="6" s="1"/>
  <c r="H70" i="6"/>
  <c r="I62" i="6"/>
  <c r="I38" i="6"/>
  <c r="I94" i="6" s="1"/>
  <c r="I70" i="6"/>
  <c r="I56" i="6"/>
  <c r="K70" i="6"/>
  <c r="K86" i="6"/>
  <c r="K62" i="6"/>
  <c r="K38" i="6"/>
  <c r="F59" i="2"/>
  <c r="E60" i="2"/>
  <c r="E61" i="2" s="1"/>
  <c r="E62" i="2" s="1"/>
  <c r="J65" i="6"/>
  <c r="B10" i="2"/>
  <c r="I57" i="6"/>
  <c r="H35" i="6"/>
  <c r="H23" i="6" s="1"/>
  <c r="E94" i="6"/>
  <c r="E34" i="6"/>
  <c r="E41" i="6" s="1"/>
  <c r="E97" i="6" s="1"/>
  <c r="F39" i="6"/>
  <c r="F65" i="6"/>
  <c r="Z6" i="6"/>
  <c r="L128" i="6"/>
  <c r="G49" i="6"/>
  <c r="I39" i="6"/>
  <c r="I95" i="6" s="1"/>
  <c r="I87" i="6"/>
  <c r="I64" i="6"/>
  <c r="I72" i="6"/>
  <c r="I48" i="6"/>
  <c r="F128" i="6"/>
  <c r="F35" i="6"/>
  <c r="H73" i="6"/>
  <c r="H48" i="6"/>
  <c r="H69" i="6"/>
  <c r="H37" i="6"/>
  <c r="H93" i="6" s="1"/>
  <c r="H65" i="6"/>
  <c r="E37" i="6"/>
  <c r="E93" i="6" s="1"/>
  <c r="N128" i="6"/>
  <c r="F87" i="6"/>
  <c r="F48" i="6"/>
  <c r="F64" i="6"/>
  <c r="G36" i="6"/>
  <c r="G92" i="6" s="1"/>
  <c r="G65" i="6"/>
  <c r="G60" i="6"/>
  <c r="G56" i="6"/>
  <c r="G34" i="6"/>
  <c r="G48" i="6"/>
  <c r="H52" i="6"/>
  <c r="H64" i="6"/>
  <c r="H36" i="6"/>
  <c r="J38" i="6"/>
  <c r="J86" i="6"/>
  <c r="J64" i="6"/>
  <c r="J56" i="6"/>
  <c r="J73" i="6"/>
  <c r="M128" i="6"/>
  <c r="J128" i="6"/>
  <c r="K128" i="6"/>
  <c r="G128" i="6"/>
  <c r="H128" i="6"/>
  <c r="E128" i="6"/>
  <c r="I128" i="6"/>
  <c r="G57" i="6"/>
  <c r="G84" i="6"/>
  <c r="H85" i="6"/>
  <c r="F56" i="6"/>
  <c r="J72" i="6"/>
  <c r="N38" i="6"/>
  <c r="N62" i="6"/>
  <c r="N86" i="6"/>
  <c r="J34" i="6"/>
  <c r="I34" i="6"/>
  <c r="I93" i="6"/>
  <c r="L52" i="6"/>
  <c r="L49" i="6"/>
  <c r="M84" i="6"/>
  <c r="M36" i="6"/>
  <c r="M52" i="6"/>
  <c r="M44" i="6"/>
  <c r="I61" i="6"/>
  <c r="I73" i="6"/>
  <c r="I65" i="6"/>
  <c r="I85" i="6"/>
  <c r="J44" i="6"/>
  <c r="F37" i="6"/>
  <c r="F93" i="6" s="1"/>
  <c r="K39" i="6"/>
  <c r="F73" i="6"/>
  <c r="F61" i="6"/>
  <c r="J84" i="6"/>
  <c r="F69" i="6"/>
  <c r="M49" i="6"/>
  <c r="L60" i="6"/>
  <c r="L62" i="6"/>
  <c r="M57" i="6"/>
  <c r="L84" i="6"/>
  <c r="L44" i="6"/>
  <c r="L92" i="6" s="1"/>
  <c r="M60" i="6"/>
  <c r="L39" i="6"/>
  <c r="L86" i="6"/>
  <c r="L70" i="6"/>
  <c r="Q145" i="22" l="1"/>
  <c r="Q147" i="22" s="1"/>
  <c r="Q148" i="22"/>
  <c r="K37" i="23"/>
  <c r="K93" i="23" s="1"/>
  <c r="K85" i="23"/>
  <c r="K69" i="23"/>
  <c r="K73" i="23"/>
  <c r="K48" i="23"/>
  <c r="K56" i="23"/>
  <c r="K72" i="23"/>
  <c r="K61" i="23"/>
  <c r="K34" i="23"/>
  <c r="K89" i="23" s="1"/>
  <c r="Q20" i="25"/>
  <c r="Q22" i="25" s="1"/>
  <c r="Q136" i="22"/>
  <c r="Q137" i="22" s="1"/>
  <c r="Q90" i="22"/>
  <c r="Q40" i="22"/>
  <c r="Q96" i="22" s="1"/>
  <c r="Q109" i="22"/>
  <c r="Q41" i="22"/>
  <c r="Q97" i="22" s="1"/>
  <c r="Q103" i="22"/>
  <c r="Q42" i="22"/>
  <c r="Q98" i="22" s="1"/>
  <c r="Q110" i="22"/>
  <c r="Q89" i="22"/>
  <c r="Q117" i="22"/>
  <c r="Q119" i="22" s="1"/>
  <c r="Q80" i="22"/>
  <c r="Q118" i="22"/>
  <c r="Q180" i="25"/>
  <c r="K18" i="25"/>
  <c r="L55" i="25" s="1"/>
  <c r="K174" i="25"/>
  <c r="L174" i="25" s="1"/>
  <c r="Q113" i="23"/>
  <c r="N92" i="6"/>
  <c r="R46" i="25"/>
  <c r="R94" i="25" s="1"/>
  <c r="R54" i="25"/>
  <c r="R55" i="25"/>
  <c r="R78" i="25"/>
  <c r="Q155" i="25"/>
  <c r="Q154" i="25"/>
  <c r="Q17" i="25" s="1"/>
  <c r="K155" i="25"/>
  <c r="K154" i="25"/>
  <c r="K17" i="25" s="1"/>
  <c r="K25" i="24"/>
  <c r="K23" i="24"/>
  <c r="K21" i="24"/>
  <c r="K152" i="24"/>
  <c r="K151" i="24"/>
  <c r="K154" i="24" s="1"/>
  <c r="K117" i="22"/>
  <c r="K119" i="22" s="1"/>
  <c r="K121" i="22" s="1"/>
  <c r="K42" i="22"/>
  <c r="K98" i="22" s="1"/>
  <c r="K89" i="22"/>
  <c r="K80" i="22"/>
  <c r="K88" i="22"/>
  <c r="K40" i="22"/>
  <c r="K96" i="22" s="1"/>
  <c r="K90" i="22"/>
  <c r="Q104" i="23"/>
  <c r="Q105" i="23" s="1"/>
  <c r="Q107" i="23" s="1"/>
  <c r="Q106" i="23"/>
  <c r="K118" i="23"/>
  <c r="K109" i="23"/>
  <c r="K102" i="23"/>
  <c r="K110" i="23"/>
  <c r="K103" i="23"/>
  <c r="K117" i="23"/>
  <c r="Q114" i="23"/>
  <c r="Q111" i="23"/>
  <c r="Q112" i="23" s="1"/>
  <c r="K113" i="22"/>
  <c r="K42" i="23"/>
  <c r="K98" i="23" s="1"/>
  <c r="Q149" i="23"/>
  <c r="Q148" i="23"/>
  <c r="Q145" i="23"/>
  <c r="Q147" i="23" s="1"/>
  <c r="Q119" i="23"/>
  <c r="Q121" i="23" s="1"/>
  <c r="Q120" i="23"/>
  <c r="Q139" i="23"/>
  <c r="Q136" i="23"/>
  <c r="Q137" i="23" s="1"/>
  <c r="Q14" i="23"/>
  <c r="K142" i="23"/>
  <c r="K146" i="23" s="1"/>
  <c r="K135" i="23"/>
  <c r="K141" i="23"/>
  <c r="K134" i="23"/>
  <c r="K138" i="23" s="1"/>
  <c r="K114" i="22"/>
  <c r="K111" i="22"/>
  <c r="K112" i="22" s="1"/>
  <c r="Q106" i="22"/>
  <c r="Q104" i="22"/>
  <c r="Q105" i="22" s="1"/>
  <c r="K142" i="22"/>
  <c r="K146" i="22" s="1"/>
  <c r="K135" i="22"/>
  <c r="K141" i="22"/>
  <c r="K134" i="22"/>
  <c r="K138" i="22" s="1"/>
  <c r="K106" i="22"/>
  <c r="K104" i="22"/>
  <c r="K105" i="22" s="1"/>
  <c r="K107" i="22" s="1"/>
  <c r="K14" i="20"/>
  <c r="K25" i="20" s="1"/>
  <c r="Q14" i="20"/>
  <c r="Q21" i="20" s="1"/>
  <c r="K113" i="20"/>
  <c r="Q113" i="20"/>
  <c r="K106" i="20"/>
  <c r="K104" i="20"/>
  <c r="K105" i="20" s="1"/>
  <c r="K107" i="20" s="1"/>
  <c r="Q106" i="20"/>
  <c r="Q104" i="20"/>
  <c r="Q105" i="20" s="1"/>
  <c r="Q107" i="20" s="1"/>
  <c r="K136" i="20"/>
  <c r="K137" i="20" s="1"/>
  <c r="K139" i="20"/>
  <c r="K114" i="20"/>
  <c r="K111" i="20"/>
  <c r="K112" i="20" s="1"/>
  <c r="Q111" i="20"/>
  <c r="Q112" i="20" s="1"/>
  <c r="Q114" i="20"/>
  <c r="K149" i="20"/>
  <c r="K148" i="20"/>
  <c r="K145" i="20"/>
  <c r="K147" i="20" s="1"/>
  <c r="Q139" i="20"/>
  <c r="Q136" i="20"/>
  <c r="Q137" i="20" s="1"/>
  <c r="Q149" i="20"/>
  <c r="Q148" i="20"/>
  <c r="Q145" i="20"/>
  <c r="Q147" i="20" s="1"/>
  <c r="K119" i="20"/>
  <c r="K121" i="20" s="1"/>
  <c r="K120" i="20"/>
  <c r="Q119" i="20"/>
  <c r="Q121" i="20" s="1"/>
  <c r="Q120" i="20"/>
  <c r="U55" i="6"/>
  <c r="W55" i="6"/>
  <c r="V55" i="6"/>
  <c r="K35" i="6"/>
  <c r="L35" i="6" s="1"/>
  <c r="J35" i="6"/>
  <c r="E42" i="6"/>
  <c r="E98" i="6" s="1"/>
  <c r="F89" i="6"/>
  <c r="H88" i="6"/>
  <c r="H40" i="6"/>
  <c r="H96" i="6" s="1"/>
  <c r="H80" i="6"/>
  <c r="H41" i="6"/>
  <c r="H97" i="6" s="1"/>
  <c r="H90" i="6"/>
  <c r="H42" i="6"/>
  <c r="H98" i="6" s="1"/>
  <c r="E123" i="6"/>
  <c r="E129" i="6" s="1"/>
  <c r="E130" i="6" s="1"/>
  <c r="H92" i="6"/>
  <c r="H117" i="6" s="1"/>
  <c r="F92" i="6"/>
  <c r="F118" i="6" s="1"/>
  <c r="E40" i="6"/>
  <c r="E96" i="6" s="1"/>
  <c r="I103" i="6"/>
  <c r="E124" i="6"/>
  <c r="I117" i="6"/>
  <c r="I120" i="6" s="1"/>
  <c r="G134" i="6"/>
  <c r="G138" i="6" s="1"/>
  <c r="F40" i="6"/>
  <c r="F96" i="6" s="1"/>
  <c r="F42" i="6"/>
  <c r="F98" i="6" s="1"/>
  <c r="J118" i="6"/>
  <c r="G135" i="6"/>
  <c r="G139" i="6" s="1"/>
  <c r="F41" i="6"/>
  <c r="F97" i="6" s="1"/>
  <c r="J117" i="6"/>
  <c r="J120" i="6" s="1"/>
  <c r="M92" i="6"/>
  <c r="F90" i="6"/>
  <c r="E109" i="6"/>
  <c r="E114" i="6" s="1"/>
  <c r="E110" i="6"/>
  <c r="E103" i="6"/>
  <c r="E102" i="6"/>
  <c r="E104" i="6" s="1"/>
  <c r="E105" i="6" s="1"/>
  <c r="G10" i="2"/>
  <c r="D10" i="2"/>
  <c r="H10" i="2"/>
  <c r="E10" i="2"/>
  <c r="C10" i="2"/>
  <c r="F10" i="2"/>
  <c r="B11" i="2"/>
  <c r="B33" i="2"/>
  <c r="D32" i="2"/>
  <c r="C32" i="2"/>
  <c r="H8" i="2"/>
  <c r="H9" i="2"/>
  <c r="I6" i="2"/>
  <c r="B69" i="2"/>
  <c r="G59" i="2"/>
  <c r="F60" i="2"/>
  <c r="E65" i="2"/>
  <c r="E66" i="2" s="1"/>
  <c r="I109" i="6"/>
  <c r="I114" i="6" s="1"/>
  <c r="I110" i="6"/>
  <c r="J88" i="6"/>
  <c r="J90" i="6"/>
  <c r="J89" i="6"/>
  <c r="J40" i="6"/>
  <c r="J41" i="6"/>
  <c r="J97" i="6" s="1"/>
  <c r="J80" i="6"/>
  <c r="J42" i="6"/>
  <c r="J98" i="6" s="1"/>
  <c r="G118" i="6"/>
  <c r="G102" i="6"/>
  <c r="G103" i="6"/>
  <c r="G117" i="6"/>
  <c r="I141" i="6"/>
  <c r="I142" i="6"/>
  <c r="I146" i="6" s="1"/>
  <c r="I135" i="6"/>
  <c r="G89" i="6"/>
  <c r="G42" i="6"/>
  <c r="G98" i="6" s="1"/>
  <c r="G90" i="6"/>
  <c r="G41" i="6"/>
  <c r="G97" i="6" s="1"/>
  <c r="G88" i="6"/>
  <c r="G40" i="6"/>
  <c r="G96" i="6" s="1"/>
  <c r="G80" i="6"/>
  <c r="I134" i="6"/>
  <c r="I138" i="6" s="1"/>
  <c r="I123" i="6"/>
  <c r="I124" i="6"/>
  <c r="I40" i="6"/>
  <c r="I96" i="6" s="1"/>
  <c r="I41" i="6"/>
  <c r="I97" i="6" s="1"/>
  <c r="I89" i="6"/>
  <c r="I80" i="6"/>
  <c r="I90" i="6"/>
  <c r="I42" i="6"/>
  <c r="I98" i="6" s="1"/>
  <c r="I88" i="6"/>
  <c r="I118" i="6"/>
  <c r="I102" i="6"/>
  <c r="I106" i="6" s="1"/>
  <c r="E142" i="6"/>
  <c r="E146" i="6" s="1"/>
  <c r="E134" i="6"/>
  <c r="E138" i="6" s="1"/>
  <c r="E141" i="6"/>
  <c r="E135" i="6"/>
  <c r="E117" i="6"/>
  <c r="E118" i="6"/>
  <c r="Q115" i="23" l="1"/>
  <c r="K40" i="23"/>
  <c r="K96" i="23" s="1"/>
  <c r="K90" i="23"/>
  <c r="K88" i="23"/>
  <c r="K80" i="23"/>
  <c r="K41" i="23"/>
  <c r="K97" i="23" s="1"/>
  <c r="K14" i="23" s="1"/>
  <c r="K23" i="23" s="1"/>
  <c r="K113" i="23"/>
  <c r="J174" i="25"/>
  <c r="L54" i="25"/>
  <c r="L46" i="25"/>
  <c r="L94" i="25" s="1"/>
  <c r="L123" i="25" s="1"/>
  <c r="Q107" i="22"/>
  <c r="Q120" i="22"/>
  <c r="Q113" i="22"/>
  <c r="Q14" i="22"/>
  <c r="Q24" i="22" s="1"/>
  <c r="Q111" i="22"/>
  <c r="Q112" i="22" s="1"/>
  <c r="Q114" i="22"/>
  <c r="Q121" i="22"/>
  <c r="K20" i="25"/>
  <c r="K22" i="25" s="1"/>
  <c r="L78" i="25"/>
  <c r="K120" i="22"/>
  <c r="Q159" i="25"/>
  <c r="Q160" i="25" s="1"/>
  <c r="Q19" i="25"/>
  <c r="K159" i="25"/>
  <c r="K160" i="25" s="1"/>
  <c r="K19" i="25"/>
  <c r="R124" i="25"/>
  <c r="R123" i="25"/>
  <c r="R102" i="25"/>
  <c r="R134" i="25"/>
  <c r="R138" i="25" s="1"/>
  <c r="R103" i="25"/>
  <c r="R135" i="25"/>
  <c r="L124" i="25"/>
  <c r="L134" i="25"/>
  <c r="L138" i="25" s="1"/>
  <c r="L102" i="25"/>
  <c r="K155" i="24"/>
  <c r="K19" i="24" s="1"/>
  <c r="K18" i="24"/>
  <c r="L55" i="24" s="1"/>
  <c r="K174" i="24"/>
  <c r="J174" i="24" s="1"/>
  <c r="K16" i="24"/>
  <c r="L68" i="24" s="1"/>
  <c r="K17" i="24"/>
  <c r="L174" i="24"/>
  <c r="K21" i="20"/>
  <c r="K14" i="22"/>
  <c r="K21" i="22" s="1"/>
  <c r="K159" i="24"/>
  <c r="K160" i="24" s="1"/>
  <c r="K115" i="20"/>
  <c r="K115" i="22"/>
  <c r="K24" i="20"/>
  <c r="Q24" i="20"/>
  <c r="Q115" i="20"/>
  <c r="Q152" i="20" s="1"/>
  <c r="Q23" i="20"/>
  <c r="Q25" i="20"/>
  <c r="Q152" i="23"/>
  <c r="Q180" i="23" s="1"/>
  <c r="Q23" i="23"/>
  <c r="Q25" i="23"/>
  <c r="Q24" i="23"/>
  <c r="Q21" i="23"/>
  <c r="K104" i="23"/>
  <c r="K105" i="23" s="1"/>
  <c r="K107" i="23" s="1"/>
  <c r="K106" i="23"/>
  <c r="K114" i="23"/>
  <c r="K111" i="23"/>
  <c r="K112" i="23" s="1"/>
  <c r="K23" i="20"/>
  <c r="K149" i="23"/>
  <c r="K148" i="23"/>
  <c r="K145" i="23"/>
  <c r="K147" i="23" s="1"/>
  <c r="K119" i="23"/>
  <c r="K121" i="23" s="1"/>
  <c r="K120" i="23"/>
  <c r="Q151" i="23"/>
  <c r="K136" i="23"/>
  <c r="K137" i="23" s="1"/>
  <c r="K139" i="23"/>
  <c r="K149" i="22"/>
  <c r="K148" i="22"/>
  <c r="K145" i="22"/>
  <c r="K147" i="22" s="1"/>
  <c r="Q25" i="22"/>
  <c r="K139" i="22"/>
  <c r="K136" i="22"/>
  <c r="K137" i="22" s="1"/>
  <c r="Q151" i="20"/>
  <c r="Q154" i="20" s="1"/>
  <c r="K152" i="20"/>
  <c r="K151" i="20"/>
  <c r="J96" i="6"/>
  <c r="J14" i="6" s="1"/>
  <c r="E14" i="6"/>
  <c r="E23" i="6" s="1"/>
  <c r="F117" i="6"/>
  <c r="F119" i="6" s="1"/>
  <c r="F121" i="6" s="1"/>
  <c r="I119" i="6"/>
  <c r="I121" i="6" s="1"/>
  <c r="E131" i="6"/>
  <c r="E132" i="6"/>
  <c r="E125" i="6"/>
  <c r="H118" i="6"/>
  <c r="E107" i="6"/>
  <c r="E106" i="6"/>
  <c r="E111" i="6"/>
  <c r="E112" i="6" s="1"/>
  <c r="E113" i="6"/>
  <c r="I14" i="6"/>
  <c r="G14" i="6"/>
  <c r="F14" i="6"/>
  <c r="J119" i="6"/>
  <c r="J121" i="6" s="1"/>
  <c r="I111" i="6"/>
  <c r="I112" i="6" s="1"/>
  <c r="G136" i="6"/>
  <c r="G137" i="6" s="1"/>
  <c r="F63" i="2"/>
  <c r="F64" i="2" s="1"/>
  <c r="F61" i="2"/>
  <c r="F62" i="2" s="1"/>
  <c r="F65" i="2"/>
  <c r="F66" i="2" s="1"/>
  <c r="D69" i="2"/>
  <c r="D70" i="2" s="1"/>
  <c r="F69" i="2"/>
  <c r="F70" i="2" s="1"/>
  <c r="B71" i="2"/>
  <c r="E69" i="2"/>
  <c r="E70" i="2" s="1"/>
  <c r="H59" i="2"/>
  <c r="G60" i="2"/>
  <c r="I9" i="2"/>
  <c r="I8" i="2"/>
  <c r="J6" i="2"/>
  <c r="I10" i="2"/>
  <c r="C33" i="2"/>
  <c r="B34" i="2"/>
  <c r="D33" i="2"/>
  <c r="B12" i="2"/>
  <c r="F11" i="2"/>
  <c r="J11" i="2"/>
  <c r="D11" i="2"/>
  <c r="G11" i="2"/>
  <c r="C11" i="2"/>
  <c r="I11" i="2"/>
  <c r="E11" i="2"/>
  <c r="H11" i="2"/>
  <c r="I113" i="6"/>
  <c r="F67" i="2"/>
  <c r="F68" i="2" s="1"/>
  <c r="I145" i="6"/>
  <c r="I147" i="6" s="1"/>
  <c r="I149" i="6"/>
  <c r="I148" i="6"/>
  <c r="G104" i="6"/>
  <c r="G105" i="6" s="1"/>
  <c r="G107" i="6" s="1"/>
  <c r="G106" i="6"/>
  <c r="E149" i="6"/>
  <c r="E145" i="6"/>
  <c r="E147" i="6" s="1"/>
  <c r="E148" i="6"/>
  <c r="H119" i="6"/>
  <c r="H120" i="6"/>
  <c r="I104" i="6"/>
  <c r="I105" i="6" s="1"/>
  <c r="I107" i="6" s="1"/>
  <c r="E120" i="6"/>
  <c r="E119" i="6"/>
  <c r="E121" i="6" s="1"/>
  <c r="I131" i="6"/>
  <c r="I129" i="6"/>
  <c r="I130" i="6" s="1"/>
  <c r="I125" i="6"/>
  <c r="I132" i="6"/>
  <c r="G119" i="6"/>
  <c r="G121" i="6" s="1"/>
  <c r="G120" i="6"/>
  <c r="E136" i="6"/>
  <c r="E137" i="6" s="1"/>
  <c r="E139" i="6"/>
  <c r="I139" i="6"/>
  <c r="I136" i="6"/>
  <c r="I137" i="6" s="1"/>
  <c r="Q151" i="22" l="1"/>
  <c r="Q154" i="22" s="1"/>
  <c r="Q115" i="22"/>
  <c r="Q152" i="22" s="1"/>
  <c r="Q18" i="22" s="1"/>
  <c r="R46" i="22" s="1"/>
  <c r="R94" i="22" s="1"/>
  <c r="K115" i="23"/>
  <c r="L135" i="25"/>
  <c r="L103" i="25"/>
  <c r="Q23" i="22"/>
  <c r="Q21" i="22"/>
  <c r="L54" i="24"/>
  <c r="L46" i="24"/>
  <c r="L94" i="24" s="1"/>
  <c r="L103" i="24" s="1"/>
  <c r="L78" i="24"/>
  <c r="K151" i="22"/>
  <c r="K154" i="22" s="1"/>
  <c r="K24" i="22"/>
  <c r="K25" i="22"/>
  <c r="L106" i="25"/>
  <c r="L104" i="25"/>
  <c r="L105" i="25" s="1"/>
  <c r="R136" i="25"/>
  <c r="R137" i="25" s="1"/>
  <c r="R139" i="25"/>
  <c r="L63" i="25"/>
  <c r="L79" i="25"/>
  <c r="K153" i="25"/>
  <c r="L136" i="25"/>
  <c r="L137" i="25" s="1"/>
  <c r="L139" i="25"/>
  <c r="R63" i="25"/>
  <c r="R79" i="25"/>
  <c r="Q153" i="25"/>
  <c r="Q181" i="25" s="1"/>
  <c r="R106" i="25"/>
  <c r="R104" i="25"/>
  <c r="R105" i="25" s="1"/>
  <c r="R107" i="25" s="1"/>
  <c r="L132" i="25"/>
  <c r="L129" i="25"/>
  <c r="L130" i="25" s="1"/>
  <c r="L125" i="25"/>
  <c r="L131" i="25"/>
  <c r="R132" i="25"/>
  <c r="R129" i="25"/>
  <c r="R130" i="25" s="1"/>
  <c r="R125" i="25"/>
  <c r="R131" i="25"/>
  <c r="K20" i="24"/>
  <c r="K22" i="24" s="1"/>
  <c r="K152" i="22"/>
  <c r="K21" i="23"/>
  <c r="K24" i="23"/>
  <c r="L63" i="24"/>
  <c r="L79" i="24"/>
  <c r="K153" i="24"/>
  <c r="K23" i="22"/>
  <c r="K25" i="23"/>
  <c r="L102" i="24"/>
  <c r="L134" i="24"/>
  <c r="L138" i="24" s="1"/>
  <c r="L135" i="24"/>
  <c r="Q16" i="20"/>
  <c r="R68" i="20" s="1"/>
  <c r="Q18" i="23"/>
  <c r="R46" i="23" s="1"/>
  <c r="R94" i="23" s="1"/>
  <c r="Q180" i="22"/>
  <c r="Q155" i="20"/>
  <c r="Q159" i="20" s="1"/>
  <c r="Q160" i="20" s="1"/>
  <c r="K152" i="23"/>
  <c r="Q155" i="23"/>
  <c r="Q154" i="23"/>
  <c r="Q17" i="23" s="1"/>
  <c r="Q16" i="23"/>
  <c r="R68" i="23" s="1"/>
  <c r="K151" i="23"/>
  <c r="K154" i="20"/>
  <c r="K155" i="20"/>
  <c r="K16" i="20"/>
  <c r="L68" i="20" s="1"/>
  <c r="K176" i="20"/>
  <c r="K174" i="20"/>
  <c r="K18" i="20"/>
  <c r="Q18" i="20"/>
  <c r="Q180" i="20"/>
  <c r="E25" i="6"/>
  <c r="E24" i="6"/>
  <c r="E21" i="6"/>
  <c r="F23" i="6"/>
  <c r="F21" i="6"/>
  <c r="G25" i="6"/>
  <c r="G24" i="6"/>
  <c r="G23" i="6"/>
  <c r="G21" i="6"/>
  <c r="J21" i="6"/>
  <c r="J24" i="6"/>
  <c r="J23" i="6"/>
  <c r="I24" i="6"/>
  <c r="I23" i="6"/>
  <c r="I25" i="6"/>
  <c r="I21" i="6"/>
  <c r="F120" i="6"/>
  <c r="F60" i="6"/>
  <c r="H121" i="6"/>
  <c r="E115" i="6"/>
  <c r="E152" i="6" s="1"/>
  <c r="E18" i="6" s="1"/>
  <c r="I151" i="6"/>
  <c r="I154" i="6" s="1"/>
  <c r="I115" i="6"/>
  <c r="B35" i="2"/>
  <c r="D34" i="2"/>
  <c r="C34" i="2"/>
  <c r="G63" i="2"/>
  <c r="G64" i="2" s="1"/>
  <c r="G61" i="2"/>
  <c r="G62" i="2" s="1"/>
  <c r="G65" i="2"/>
  <c r="G66" i="2" s="1"/>
  <c r="G67" i="2"/>
  <c r="G68" i="2" s="1"/>
  <c r="I59" i="2"/>
  <c r="H60" i="2"/>
  <c r="G69" i="2"/>
  <c r="G70" i="2" s="1"/>
  <c r="J8" i="2"/>
  <c r="K6" i="2"/>
  <c r="J9" i="2"/>
  <c r="J10" i="2"/>
  <c r="C12" i="2"/>
  <c r="E12" i="2"/>
  <c r="B13" i="2"/>
  <c r="H12" i="2"/>
  <c r="F12" i="2"/>
  <c r="G12" i="2"/>
  <c r="J12" i="2"/>
  <c r="D12" i="2"/>
  <c r="I12" i="2"/>
  <c r="G71" i="2"/>
  <c r="G72" i="2" s="1"/>
  <c r="F71" i="2"/>
  <c r="F72" i="2" s="1"/>
  <c r="B73" i="2"/>
  <c r="E151" i="6"/>
  <c r="E16" i="6" s="1"/>
  <c r="Q155" i="22" l="1"/>
  <c r="Q16" i="22"/>
  <c r="R68" i="22" s="1"/>
  <c r="L107" i="25"/>
  <c r="R152" i="25"/>
  <c r="R180" i="25" s="1"/>
  <c r="R151" i="25"/>
  <c r="R155" i="25" s="1"/>
  <c r="L123" i="24"/>
  <c r="L124" i="24"/>
  <c r="L131" i="24" s="1"/>
  <c r="K16" i="22"/>
  <c r="L68" i="22" s="1"/>
  <c r="K155" i="22"/>
  <c r="K159" i="22" s="1"/>
  <c r="K160" i="22" s="1"/>
  <c r="K18" i="22"/>
  <c r="L46" i="22" s="1"/>
  <c r="L94" i="22" s="1"/>
  <c r="K174" i="22"/>
  <c r="L174" i="22" s="1"/>
  <c r="K176" i="22"/>
  <c r="L152" i="25"/>
  <c r="L176" i="25" s="1"/>
  <c r="M176" i="25" s="1"/>
  <c r="R18" i="25"/>
  <c r="K177" i="25"/>
  <c r="K175" i="25"/>
  <c r="L151" i="25"/>
  <c r="L139" i="24"/>
  <c r="L136" i="24"/>
  <c r="L137" i="24" s="1"/>
  <c r="K175" i="24"/>
  <c r="L104" i="24"/>
  <c r="L105" i="24" s="1"/>
  <c r="L107" i="24" s="1"/>
  <c r="L106" i="24"/>
  <c r="R78" i="23"/>
  <c r="R55" i="23"/>
  <c r="R54" i="23"/>
  <c r="R78" i="22"/>
  <c r="Q20" i="23"/>
  <c r="Q22" i="23" s="1"/>
  <c r="R54" i="22"/>
  <c r="R55" i="22"/>
  <c r="Q17" i="22"/>
  <c r="Q19" i="20"/>
  <c r="Q153" i="20" s="1"/>
  <c r="Q181" i="20" s="1"/>
  <c r="R124" i="23"/>
  <c r="R123" i="23"/>
  <c r="R103" i="23"/>
  <c r="R135" i="23"/>
  <c r="R102" i="23"/>
  <c r="R134" i="23"/>
  <c r="R138" i="23" s="1"/>
  <c r="K155" i="23"/>
  <c r="K154" i="23"/>
  <c r="K16" i="23"/>
  <c r="L68" i="23" s="1"/>
  <c r="Q159" i="23"/>
  <c r="Q160" i="23" s="1"/>
  <c r="Q19" i="23"/>
  <c r="K176" i="23"/>
  <c r="K18" i="23"/>
  <c r="K174" i="23"/>
  <c r="Q159" i="22"/>
  <c r="Q160" i="22" s="1"/>
  <c r="Q19" i="22"/>
  <c r="K19" i="22"/>
  <c r="R124" i="22"/>
  <c r="R123" i="22"/>
  <c r="R135" i="22"/>
  <c r="R102" i="22"/>
  <c r="R134" i="22"/>
  <c r="R138" i="22" s="1"/>
  <c r="R103" i="22"/>
  <c r="R46" i="20"/>
  <c r="R94" i="20" s="1"/>
  <c r="R55" i="20"/>
  <c r="R54" i="20"/>
  <c r="R78" i="20"/>
  <c r="Q20" i="20"/>
  <c r="Q22" i="20" s="1"/>
  <c r="Q17" i="20"/>
  <c r="L46" i="20"/>
  <c r="L94" i="20" s="1"/>
  <c r="L54" i="20"/>
  <c r="L55" i="20"/>
  <c r="L78" i="20"/>
  <c r="K20" i="20"/>
  <c r="K22" i="20" s="1"/>
  <c r="K17" i="20"/>
  <c r="K159" i="20"/>
  <c r="K160" i="20" s="1"/>
  <c r="K19" i="20"/>
  <c r="L174" i="20"/>
  <c r="J174" i="20"/>
  <c r="I16" i="6"/>
  <c r="E20" i="6"/>
  <c r="E22" i="6" s="1"/>
  <c r="E162" i="6"/>
  <c r="B14" i="2"/>
  <c r="E13" i="2"/>
  <c r="G13" i="2"/>
  <c r="H13" i="2"/>
  <c r="D13" i="2"/>
  <c r="C13" i="2"/>
  <c r="I13" i="2"/>
  <c r="K13" i="2"/>
  <c r="J13" i="2"/>
  <c r="F13" i="2"/>
  <c r="K8" i="2"/>
  <c r="K9" i="2"/>
  <c r="L6" i="2"/>
  <c r="K10" i="2"/>
  <c r="K11" i="2"/>
  <c r="H63" i="2"/>
  <c r="H64" i="2" s="1"/>
  <c r="H61" i="2"/>
  <c r="H62" i="2" s="1"/>
  <c r="H65" i="2"/>
  <c r="H66" i="2" s="1"/>
  <c r="H67" i="2"/>
  <c r="H68" i="2" s="1"/>
  <c r="H69" i="2"/>
  <c r="H70" i="2" s="1"/>
  <c r="D73" i="2"/>
  <c r="D74" i="2" s="1"/>
  <c r="H73" i="2"/>
  <c r="H74" i="2" s="1"/>
  <c r="F73" i="2"/>
  <c r="F74" i="2" s="1"/>
  <c r="E73" i="2"/>
  <c r="E74" i="2" s="1"/>
  <c r="B75" i="2"/>
  <c r="G73" i="2"/>
  <c r="G74" i="2" s="1"/>
  <c r="H71" i="2"/>
  <c r="H72" i="2" s="1"/>
  <c r="K12" i="2"/>
  <c r="J59" i="2"/>
  <c r="I60" i="2"/>
  <c r="I73" i="2" s="1"/>
  <c r="I74" i="2" s="1"/>
  <c r="C35" i="2"/>
  <c r="B36" i="2"/>
  <c r="D35" i="2"/>
  <c r="F46" i="6"/>
  <c r="F94" i="6" s="1"/>
  <c r="E154" i="6"/>
  <c r="E17" i="6" s="1"/>
  <c r="E155" i="6"/>
  <c r="E19" i="6" s="1"/>
  <c r="Q20" i="22" l="1"/>
  <c r="Q22" i="22" s="1"/>
  <c r="R16" i="25"/>
  <c r="L18" i="25"/>
  <c r="M54" i="25" s="1"/>
  <c r="R154" i="25"/>
  <c r="R17" i="25" s="1"/>
  <c r="S7" i="25" s="1"/>
  <c r="S30" i="25" s="1"/>
  <c r="J174" i="22"/>
  <c r="L125" i="24"/>
  <c r="L132" i="24"/>
  <c r="L152" i="24" s="1"/>
  <c r="L129" i="24"/>
  <c r="L130" i="24" s="1"/>
  <c r="K17" i="22"/>
  <c r="K20" i="22"/>
  <c r="K22" i="22" s="1"/>
  <c r="L78" i="22"/>
  <c r="L54" i="22"/>
  <c r="L55" i="22"/>
  <c r="S68" i="25"/>
  <c r="S6" i="25"/>
  <c r="S29" i="25" s="1"/>
  <c r="L155" i="25"/>
  <c r="L154" i="25"/>
  <c r="L17" i="25" s="1"/>
  <c r="M7" i="25" s="1"/>
  <c r="M30" i="25" s="1"/>
  <c r="L16" i="25"/>
  <c r="M68" i="25" s="1"/>
  <c r="M46" i="25"/>
  <c r="J175" i="25"/>
  <c r="L175" i="25"/>
  <c r="R159" i="25"/>
  <c r="R160" i="25" s="1"/>
  <c r="R19" i="25"/>
  <c r="S46" i="25"/>
  <c r="S55" i="25"/>
  <c r="R25" i="25"/>
  <c r="R20" i="25"/>
  <c r="R22" i="25" s="1"/>
  <c r="S78" i="25"/>
  <c r="L151" i="24"/>
  <c r="L16" i="24" s="1"/>
  <c r="R79" i="20"/>
  <c r="L175" i="24"/>
  <c r="J175" i="24"/>
  <c r="R63" i="20"/>
  <c r="R63" i="23"/>
  <c r="R79" i="23"/>
  <c r="Q153" i="23"/>
  <c r="Q181" i="23" s="1"/>
  <c r="R104" i="23"/>
  <c r="R105" i="23" s="1"/>
  <c r="R107" i="23" s="1"/>
  <c r="R106" i="23"/>
  <c r="R139" i="23"/>
  <c r="R136" i="23"/>
  <c r="R137" i="23" s="1"/>
  <c r="L174" i="23"/>
  <c r="J174" i="23"/>
  <c r="R132" i="23"/>
  <c r="R129" i="23"/>
  <c r="R130" i="23" s="1"/>
  <c r="R125" i="23"/>
  <c r="R131" i="23"/>
  <c r="L46" i="23"/>
  <c r="L94" i="23" s="1"/>
  <c r="L54" i="23"/>
  <c r="L55" i="23"/>
  <c r="L78" i="23"/>
  <c r="K17" i="23"/>
  <c r="K20" i="23"/>
  <c r="K22" i="23" s="1"/>
  <c r="K159" i="23"/>
  <c r="K160" i="23" s="1"/>
  <c r="K19" i="23"/>
  <c r="L63" i="22"/>
  <c r="L79" i="22"/>
  <c r="K153" i="22"/>
  <c r="L124" i="22"/>
  <c r="L123" i="22"/>
  <c r="L102" i="22"/>
  <c r="L135" i="22"/>
  <c r="L103" i="22"/>
  <c r="L134" i="22"/>
  <c r="L138" i="22" s="1"/>
  <c r="R139" i="22"/>
  <c r="R136" i="22"/>
  <c r="R137" i="22" s="1"/>
  <c r="R106" i="22"/>
  <c r="R104" i="22"/>
  <c r="R105" i="22" s="1"/>
  <c r="R107" i="22" s="1"/>
  <c r="R132" i="22"/>
  <c r="R129" i="22"/>
  <c r="R130" i="22" s="1"/>
  <c r="R125" i="22"/>
  <c r="R131" i="22"/>
  <c r="R63" i="22"/>
  <c r="R79" i="22"/>
  <c r="Q153" i="22"/>
  <c r="Q181" i="22" s="1"/>
  <c r="L63" i="20"/>
  <c r="L79" i="20"/>
  <c r="K153" i="20"/>
  <c r="L123" i="20"/>
  <c r="L124" i="20"/>
  <c r="L103" i="20"/>
  <c r="L102" i="20"/>
  <c r="L134" i="20"/>
  <c r="L138" i="20" s="1"/>
  <c r="L135" i="20"/>
  <c r="R123" i="20"/>
  <c r="R124" i="20"/>
  <c r="R134" i="20"/>
  <c r="R138" i="20" s="1"/>
  <c r="R135" i="20"/>
  <c r="R103" i="20"/>
  <c r="R102" i="20"/>
  <c r="J68" i="6"/>
  <c r="J60" i="2"/>
  <c r="K59" i="2"/>
  <c r="B37" i="2"/>
  <c r="D36" i="2"/>
  <c r="C36" i="2"/>
  <c r="F75" i="2"/>
  <c r="F76" i="2" s="1"/>
  <c r="G75" i="2"/>
  <c r="G76" i="2" s="1"/>
  <c r="H75" i="2"/>
  <c r="H76" i="2" s="1"/>
  <c r="B77" i="2"/>
  <c r="I75" i="2"/>
  <c r="I76" i="2" s="1"/>
  <c r="J75" i="2"/>
  <c r="J76" i="2" s="1"/>
  <c r="L9" i="2"/>
  <c r="M6" i="2"/>
  <c r="L8" i="2"/>
  <c r="L10" i="2"/>
  <c r="L11" i="2"/>
  <c r="L12" i="2"/>
  <c r="I63" i="2"/>
  <c r="I64" i="2" s="1"/>
  <c r="I61" i="2"/>
  <c r="I62" i="2" s="1"/>
  <c r="I65" i="2"/>
  <c r="I66" i="2" s="1"/>
  <c r="I67" i="2"/>
  <c r="I68" i="2" s="1"/>
  <c r="I69" i="2"/>
  <c r="I70" i="2" s="1"/>
  <c r="I71" i="2"/>
  <c r="I72" i="2" s="1"/>
  <c r="L13" i="2"/>
  <c r="B15" i="2"/>
  <c r="J14" i="2"/>
  <c r="G14" i="2"/>
  <c r="F14" i="2"/>
  <c r="H14" i="2"/>
  <c r="E14" i="2"/>
  <c r="D14" i="2"/>
  <c r="L14" i="2"/>
  <c r="C14" i="2"/>
  <c r="K14" i="2"/>
  <c r="I14" i="2"/>
  <c r="F68" i="6"/>
  <c r="E159" i="6"/>
  <c r="E160" i="6" s="1"/>
  <c r="F103" i="6"/>
  <c r="F134" i="6"/>
  <c r="F138" i="6" s="1"/>
  <c r="F102" i="6"/>
  <c r="F135" i="6"/>
  <c r="M78" i="25" l="1"/>
  <c r="L25" i="25"/>
  <c r="M55" i="25"/>
  <c r="L155" i="24"/>
  <c r="L154" i="24"/>
  <c r="S69" i="25"/>
  <c r="S65" i="25"/>
  <c r="S85" i="25"/>
  <c r="S61" i="25"/>
  <c r="S73" i="25"/>
  <c r="S48" i="25"/>
  <c r="S37" i="25"/>
  <c r="S93" i="25" s="1"/>
  <c r="S56" i="25"/>
  <c r="S63" i="25"/>
  <c r="R153" i="25"/>
  <c r="R181" i="25" s="1"/>
  <c r="R24" i="25"/>
  <c r="S79" i="25"/>
  <c r="M69" i="25"/>
  <c r="M65" i="25"/>
  <c r="M85" i="25"/>
  <c r="M61" i="25"/>
  <c r="M73" i="25"/>
  <c r="M48" i="25"/>
  <c r="M37" i="25"/>
  <c r="M93" i="25" s="1"/>
  <c r="M56" i="25"/>
  <c r="M72" i="25"/>
  <c r="M34" i="25"/>
  <c r="M64" i="25"/>
  <c r="L20" i="25"/>
  <c r="L22" i="25" s="1"/>
  <c r="L159" i="25"/>
  <c r="L160" i="25" s="1"/>
  <c r="L19" i="25"/>
  <c r="S72" i="25"/>
  <c r="S57" i="25"/>
  <c r="S84" i="25"/>
  <c r="S60" i="25"/>
  <c r="S52" i="25"/>
  <c r="S47" i="25"/>
  <c r="S44" i="25"/>
  <c r="S34" i="25"/>
  <c r="S49" i="25"/>
  <c r="S36" i="25"/>
  <c r="S92" i="25" s="1"/>
  <c r="S64" i="25"/>
  <c r="S54" i="25"/>
  <c r="M68" i="24"/>
  <c r="M6" i="24"/>
  <c r="M29" i="24" s="1"/>
  <c r="L18" i="24"/>
  <c r="L176" i="24"/>
  <c r="L159" i="24"/>
  <c r="L160" i="24" s="1"/>
  <c r="L19" i="24"/>
  <c r="R152" i="23"/>
  <c r="R18" i="23" s="1"/>
  <c r="L124" i="23"/>
  <c r="L123" i="23"/>
  <c r="L103" i="23"/>
  <c r="L102" i="23"/>
  <c r="L135" i="23"/>
  <c r="L134" i="23"/>
  <c r="L138" i="23" s="1"/>
  <c r="R152" i="22"/>
  <c r="R18" i="22" s="1"/>
  <c r="L63" i="23"/>
  <c r="L79" i="23"/>
  <c r="K153" i="23"/>
  <c r="R151" i="23"/>
  <c r="K177" i="22"/>
  <c r="K175" i="22"/>
  <c r="L139" i="22"/>
  <c r="L136" i="22"/>
  <c r="L137" i="22" s="1"/>
  <c r="R151" i="22"/>
  <c r="L106" i="22"/>
  <c r="L104" i="22"/>
  <c r="L105" i="22" s="1"/>
  <c r="L107" i="22" s="1"/>
  <c r="L132" i="22"/>
  <c r="L129" i="22"/>
  <c r="L130" i="22" s="1"/>
  <c r="L125" i="22"/>
  <c r="L131" i="22"/>
  <c r="R104" i="20"/>
  <c r="R105" i="20" s="1"/>
  <c r="R107" i="20" s="1"/>
  <c r="R106" i="20"/>
  <c r="R132" i="20"/>
  <c r="R129" i="20"/>
  <c r="R130" i="20" s="1"/>
  <c r="R131" i="20"/>
  <c r="R125" i="20"/>
  <c r="L132" i="20"/>
  <c r="L129" i="20"/>
  <c r="L130" i="20" s="1"/>
  <c r="L131" i="20"/>
  <c r="L125" i="20"/>
  <c r="L136" i="20"/>
  <c r="L137" i="20" s="1"/>
  <c r="L139" i="20"/>
  <c r="R136" i="20"/>
  <c r="R137" i="20" s="1"/>
  <c r="R139" i="20"/>
  <c r="L104" i="20"/>
  <c r="L105" i="20" s="1"/>
  <c r="L107" i="20" s="1"/>
  <c r="L106" i="20"/>
  <c r="K177" i="20"/>
  <c r="K175" i="20"/>
  <c r="F47" i="6"/>
  <c r="F95" i="6" s="1"/>
  <c r="F124" i="6" s="1"/>
  <c r="F55" i="6"/>
  <c r="F54" i="6" s="1"/>
  <c r="C15" i="2"/>
  <c r="I15" i="2"/>
  <c r="K15" i="2"/>
  <c r="B16" i="2"/>
  <c r="J15" i="2"/>
  <c r="G15" i="2"/>
  <c r="M15" i="2"/>
  <c r="F15" i="2"/>
  <c r="H15" i="2"/>
  <c r="E15" i="2"/>
  <c r="D15" i="2"/>
  <c r="L15" i="2"/>
  <c r="N6" i="2"/>
  <c r="M9" i="2"/>
  <c r="M8" i="2"/>
  <c r="M10" i="2"/>
  <c r="M11" i="2"/>
  <c r="M12" i="2"/>
  <c r="M13" i="2"/>
  <c r="B38" i="2"/>
  <c r="D37" i="2"/>
  <c r="C37" i="2"/>
  <c r="L59" i="2"/>
  <c r="K60" i="2"/>
  <c r="M14" i="2"/>
  <c r="J77" i="2"/>
  <c r="J78" i="2" s="1"/>
  <c r="B79" i="2"/>
  <c r="G77" i="2"/>
  <c r="G78" i="2" s="1"/>
  <c r="D77" i="2"/>
  <c r="D78" i="2" s="1"/>
  <c r="H77" i="2"/>
  <c r="H78" i="2" s="1"/>
  <c r="E77" i="2"/>
  <c r="E78" i="2" s="1"/>
  <c r="I77" i="2"/>
  <c r="I78" i="2" s="1"/>
  <c r="F77" i="2"/>
  <c r="F78" i="2" s="1"/>
  <c r="J63" i="2"/>
  <c r="J64" i="2" s="1"/>
  <c r="J61" i="2"/>
  <c r="J62" i="2" s="1"/>
  <c r="J65" i="2"/>
  <c r="J66" i="2" s="1"/>
  <c r="J67" i="2"/>
  <c r="J68" i="2" s="1"/>
  <c r="J69" i="2"/>
  <c r="J70" i="2" s="1"/>
  <c r="J71" i="2"/>
  <c r="J72" i="2" s="1"/>
  <c r="J73" i="2"/>
  <c r="J74" i="2" s="1"/>
  <c r="F104" i="6"/>
  <c r="F105" i="6" s="1"/>
  <c r="F107" i="6" s="1"/>
  <c r="F106" i="6"/>
  <c r="E153" i="6"/>
  <c r="F63" i="6"/>
  <c r="F139" i="6"/>
  <c r="F136" i="6"/>
  <c r="F137" i="6" s="1"/>
  <c r="S90" i="25" l="1"/>
  <c r="S89" i="25"/>
  <c r="S88" i="25"/>
  <c r="S80" i="25"/>
  <c r="S41" i="25"/>
  <c r="S97" i="25" s="1"/>
  <c r="S40" i="25"/>
  <c r="S96" i="25" s="1"/>
  <c r="S42" i="25"/>
  <c r="S98" i="25" s="1"/>
  <c r="M90" i="25"/>
  <c r="M89" i="25"/>
  <c r="M88" i="25"/>
  <c r="M80" i="25"/>
  <c r="M41" i="25"/>
  <c r="M97" i="25" s="1"/>
  <c r="M40" i="25"/>
  <c r="M96" i="25" s="1"/>
  <c r="M42" i="25"/>
  <c r="M98" i="25" s="1"/>
  <c r="M47" i="24"/>
  <c r="M63" i="25"/>
  <c r="L153" i="25"/>
  <c r="L177" i="25" s="1"/>
  <c r="M177" i="25" s="1"/>
  <c r="L24" i="25"/>
  <c r="M79" i="25"/>
  <c r="M142" i="25"/>
  <c r="M146" i="25" s="1"/>
  <c r="M135" i="25"/>
  <c r="M141" i="25"/>
  <c r="M134" i="25"/>
  <c r="M138" i="25" s="1"/>
  <c r="M118" i="25"/>
  <c r="M117" i="25"/>
  <c r="S118" i="25"/>
  <c r="S117" i="25"/>
  <c r="S110" i="25"/>
  <c r="S103" i="25"/>
  <c r="S109" i="25"/>
  <c r="S102" i="25"/>
  <c r="S142" i="25"/>
  <c r="S146" i="25" s="1"/>
  <c r="S135" i="25"/>
  <c r="S141" i="25"/>
  <c r="S134" i="25"/>
  <c r="S138" i="25" s="1"/>
  <c r="M44" i="24"/>
  <c r="M84" i="24"/>
  <c r="M52" i="24"/>
  <c r="M36" i="24"/>
  <c r="M92" i="24" s="1"/>
  <c r="M57" i="24"/>
  <c r="M60" i="24"/>
  <c r="M49" i="24"/>
  <c r="M176" i="24"/>
  <c r="K176" i="24"/>
  <c r="M63" i="24"/>
  <c r="L24" i="24"/>
  <c r="L153" i="24"/>
  <c r="L177" i="24" s="1"/>
  <c r="M79" i="24"/>
  <c r="R180" i="23"/>
  <c r="M46" i="24"/>
  <c r="M54" i="24"/>
  <c r="M55" i="24"/>
  <c r="L20" i="24"/>
  <c r="L22" i="24" s="1"/>
  <c r="L17" i="24"/>
  <c r="M7" i="24" s="1"/>
  <c r="L25" i="24"/>
  <c r="M78" i="24"/>
  <c r="L152" i="20"/>
  <c r="L176" i="20" s="1"/>
  <c r="M176" i="20" s="1"/>
  <c r="L152" i="22"/>
  <c r="L176" i="22" s="1"/>
  <c r="M176" i="22" s="1"/>
  <c r="R180" i="22"/>
  <c r="L139" i="23"/>
  <c r="L136" i="23"/>
  <c r="L137" i="23" s="1"/>
  <c r="L104" i="23"/>
  <c r="L105" i="23" s="1"/>
  <c r="L107" i="23" s="1"/>
  <c r="L106" i="23"/>
  <c r="R155" i="23"/>
  <c r="R154" i="23"/>
  <c r="R17" i="23" s="1"/>
  <c r="S7" i="23" s="1"/>
  <c r="S30" i="23" s="1"/>
  <c r="R16" i="23"/>
  <c r="R20" i="23" s="1"/>
  <c r="R22" i="23" s="1"/>
  <c r="L132" i="23"/>
  <c r="L129" i="23"/>
  <c r="L130" i="23" s="1"/>
  <c r="L125" i="23"/>
  <c r="L131" i="23"/>
  <c r="K177" i="23"/>
  <c r="K175" i="23"/>
  <c r="S46" i="23"/>
  <c r="S55" i="23"/>
  <c r="R25" i="23"/>
  <c r="S78" i="23"/>
  <c r="L151" i="22"/>
  <c r="J175" i="22"/>
  <c r="L175" i="22"/>
  <c r="R155" i="22"/>
  <c r="R154" i="22"/>
  <c r="R17" i="22" s="1"/>
  <c r="S7" i="22" s="1"/>
  <c r="S30" i="22" s="1"/>
  <c r="R16" i="22"/>
  <c r="R20" i="22" s="1"/>
  <c r="R22" i="22" s="1"/>
  <c r="S46" i="22"/>
  <c r="S55" i="22"/>
  <c r="R25" i="22"/>
  <c r="S78" i="22"/>
  <c r="L151" i="20"/>
  <c r="R151" i="20"/>
  <c r="L175" i="20"/>
  <c r="J175" i="20"/>
  <c r="R152" i="20"/>
  <c r="F123" i="6"/>
  <c r="F129" i="6" s="1"/>
  <c r="F130" i="6" s="1"/>
  <c r="F141" i="6"/>
  <c r="F145" i="6" s="1"/>
  <c r="F109" i="6"/>
  <c r="F114" i="6" s="1"/>
  <c r="F110" i="6"/>
  <c r="F142" i="6"/>
  <c r="F146" i="6" s="1"/>
  <c r="K63" i="2"/>
  <c r="K64" i="2" s="1"/>
  <c r="K61" i="2"/>
  <c r="K62" i="2" s="1"/>
  <c r="K65" i="2"/>
  <c r="K66" i="2" s="1"/>
  <c r="K67" i="2"/>
  <c r="K68" i="2" s="1"/>
  <c r="K69" i="2"/>
  <c r="K70" i="2" s="1"/>
  <c r="K71" i="2"/>
  <c r="K72" i="2" s="1"/>
  <c r="K73" i="2"/>
  <c r="K74" i="2" s="1"/>
  <c r="K75" i="2"/>
  <c r="K76" i="2" s="1"/>
  <c r="O6" i="2"/>
  <c r="N8" i="2"/>
  <c r="N9" i="2"/>
  <c r="N10" i="2"/>
  <c r="N11" i="2"/>
  <c r="N12" i="2"/>
  <c r="N13" i="2"/>
  <c r="N14" i="2"/>
  <c r="C16" i="2"/>
  <c r="L16" i="2"/>
  <c r="H16" i="2"/>
  <c r="K16" i="2"/>
  <c r="B17" i="2"/>
  <c r="G16" i="2"/>
  <c r="J16" i="2"/>
  <c r="E16" i="2"/>
  <c r="F16" i="2"/>
  <c r="M16" i="2"/>
  <c r="D16" i="2"/>
  <c r="N16" i="2"/>
  <c r="O16" i="2"/>
  <c r="I16" i="2"/>
  <c r="M59" i="2"/>
  <c r="L60" i="2"/>
  <c r="G79" i="2"/>
  <c r="G80" i="2" s="1"/>
  <c r="H79" i="2"/>
  <c r="H80" i="2" s="1"/>
  <c r="K79" i="2"/>
  <c r="K80" i="2" s="1"/>
  <c r="F79" i="2"/>
  <c r="F80" i="2" s="1"/>
  <c r="J79" i="2"/>
  <c r="J80" i="2" s="1"/>
  <c r="I79" i="2"/>
  <c r="I80" i="2" s="1"/>
  <c r="N15" i="2"/>
  <c r="K77" i="2"/>
  <c r="K78" i="2" s="1"/>
  <c r="C38" i="2"/>
  <c r="B39" i="2"/>
  <c r="D38" i="2"/>
  <c r="E163" i="6"/>
  <c r="L18" i="20" l="1"/>
  <c r="M46" i="20" s="1"/>
  <c r="S14" i="25"/>
  <c r="S23" i="25" s="1"/>
  <c r="S113" i="25"/>
  <c r="S149" i="25"/>
  <c r="S145" i="25"/>
  <c r="S147" i="25" s="1"/>
  <c r="S148" i="25"/>
  <c r="M149" i="25"/>
  <c r="M148" i="25"/>
  <c r="M145" i="25"/>
  <c r="M147" i="25" s="1"/>
  <c r="S139" i="25"/>
  <c r="S136" i="25"/>
  <c r="S137" i="25" s="1"/>
  <c r="S120" i="25"/>
  <c r="S119" i="25"/>
  <c r="S121" i="25" s="1"/>
  <c r="M139" i="25"/>
  <c r="M136" i="25"/>
  <c r="M137" i="25" s="1"/>
  <c r="S106" i="25"/>
  <c r="S104" i="25"/>
  <c r="S105" i="25" s="1"/>
  <c r="S107" i="25" s="1"/>
  <c r="M120" i="25"/>
  <c r="M119" i="25"/>
  <c r="M121" i="25" s="1"/>
  <c r="L18" i="22"/>
  <c r="M46" i="22" s="1"/>
  <c r="S114" i="25"/>
  <c r="S111" i="25"/>
  <c r="S112" i="25" s="1"/>
  <c r="S115" i="25" s="1"/>
  <c r="M14" i="25"/>
  <c r="M103" i="24"/>
  <c r="M102" i="24"/>
  <c r="M110" i="24"/>
  <c r="M109" i="24"/>
  <c r="M177" i="24"/>
  <c r="K177" i="24"/>
  <c r="M30" i="24"/>
  <c r="L152" i="23"/>
  <c r="L176" i="23" s="1"/>
  <c r="M176" i="23" s="1"/>
  <c r="L151" i="23"/>
  <c r="R159" i="23"/>
  <c r="R160" i="23" s="1"/>
  <c r="R19" i="23"/>
  <c r="S69" i="23"/>
  <c r="S85" i="23"/>
  <c r="S61" i="23"/>
  <c r="S73" i="23"/>
  <c r="S37" i="23"/>
  <c r="S93" i="23" s="1"/>
  <c r="J175" i="23"/>
  <c r="L175" i="23"/>
  <c r="S68" i="23"/>
  <c r="S6" i="23"/>
  <c r="S29" i="23" s="1"/>
  <c r="S65" i="23" s="1"/>
  <c r="R159" i="22"/>
  <c r="R160" i="22" s="1"/>
  <c r="R19" i="22"/>
  <c r="S68" i="22"/>
  <c r="S6" i="22"/>
  <c r="S29" i="22" s="1"/>
  <c r="S69" i="22"/>
  <c r="S61" i="22"/>
  <c r="S85" i="22"/>
  <c r="S73" i="22"/>
  <c r="S37" i="22"/>
  <c r="S93" i="22" s="1"/>
  <c r="L155" i="22"/>
  <c r="L154" i="22"/>
  <c r="L17" i="22" s="1"/>
  <c r="M7" i="22" s="1"/>
  <c r="M30" i="22" s="1"/>
  <c r="L16" i="22"/>
  <c r="M68" i="22" s="1"/>
  <c r="M55" i="20"/>
  <c r="M54" i="20"/>
  <c r="L25" i="20"/>
  <c r="M78" i="20"/>
  <c r="R155" i="20"/>
  <c r="R154" i="20"/>
  <c r="R16" i="20"/>
  <c r="L155" i="20"/>
  <c r="L154" i="20"/>
  <c r="L17" i="20" s="1"/>
  <c r="M7" i="20" s="1"/>
  <c r="M30" i="20" s="1"/>
  <c r="L16" i="20"/>
  <c r="M68" i="20" s="1"/>
  <c r="R180" i="20"/>
  <c r="R18" i="20"/>
  <c r="F131" i="6"/>
  <c r="F132" i="6"/>
  <c r="F125" i="6"/>
  <c r="F113" i="6"/>
  <c r="F111" i="6"/>
  <c r="F112" i="6" s="1"/>
  <c r="F147" i="6"/>
  <c r="F148" i="6"/>
  <c r="F149" i="6"/>
  <c r="L63" i="2"/>
  <c r="L64" i="2" s="1"/>
  <c r="L61" i="2"/>
  <c r="L62" i="2" s="1"/>
  <c r="L65" i="2"/>
  <c r="L66" i="2" s="1"/>
  <c r="L67" i="2"/>
  <c r="L68" i="2" s="1"/>
  <c r="L69" i="2"/>
  <c r="L70" i="2" s="1"/>
  <c r="L71" i="2"/>
  <c r="L72" i="2" s="1"/>
  <c r="L73" i="2"/>
  <c r="L74" i="2" s="1"/>
  <c r="L75" i="2"/>
  <c r="L76" i="2" s="1"/>
  <c r="L77" i="2"/>
  <c r="L78" i="2" s="1"/>
  <c r="M60" i="2"/>
  <c r="N59" i="2"/>
  <c r="I17" i="2"/>
  <c r="G17" i="2"/>
  <c r="C17" i="2"/>
  <c r="L17" i="2"/>
  <c r="F17" i="2"/>
  <c r="H17" i="2"/>
  <c r="K17" i="2"/>
  <c r="N17" i="2"/>
  <c r="O17" i="2"/>
  <c r="B18" i="2"/>
  <c r="J17" i="2"/>
  <c r="E17" i="2"/>
  <c r="M17" i="2"/>
  <c r="D17" i="2"/>
  <c r="O9" i="2"/>
  <c r="O8" i="2"/>
  <c r="P6" i="2"/>
  <c r="O10" i="2"/>
  <c r="O11" i="2"/>
  <c r="O12" i="2"/>
  <c r="O13" i="2"/>
  <c r="O14" i="2"/>
  <c r="O15" i="2"/>
  <c r="B40" i="2"/>
  <c r="D39" i="2"/>
  <c r="C39" i="2"/>
  <c r="L79" i="2"/>
  <c r="L80" i="2" s="1"/>
  <c r="L18" i="23" l="1"/>
  <c r="M78" i="23" s="1"/>
  <c r="S21" i="25"/>
  <c r="S25" i="25"/>
  <c r="S24" i="25"/>
  <c r="L25" i="22"/>
  <c r="M54" i="22"/>
  <c r="M78" i="22"/>
  <c r="M55" i="22"/>
  <c r="M151" i="25"/>
  <c r="M16" i="25" s="1"/>
  <c r="N68" i="25" s="1"/>
  <c r="S152" i="25"/>
  <c r="S180" i="25" s="1"/>
  <c r="S151" i="25"/>
  <c r="M152" i="25"/>
  <c r="M180" i="25" s="1"/>
  <c r="M24" i="25"/>
  <c r="M25" i="25"/>
  <c r="M21" i="25"/>
  <c r="M23" i="25"/>
  <c r="M104" i="24"/>
  <c r="M105" i="24" s="1"/>
  <c r="M107" i="24" s="1"/>
  <c r="M106" i="24"/>
  <c r="M114" i="24"/>
  <c r="M111" i="24"/>
  <c r="M112" i="24" s="1"/>
  <c r="M113" i="24"/>
  <c r="M73" i="24"/>
  <c r="M72" i="24"/>
  <c r="M56" i="24"/>
  <c r="M64" i="24"/>
  <c r="M37" i="24"/>
  <c r="M93" i="24" s="1"/>
  <c r="M142" i="24" s="1"/>
  <c r="M146" i="24" s="1"/>
  <c r="M69" i="24"/>
  <c r="M65" i="24"/>
  <c r="M34" i="24"/>
  <c r="M90" i="24" s="1"/>
  <c r="M61" i="24"/>
  <c r="M85" i="24"/>
  <c r="M48" i="24"/>
  <c r="S48" i="23"/>
  <c r="S141" i="23"/>
  <c r="S134" i="23"/>
  <c r="S138" i="23" s="1"/>
  <c r="S142" i="23"/>
  <c r="S146" i="23" s="1"/>
  <c r="S135" i="23"/>
  <c r="S72" i="23"/>
  <c r="S57" i="23"/>
  <c r="S84" i="23"/>
  <c r="S60" i="23"/>
  <c r="S49" i="23"/>
  <c r="S36" i="23"/>
  <c r="S92" i="23" s="1"/>
  <c r="S52" i="23"/>
  <c r="S47" i="23"/>
  <c r="S44" i="23"/>
  <c r="S34" i="23"/>
  <c r="S64" i="23"/>
  <c r="S54" i="23"/>
  <c r="S56" i="23"/>
  <c r="S63" i="23"/>
  <c r="R153" i="23"/>
  <c r="R181" i="23" s="1"/>
  <c r="R24" i="23"/>
  <c r="S79" i="23"/>
  <c r="L155" i="23"/>
  <c r="L154" i="23"/>
  <c r="L16" i="23"/>
  <c r="M68" i="23" s="1"/>
  <c r="M69" i="22"/>
  <c r="M65" i="22"/>
  <c r="M48" i="22"/>
  <c r="M85" i="22"/>
  <c r="M61" i="22"/>
  <c r="M73" i="22"/>
  <c r="M56" i="22"/>
  <c r="M37" i="22"/>
  <c r="M93" i="22" s="1"/>
  <c r="M34" i="22"/>
  <c r="M72" i="22"/>
  <c r="M64" i="22"/>
  <c r="S72" i="22"/>
  <c r="S52" i="22"/>
  <c r="S57" i="22"/>
  <c r="S47" i="22"/>
  <c r="S44" i="22"/>
  <c r="S34" i="22"/>
  <c r="S84" i="22"/>
  <c r="S60" i="22"/>
  <c r="S49" i="22"/>
  <c r="S36" i="22"/>
  <c r="S92" i="22" s="1"/>
  <c r="S54" i="22"/>
  <c r="S64" i="22"/>
  <c r="L159" i="22"/>
  <c r="L160" i="22" s="1"/>
  <c r="L19" i="22"/>
  <c r="S48" i="22"/>
  <c r="L20" i="22"/>
  <c r="L22" i="22" s="1"/>
  <c r="S141" i="22"/>
  <c r="S134" i="22"/>
  <c r="S138" i="22" s="1"/>
  <c r="S142" i="22"/>
  <c r="S146" i="22" s="1"/>
  <c r="S135" i="22"/>
  <c r="S65" i="22"/>
  <c r="S63" i="22"/>
  <c r="R153" i="22"/>
  <c r="R181" i="22" s="1"/>
  <c r="R24" i="22"/>
  <c r="S79" i="22"/>
  <c r="L20" i="20"/>
  <c r="L22" i="20" s="1"/>
  <c r="S56" i="22"/>
  <c r="L159" i="20"/>
  <c r="L160" i="20" s="1"/>
  <c r="L19" i="20"/>
  <c r="Z19" i="20" s="1"/>
  <c r="M73" i="20"/>
  <c r="M85" i="20"/>
  <c r="M69" i="20"/>
  <c r="M65" i="20"/>
  <c r="M48" i="20"/>
  <c r="M56" i="20"/>
  <c r="M64" i="20"/>
  <c r="M61" i="20"/>
  <c r="M37" i="20"/>
  <c r="M93" i="20" s="1"/>
  <c r="M34" i="20"/>
  <c r="M72" i="20"/>
  <c r="S68" i="20"/>
  <c r="S6" i="20"/>
  <c r="S29" i="20" s="1"/>
  <c r="R159" i="20"/>
  <c r="R160" i="20" s="1"/>
  <c r="R19" i="20"/>
  <c r="S46" i="20"/>
  <c r="S55" i="20"/>
  <c r="R25" i="20"/>
  <c r="R20" i="20"/>
  <c r="R22" i="20" s="1"/>
  <c r="R17" i="20"/>
  <c r="S7" i="20" s="1"/>
  <c r="S30" i="20" s="1"/>
  <c r="S78" i="20"/>
  <c r="F115" i="6"/>
  <c r="F151" i="6"/>
  <c r="F16" i="6" s="1"/>
  <c r="G68" i="6" s="1"/>
  <c r="F152" i="6"/>
  <c r="F18" i="6" s="1"/>
  <c r="F18" i="2"/>
  <c r="I18" i="2"/>
  <c r="K18" i="2"/>
  <c r="C18" i="2"/>
  <c r="E18" i="2"/>
  <c r="L18" i="2"/>
  <c r="H18" i="2"/>
  <c r="D18" i="2"/>
  <c r="N18" i="2"/>
  <c r="O18" i="2"/>
  <c r="G18" i="2"/>
  <c r="J18" i="2"/>
  <c r="M18" i="2"/>
  <c r="P18" i="2"/>
  <c r="Q18" i="2"/>
  <c r="B19" i="2"/>
  <c r="O59" i="2"/>
  <c r="N60" i="2"/>
  <c r="C40" i="2"/>
  <c r="B41" i="2"/>
  <c r="D40" i="2"/>
  <c r="P9" i="2"/>
  <c r="Q6" i="2"/>
  <c r="P8" i="2"/>
  <c r="P10" i="2"/>
  <c r="P11" i="2"/>
  <c r="P12" i="2"/>
  <c r="P13" i="2"/>
  <c r="P14" i="2"/>
  <c r="P15" i="2"/>
  <c r="P16" i="2"/>
  <c r="P17" i="2"/>
  <c r="M63" i="2"/>
  <c r="M64" i="2" s="1"/>
  <c r="M61" i="2"/>
  <c r="M62" i="2" s="1"/>
  <c r="M65" i="2"/>
  <c r="M66" i="2" s="1"/>
  <c r="M67" i="2"/>
  <c r="M68" i="2" s="1"/>
  <c r="M69" i="2"/>
  <c r="M70" i="2" s="1"/>
  <c r="M71" i="2"/>
  <c r="M72" i="2" s="1"/>
  <c r="M73" i="2"/>
  <c r="M74" i="2" s="1"/>
  <c r="M75" i="2"/>
  <c r="M76" i="2" s="1"/>
  <c r="M77" i="2"/>
  <c r="M78" i="2" s="1"/>
  <c r="M79" i="2"/>
  <c r="M80" i="2" s="1"/>
  <c r="M55" i="23" l="1"/>
  <c r="L25" i="23"/>
  <c r="L17" i="23"/>
  <c r="M7" i="23" s="1"/>
  <c r="M30" i="23" s="1"/>
  <c r="M73" i="23" s="1"/>
  <c r="M54" i="23"/>
  <c r="M46" i="23"/>
  <c r="M154" i="25"/>
  <c r="S18" i="25"/>
  <c r="M18" i="25"/>
  <c r="N78" i="25" s="1"/>
  <c r="M40" i="24"/>
  <c r="M96" i="24" s="1"/>
  <c r="M89" i="24"/>
  <c r="M42" i="24"/>
  <c r="M98" i="24" s="1"/>
  <c r="M88" i="24"/>
  <c r="M178" i="25"/>
  <c r="L178" i="25" s="1"/>
  <c r="M155" i="25"/>
  <c r="M115" i="24"/>
  <c r="M20" i="25"/>
  <c r="M22" i="25" s="1"/>
  <c r="S154" i="25"/>
  <c r="S155" i="25"/>
  <c r="S16" i="25"/>
  <c r="N55" i="25"/>
  <c r="M80" i="24"/>
  <c r="M141" i="24"/>
  <c r="M145" i="24" s="1"/>
  <c r="M147" i="24" s="1"/>
  <c r="M41" i="24"/>
  <c r="M97" i="24" s="1"/>
  <c r="M118" i="24"/>
  <c r="M117" i="24"/>
  <c r="M119" i="24" s="1"/>
  <c r="M135" i="24"/>
  <c r="M139" i="24" s="1"/>
  <c r="M134" i="24"/>
  <c r="M138" i="24" s="1"/>
  <c r="S118" i="23"/>
  <c r="S117" i="23"/>
  <c r="S110" i="23"/>
  <c r="S103" i="23"/>
  <c r="S109" i="23"/>
  <c r="S102" i="23"/>
  <c r="S139" i="23"/>
  <c r="S136" i="23"/>
  <c r="S137" i="23" s="1"/>
  <c r="L20" i="23"/>
  <c r="L22" i="23" s="1"/>
  <c r="S88" i="23"/>
  <c r="S90" i="23"/>
  <c r="S80" i="23"/>
  <c r="S89" i="23"/>
  <c r="S42" i="23"/>
  <c r="S98" i="23" s="1"/>
  <c r="S41" i="23"/>
  <c r="S97" i="23" s="1"/>
  <c r="S40" i="23"/>
  <c r="S96" i="23" s="1"/>
  <c r="S148" i="23"/>
  <c r="S145" i="23"/>
  <c r="S147" i="23" s="1"/>
  <c r="S149" i="23"/>
  <c r="L159" i="23"/>
  <c r="L160" i="23" s="1"/>
  <c r="L19" i="23"/>
  <c r="S89" i="22"/>
  <c r="S90" i="22"/>
  <c r="S88" i="22"/>
  <c r="S41" i="22"/>
  <c r="S97" i="22" s="1"/>
  <c r="S40" i="22"/>
  <c r="S96" i="22" s="1"/>
  <c r="S80" i="22"/>
  <c r="S42" i="22"/>
  <c r="S98" i="22" s="1"/>
  <c r="S117" i="22"/>
  <c r="S109" i="22"/>
  <c r="S102" i="22"/>
  <c r="S118" i="22"/>
  <c r="S110" i="22"/>
  <c r="S103" i="22"/>
  <c r="M89" i="22"/>
  <c r="M90" i="22"/>
  <c r="M88" i="22"/>
  <c r="M80" i="22"/>
  <c r="M41" i="22"/>
  <c r="M97" i="22" s="1"/>
  <c r="M40" i="22"/>
  <c r="M96" i="22" s="1"/>
  <c r="M42" i="22"/>
  <c r="M98" i="22" s="1"/>
  <c r="S148" i="22"/>
  <c r="S145" i="22"/>
  <c r="S147" i="22" s="1"/>
  <c r="S149" i="22"/>
  <c r="M141" i="22"/>
  <c r="M142" i="22"/>
  <c r="M146" i="22" s="1"/>
  <c r="M135" i="22"/>
  <c r="M134" i="22"/>
  <c r="M138" i="22" s="1"/>
  <c r="M118" i="22"/>
  <c r="M117" i="22"/>
  <c r="S139" i="22"/>
  <c r="S136" i="22"/>
  <c r="S137" i="22" s="1"/>
  <c r="M63" i="22"/>
  <c r="L153" i="22"/>
  <c r="L177" i="22" s="1"/>
  <c r="M177" i="22" s="1"/>
  <c r="L24" i="22"/>
  <c r="M79" i="22"/>
  <c r="M89" i="20"/>
  <c r="M90" i="20"/>
  <c r="M80" i="20"/>
  <c r="M41" i="20"/>
  <c r="M97" i="20" s="1"/>
  <c r="M42" i="20"/>
  <c r="M98" i="20" s="1"/>
  <c r="M40" i="20"/>
  <c r="M96" i="20" s="1"/>
  <c r="M88" i="20"/>
  <c r="S73" i="20"/>
  <c r="S69" i="20"/>
  <c r="S65" i="20"/>
  <c r="S48" i="20"/>
  <c r="S85" i="20"/>
  <c r="S56" i="20"/>
  <c r="S37" i="20"/>
  <c r="S93" i="20" s="1"/>
  <c r="S61" i="20"/>
  <c r="S63" i="20"/>
  <c r="R153" i="20"/>
  <c r="R181" i="20" s="1"/>
  <c r="R24" i="20"/>
  <c r="S79" i="20"/>
  <c r="M141" i="20"/>
  <c r="M135" i="20"/>
  <c r="M142" i="20"/>
  <c r="M146" i="20" s="1"/>
  <c r="M134" i="20"/>
  <c r="M138" i="20" s="1"/>
  <c r="M118" i="20"/>
  <c r="M117" i="20"/>
  <c r="S72" i="20"/>
  <c r="S84" i="20"/>
  <c r="S52" i="20"/>
  <c r="S60" i="20"/>
  <c r="S49" i="20"/>
  <c r="S36" i="20"/>
  <c r="S92" i="20" s="1"/>
  <c r="S44" i="20"/>
  <c r="S64" i="20"/>
  <c r="S54" i="20"/>
  <c r="S57" i="20"/>
  <c r="S34" i="20"/>
  <c r="S47" i="20"/>
  <c r="M63" i="20"/>
  <c r="L24" i="20"/>
  <c r="L153" i="20"/>
  <c r="L177" i="20" s="1"/>
  <c r="M177" i="20" s="1"/>
  <c r="M79" i="20"/>
  <c r="F154" i="6"/>
  <c r="F17" i="6" s="1"/>
  <c r="F25" i="6"/>
  <c r="F20" i="6"/>
  <c r="F22" i="6" s="1"/>
  <c r="G78" i="6"/>
  <c r="F164" i="6"/>
  <c r="E164" i="6" s="1"/>
  <c r="F155" i="6"/>
  <c r="F19" i="6" s="1"/>
  <c r="F24" i="6" s="1"/>
  <c r="O60" i="2"/>
  <c r="P59" i="2"/>
  <c r="D41" i="2"/>
  <c r="C41" i="2"/>
  <c r="B42" i="2"/>
  <c r="I19" i="2"/>
  <c r="M19" i="2"/>
  <c r="B20" i="2"/>
  <c r="C19" i="2"/>
  <c r="K19" i="2"/>
  <c r="H19" i="2"/>
  <c r="E19" i="2"/>
  <c r="G19" i="2"/>
  <c r="J19" i="2"/>
  <c r="L19" i="2"/>
  <c r="N19" i="2"/>
  <c r="R19" i="2"/>
  <c r="Q19" i="2"/>
  <c r="D19" i="2"/>
  <c r="P19" i="2"/>
  <c r="O19" i="2"/>
  <c r="F19" i="2"/>
  <c r="R6" i="2"/>
  <c r="Q9" i="2"/>
  <c r="Q8" i="2"/>
  <c r="Q10" i="2"/>
  <c r="Q11" i="2"/>
  <c r="Q12" i="2"/>
  <c r="Q13" i="2"/>
  <c r="Q14" i="2"/>
  <c r="Q15" i="2"/>
  <c r="Q16" i="2"/>
  <c r="Q17" i="2"/>
  <c r="N63" i="2"/>
  <c r="N64" i="2" s="1"/>
  <c r="N61" i="2"/>
  <c r="N62" i="2" s="1"/>
  <c r="N65" i="2"/>
  <c r="N66" i="2" s="1"/>
  <c r="N67" i="2"/>
  <c r="N68" i="2" s="1"/>
  <c r="N69" i="2"/>
  <c r="N70" i="2" s="1"/>
  <c r="N71" i="2"/>
  <c r="N72" i="2" s="1"/>
  <c r="N73" i="2"/>
  <c r="N74" i="2" s="1"/>
  <c r="N75" i="2"/>
  <c r="N76" i="2" s="1"/>
  <c r="N77" i="2"/>
  <c r="N78" i="2" s="1"/>
  <c r="N79" i="2"/>
  <c r="N80" i="2" s="1"/>
  <c r="M34" i="23" l="1"/>
  <c r="M65" i="23"/>
  <c r="M61" i="23"/>
  <c r="M72" i="23"/>
  <c r="M85" i="23"/>
  <c r="M37" i="23"/>
  <c r="M93" i="23" s="1"/>
  <c r="M117" i="23" s="1"/>
  <c r="M56" i="23"/>
  <c r="M48" i="23"/>
  <c r="M69" i="23"/>
  <c r="M64" i="23"/>
  <c r="N54" i="25"/>
  <c r="N46" i="25"/>
  <c r="N94" i="25" s="1"/>
  <c r="N103" i="25" s="1"/>
  <c r="M17" i="25"/>
  <c r="S17" i="25"/>
  <c r="N178" i="25"/>
  <c r="O178" i="25" s="1"/>
  <c r="P178" i="25" s="1"/>
  <c r="Q178" i="25" s="1"/>
  <c r="R178" i="25" s="1"/>
  <c r="S178" i="25" s="1"/>
  <c r="T178" i="25" s="1"/>
  <c r="U178" i="25" s="1"/>
  <c r="V178" i="25" s="1"/>
  <c r="W178" i="25" s="1"/>
  <c r="M14" i="24"/>
  <c r="M21" i="24" s="1"/>
  <c r="M121" i="24"/>
  <c r="M159" i="25"/>
  <c r="M160" i="25" s="1"/>
  <c r="M19" i="25"/>
  <c r="S159" i="25"/>
  <c r="S160" i="25" s="1"/>
  <c r="S19" i="25"/>
  <c r="S20" i="25"/>
  <c r="S22" i="25" s="1"/>
  <c r="M149" i="24"/>
  <c r="M152" i="24" s="1"/>
  <c r="M18" i="24" s="1"/>
  <c r="M148" i="24"/>
  <c r="N124" i="25"/>
  <c r="N123" i="25"/>
  <c r="N134" i="25"/>
  <c r="N138" i="25" s="1"/>
  <c r="N102" i="25"/>
  <c r="M120" i="24"/>
  <c r="M151" i="24" s="1"/>
  <c r="M136" i="24"/>
  <c r="M137" i="24" s="1"/>
  <c r="M23" i="24"/>
  <c r="M24" i="24"/>
  <c r="M25" i="24"/>
  <c r="S14" i="23"/>
  <c r="S24" i="23" s="1"/>
  <c r="S104" i="23"/>
  <c r="S105" i="23" s="1"/>
  <c r="S107" i="23" s="1"/>
  <c r="S106" i="23"/>
  <c r="S114" i="23"/>
  <c r="S111" i="23"/>
  <c r="S112" i="23" s="1"/>
  <c r="M88" i="23"/>
  <c r="M90" i="23"/>
  <c r="M89" i="23"/>
  <c r="M80" i="23"/>
  <c r="M42" i="23"/>
  <c r="M98" i="23" s="1"/>
  <c r="M41" i="23"/>
  <c r="M97" i="23" s="1"/>
  <c r="M40" i="23"/>
  <c r="M96" i="23" s="1"/>
  <c r="S113" i="22"/>
  <c r="M63" i="23"/>
  <c r="L24" i="23"/>
  <c r="L153" i="23"/>
  <c r="L177" i="23" s="1"/>
  <c r="M177" i="23" s="1"/>
  <c r="M79" i="23"/>
  <c r="S113" i="23"/>
  <c r="S120" i="23"/>
  <c r="S119" i="23"/>
  <c r="S121" i="23" s="1"/>
  <c r="M148" i="22"/>
  <c r="M145" i="22"/>
  <c r="M147" i="22" s="1"/>
  <c r="M149" i="22"/>
  <c r="M120" i="22"/>
  <c r="M119" i="22"/>
  <c r="M121" i="22" s="1"/>
  <c r="S14" i="22"/>
  <c r="S104" i="22"/>
  <c r="S105" i="22" s="1"/>
  <c r="S107" i="22" s="1"/>
  <c r="S106" i="22"/>
  <c r="S114" i="22"/>
  <c r="S111" i="22"/>
  <c r="S112" i="22" s="1"/>
  <c r="M139" i="22"/>
  <c r="M136" i="22"/>
  <c r="M137" i="22" s="1"/>
  <c r="S120" i="22"/>
  <c r="S119" i="22"/>
  <c r="S121" i="22" s="1"/>
  <c r="M14" i="22"/>
  <c r="M14" i="20"/>
  <c r="M148" i="20"/>
  <c r="M145" i="20"/>
  <c r="M147" i="20" s="1"/>
  <c r="M149" i="20"/>
  <c r="M139" i="20"/>
  <c r="M136" i="20"/>
  <c r="M137" i="20" s="1"/>
  <c r="S118" i="20"/>
  <c r="S109" i="20"/>
  <c r="S102" i="20"/>
  <c r="S110" i="20"/>
  <c r="S103" i="20"/>
  <c r="S117" i="20"/>
  <c r="M119" i="20"/>
  <c r="M121" i="20" s="1"/>
  <c r="M120" i="20"/>
  <c r="S141" i="20"/>
  <c r="S142" i="20"/>
  <c r="S146" i="20" s="1"/>
  <c r="S134" i="20"/>
  <c r="S138" i="20" s="1"/>
  <c r="S135" i="20"/>
  <c r="S89" i="20"/>
  <c r="S90" i="20"/>
  <c r="S80" i="20"/>
  <c r="S88" i="20"/>
  <c r="S41" i="20"/>
  <c r="S97" i="20" s="1"/>
  <c r="S42" i="20"/>
  <c r="S98" i="20" s="1"/>
  <c r="S40" i="20"/>
  <c r="S96" i="20" s="1"/>
  <c r="G46" i="6"/>
  <c r="F159" i="6"/>
  <c r="F160" i="6" s="1"/>
  <c r="D42" i="2"/>
  <c r="C42" i="2"/>
  <c r="B43" i="2"/>
  <c r="J20" i="2"/>
  <c r="D20" i="2"/>
  <c r="H20" i="2"/>
  <c r="I20" i="2"/>
  <c r="K20" i="2"/>
  <c r="G20" i="2"/>
  <c r="E20" i="2"/>
  <c r="B21" i="2"/>
  <c r="L20" i="2"/>
  <c r="F20" i="2"/>
  <c r="M20" i="2"/>
  <c r="N20" i="2"/>
  <c r="R20" i="2"/>
  <c r="O20" i="2"/>
  <c r="P20" i="2"/>
  <c r="Q20" i="2"/>
  <c r="C20" i="2"/>
  <c r="P60" i="2"/>
  <c r="Q59" i="2"/>
  <c r="R8" i="2"/>
  <c r="R9" i="2"/>
  <c r="R10" i="2"/>
  <c r="R11" i="2"/>
  <c r="R12" i="2"/>
  <c r="R13" i="2"/>
  <c r="R14" i="2"/>
  <c r="R15" i="2"/>
  <c r="R16" i="2"/>
  <c r="R17" i="2"/>
  <c r="R18" i="2"/>
  <c r="O61" i="2"/>
  <c r="O62" i="2" s="1"/>
  <c r="O63" i="2"/>
  <c r="O64" i="2" s="1"/>
  <c r="O65" i="2"/>
  <c r="O66" i="2" s="1"/>
  <c r="O67" i="2"/>
  <c r="O68" i="2" s="1"/>
  <c r="O69" i="2"/>
  <c r="O70" i="2" s="1"/>
  <c r="O71" i="2"/>
  <c r="O72" i="2" s="1"/>
  <c r="O73" i="2"/>
  <c r="O74" i="2" s="1"/>
  <c r="O75" i="2"/>
  <c r="O76" i="2" s="1"/>
  <c r="O77" i="2"/>
  <c r="O78" i="2" s="1"/>
  <c r="O79" i="2"/>
  <c r="O80" i="2" s="1"/>
  <c r="M142" i="23" l="1"/>
  <c r="M146" i="23" s="1"/>
  <c r="M135" i="23"/>
  <c r="M141" i="23"/>
  <c r="M148" i="23" s="1"/>
  <c r="M134" i="23"/>
  <c r="M138" i="23" s="1"/>
  <c r="M118" i="23"/>
  <c r="N135" i="25"/>
  <c r="M151" i="20"/>
  <c r="N46" i="24"/>
  <c r="N55" i="24"/>
  <c r="N78" i="24"/>
  <c r="M153" i="25"/>
  <c r="N63" i="25"/>
  <c r="N79" i="25"/>
  <c r="M154" i="24"/>
  <c r="M17" i="24" s="1"/>
  <c r="N30" i="24" s="1"/>
  <c r="M16" i="24"/>
  <c r="M20" i="24" s="1"/>
  <c r="M22" i="24" s="1"/>
  <c r="N136" i="25"/>
  <c r="N137" i="25" s="1"/>
  <c r="N139" i="25"/>
  <c r="S153" i="25"/>
  <c r="S181" i="25" s="1"/>
  <c r="N104" i="25"/>
  <c r="N105" i="25" s="1"/>
  <c r="N107" i="25" s="1"/>
  <c r="N106" i="25"/>
  <c r="S23" i="23"/>
  <c r="N131" i="25"/>
  <c r="N129" i="25"/>
  <c r="N130" i="25" s="1"/>
  <c r="N132" i="25"/>
  <c r="N125" i="25"/>
  <c r="M178" i="24"/>
  <c r="N178" i="24" s="1"/>
  <c r="S21" i="23"/>
  <c r="S25" i="23"/>
  <c r="M155" i="24"/>
  <c r="M151" i="22"/>
  <c r="M154" i="22" s="1"/>
  <c r="S115" i="22"/>
  <c r="S152" i="22" s="1"/>
  <c r="S180" i="22" s="1"/>
  <c r="M139" i="23"/>
  <c r="M136" i="23"/>
  <c r="M137" i="23" s="1"/>
  <c r="S115" i="23"/>
  <c r="S152" i="23" s="1"/>
  <c r="M120" i="23"/>
  <c r="M119" i="23"/>
  <c r="M14" i="23"/>
  <c r="S151" i="23"/>
  <c r="S113" i="20"/>
  <c r="M152" i="22"/>
  <c r="M180" i="22" s="1"/>
  <c r="M24" i="22"/>
  <c r="M21" i="22"/>
  <c r="M23" i="22"/>
  <c r="M25" i="22"/>
  <c r="S151" i="22"/>
  <c r="S24" i="22"/>
  <c r="S21" i="22"/>
  <c r="S23" i="22"/>
  <c r="S25" i="22"/>
  <c r="S136" i="20"/>
  <c r="S137" i="20" s="1"/>
  <c r="S139" i="20"/>
  <c r="S119" i="20"/>
  <c r="S121" i="20" s="1"/>
  <c r="S120" i="20"/>
  <c r="S148" i="20"/>
  <c r="S145" i="20"/>
  <c r="S147" i="20" s="1"/>
  <c r="S149" i="20"/>
  <c r="S104" i="20"/>
  <c r="S105" i="20" s="1"/>
  <c r="S107" i="20" s="1"/>
  <c r="S106" i="20"/>
  <c r="M154" i="20"/>
  <c r="S114" i="20"/>
  <c r="S111" i="20"/>
  <c r="S112" i="20" s="1"/>
  <c r="S14" i="20"/>
  <c r="M152" i="20"/>
  <c r="M180" i="20" s="1"/>
  <c r="M24" i="20"/>
  <c r="M21" i="20"/>
  <c r="M25" i="20"/>
  <c r="M16" i="20"/>
  <c r="N68" i="20" s="1"/>
  <c r="M23" i="20"/>
  <c r="G47" i="6"/>
  <c r="G95" i="6" s="1"/>
  <c r="G55" i="6"/>
  <c r="G54" i="6" s="1"/>
  <c r="G79" i="6"/>
  <c r="G63" i="6"/>
  <c r="F153" i="6"/>
  <c r="R59" i="2"/>
  <c r="Q60" i="2"/>
  <c r="E21" i="2"/>
  <c r="B22" i="2"/>
  <c r="O21" i="2"/>
  <c r="J21" i="2"/>
  <c r="D21" i="2"/>
  <c r="C21" i="2"/>
  <c r="M21" i="2"/>
  <c r="K21" i="2"/>
  <c r="G21" i="2"/>
  <c r="I21" i="2"/>
  <c r="N21" i="2"/>
  <c r="L21" i="2"/>
  <c r="H21" i="2"/>
  <c r="R21" i="2"/>
  <c r="F21" i="2"/>
  <c r="P21" i="2"/>
  <c r="Q21" i="2"/>
  <c r="P63" i="2"/>
  <c r="P64" i="2" s="1"/>
  <c r="P61" i="2"/>
  <c r="P62" i="2" s="1"/>
  <c r="P65" i="2"/>
  <c r="P66" i="2" s="1"/>
  <c r="P67" i="2"/>
  <c r="P68" i="2" s="1"/>
  <c r="P69" i="2"/>
  <c r="P70" i="2" s="1"/>
  <c r="P71" i="2"/>
  <c r="P72" i="2" s="1"/>
  <c r="P73" i="2"/>
  <c r="P74" i="2" s="1"/>
  <c r="P75" i="2"/>
  <c r="P76" i="2" s="1"/>
  <c r="P77" i="2"/>
  <c r="P78" i="2" s="1"/>
  <c r="P79" i="2"/>
  <c r="P80" i="2" s="1"/>
  <c r="B44" i="2"/>
  <c r="D43" i="2"/>
  <c r="C43" i="2"/>
  <c r="M16" i="22" l="1"/>
  <c r="N68" i="22" s="1"/>
  <c r="M149" i="23"/>
  <c r="M145" i="23"/>
  <c r="M147" i="23" s="1"/>
  <c r="M121" i="23"/>
  <c r="M152" i="23" s="1"/>
  <c r="M180" i="23" s="1"/>
  <c r="N152" i="25"/>
  <c r="N29" i="24"/>
  <c r="N56" i="24" s="1"/>
  <c r="N68" i="24"/>
  <c r="N85" i="24"/>
  <c r="N69" i="24"/>
  <c r="N37" i="24"/>
  <c r="N93" i="24" s="1"/>
  <c r="N73" i="24"/>
  <c r="N61" i="24"/>
  <c r="L178" i="24"/>
  <c r="O178" i="24"/>
  <c r="P178" i="24" s="1"/>
  <c r="Q178" i="24" s="1"/>
  <c r="R178" i="24" s="1"/>
  <c r="S178" i="24" s="1"/>
  <c r="T178" i="24" s="1"/>
  <c r="U178" i="24" s="1"/>
  <c r="V178" i="24" s="1"/>
  <c r="W178" i="24" s="1"/>
  <c r="X178" i="24" s="1"/>
  <c r="N151" i="25"/>
  <c r="N155" i="25" s="1"/>
  <c r="M181" i="25"/>
  <c r="M179" i="25"/>
  <c r="N180" i="25"/>
  <c r="N18" i="25"/>
  <c r="M159" i="24"/>
  <c r="M160" i="24" s="1"/>
  <c r="M19" i="24"/>
  <c r="M155" i="22"/>
  <c r="M159" i="22" s="1"/>
  <c r="M160" i="22" s="1"/>
  <c r="M178" i="22"/>
  <c r="N178" i="22" s="1"/>
  <c r="O178" i="22" s="1"/>
  <c r="P178" i="22" s="1"/>
  <c r="Q178" i="22" s="1"/>
  <c r="R178" i="22" s="1"/>
  <c r="S178" i="22" s="1"/>
  <c r="T178" i="22" s="1"/>
  <c r="U178" i="22" s="1"/>
  <c r="V178" i="22" s="1"/>
  <c r="W178" i="22" s="1"/>
  <c r="S115" i="20"/>
  <c r="S152" i="20" s="1"/>
  <c r="S180" i="20" s="1"/>
  <c r="S180" i="23"/>
  <c r="S18" i="23"/>
  <c r="M25" i="23"/>
  <c r="M24" i="23"/>
  <c r="M21" i="23"/>
  <c r="M23" i="23"/>
  <c r="S155" i="23"/>
  <c r="S154" i="23"/>
  <c r="S16" i="23"/>
  <c r="S18" i="22"/>
  <c r="M151" i="23"/>
  <c r="M16" i="23" s="1"/>
  <c r="N68" i="23" s="1"/>
  <c r="S155" i="22"/>
  <c r="S154" i="22"/>
  <c r="S16" i="22"/>
  <c r="T6" i="22" s="1"/>
  <c r="T29" i="22" s="1"/>
  <c r="M18" i="22"/>
  <c r="S151" i="20"/>
  <c r="S16" i="20" s="1"/>
  <c r="M18" i="20"/>
  <c r="M155" i="20"/>
  <c r="S24" i="20"/>
  <c r="S21" i="20"/>
  <c r="S25" i="20"/>
  <c r="S23" i="20"/>
  <c r="M178" i="20"/>
  <c r="G109" i="6"/>
  <c r="G141" i="6"/>
  <c r="G123" i="6"/>
  <c r="G110" i="6"/>
  <c r="G142" i="6"/>
  <c r="G146" i="6" s="1"/>
  <c r="G124" i="6"/>
  <c r="F165" i="6"/>
  <c r="E165" i="6" s="1"/>
  <c r="L22" i="2"/>
  <c r="N22" i="2"/>
  <c r="H22" i="2"/>
  <c r="O22" i="2"/>
  <c r="M22" i="2"/>
  <c r="I22" i="2"/>
  <c r="D22" i="2"/>
  <c r="C22" i="2"/>
  <c r="K22" i="2"/>
  <c r="P22" i="2"/>
  <c r="Q22" i="2"/>
  <c r="G22" i="2"/>
  <c r="F22" i="2"/>
  <c r="E22" i="2"/>
  <c r="R22" i="2"/>
  <c r="J22" i="2"/>
  <c r="D44" i="2"/>
  <c r="C44" i="2"/>
  <c r="B45" i="2"/>
  <c r="Q61" i="2"/>
  <c r="Q62" i="2" s="1"/>
  <c r="Q63" i="2"/>
  <c r="Q64" i="2" s="1"/>
  <c r="Q65" i="2"/>
  <c r="Q66" i="2" s="1"/>
  <c r="Q67" i="2"/>
  <c r="Q68" i="2" s="1"/>
  <c r="Q69" i="2"/>
  <c r="Q70" i="2" s="1"/>
  <c r="Q71" i="2"/>
  <c r="Q72" i="2" s="1"/>
  <c r="Q73" i="2"/>
  <c r="Q74" i="2" s="1"/>
  <c r="Q75" i="2"/>
  <c r="Q76" i="2" s="1"/>
  <c r="Q77" i="2"/>
  <c r="Q78" i="2" s="1"/>
  <c r="Q79" i="2"/>
  <c r="Q80" i="2" s="1"/>
  <c r="S59" i="2"/>
  <c r="R60" i="2"/>
  <c r="N16" i="25" l="1"/>
  <c r="O68" i="25" s="1"/>
  <c r="N154" i="25"/>
  <c r="T49" i="22"/>
  <c r="T44" i="22"/>
  <c r="T52" i="22"/>
  <c r="T36" i="22"/>
  <c r="T92" i="22" s="1"/>
  <c r="T57" i="22"/>
  <c r="T60" i="22"/>
  <c r="T84" i="22"/>
  <c r="N48" i="24"/>
  <c r="N65" i="24"/>
  <c r="L178" i="22"/>
  <c r="N142" i="24"/>
  <c r="N146" i="24" s="1"/>
  <c r="N134" i="24"/>
  <c r="N138" i="24" s="1"/>
  <c r="N135" i="24"/>
  <c r="N141" i="24"/>
  <c r="N63" i="24"/>
  <c r="N79" i="24"/>
  <c r="N47" i="24"/>
  <c r="N84" i="24"/>
  <c r="N34" i="24"/>
  <c r="N52" i="24"/>
  <c r="N49" i="24"/>
  <c r="N36" i="24"/>
  <c r="N92" i="24" s="1"/>
  <c r="N54" i="24"/>
  <c r="N72" i="24"/>
  <c r="N57" i="24"/>
  <c r="N44" i="24"/>
  <c r="N60" i="24"/>
  <c r="N64" i="24"/>
  <c r="L179" i="25"/>
  <c r="N179" i="25"/>
  <c r="O179" i="25" s="1"/>
  <c r="P179" i="25" s="1"/>
  <c r="Q179" i="25" s="1"/>
  <c r="R179" i="25" s="1"/>
  <c r="S179" i="25" s="1"/>
  <c r="T179" i="25" s="1"/>
  <c r="U179" i="25" s="1"/>
  <c r="V179" i="25" s="1"/>
  <c r="W179" i="25" s="1"/>
  <c r="M19" i="22"/>
  <c r="N63" i="22" s="1"/>
  <c r="O46" i="25"/>
  <c r="P78" i="25"/>
  <c r="O55" i="25"/>
  <c r="O54" i="25"/>
  <c r="N17" i="25"/>
  <c r="N25" i="25"/>
  <c r="N20" i="25"/>
  <c r="N22" i="25" s="1"/>
  <c r="O78" i="25"/>
  <c r="N159" i="25"/>
  <c r="N160" i="25" s="1"/>
  <c r="N19" i="25"/>
  <c r="M153" i="24"/>
  <c r="M178" i="23"/>
  <c r="N178" i="23" s="1"/>
  <c r="O178" i="23" s="1"/>
  <c r="P178" i="23" s="1"/>
  <c r="Q178" i="23" s="1"/>
  <c r="R178" i="23" s="1"/>
  <c r="S178" i="23" s="1"/>
  <c r="T178" i="23" s="1"/>
  <c r="U178" i="23" s="1"/>
  <c r="V178" i="23" s="1"/>
  <c r="W178" i="23" s="1"/>
  <c r="S20" i="22"/>
  <c r="S22" i="22" s="1"/>
  <c r="S17" i="22"/>
  <c r="T7" i="22" s="1"/>
  <c r="T30" i="22" s="1"/>
  <c r="T72" i="22" s="1"/>
  <c r="S159" i="23"/>
  <c r="S160" i="23" s="1"/>
  <c r="S19" i="23"/>
  <c r="M155" i="23"/>
  <c r="M154" i="23"/>
  <c r="S17" i="23"/>
  <c r="S20" i="23"/>
  <c r="S22" i="23" s="1"/>
  <c r="M18" i="23"/>
  <c r="S159" i="22"/>
  <c r="S160" i="22" s="1"/>
  <c r="S19" i="22"/>
  <c r="S154" i="20"/>
  <c r="N46" i="22"/>
  <c r="N94" i="22" s="1"/>
  <c r="N54" i="22"/>
  <c r="N55" i="22"/>
  <c r="N78" i="22"/>
  <c r="M20" i="22"/>
  <c r="M22" i="22" s="1"/>
  <c r="M17" i="22"/>
  <c r="S18" i="20"/>
  <c r="S155" i="20"/>
  <c r="M159" i="20"/>
  <c r="M160" i="20" s="1"/>
  <c r="M19" i="20"/>
  <c r="L178" i="20"/>
  <c r="N178" i="20"/>
  <c r="O178" i="20" s="1"/>
  <c r="P178" i="20" s="1"/>
  <c r="Q178" i="20" s="1"/>
  <c r="R178" i="20" s="1"/>
  <c r="S178" i="20" s="1"/>
  <c r="T178" i="20" s="1"/>
  <c r="U178" i="20" s="1"/>
  <c r="V178" i="20" s="1"/>
  <c r="W178" i="20" s="1"/>
  <c r="N46" i="20"/>
  <c r="N94" i="20" s="1"/>
  <c r="N55" i="20"/>
  <c r="N54" i="20"/>
  <c r="N78" i="20"/>
  <c r="M20" i="20"/>
  <c r="M22" i="20" s="1"/>
  <c r="M17" i="20"/>
  <c r="G113" i="6"/>
  <c r="G129" i="6"/>
  <c r="G130" i="6" s="1"/>
  <c r="G131" i="6"/>
  <c r="G132" i="6"/>
  <c r="G125" i="6"/>
  <c r="G145" i="6"/>
  <c r="G147" i="6" s="1"/>
  <c r="G149" i="6"/>
  <c r="G148" i="6"/>
  <c r="G111" i="6"/>
  <c r="G112" i="6" s="1"/>
  <c r="G114" i="6"/>
  <c r="R65" i="2"/>
  <c r="R66" i="2" s="1"/>
  <c r="R63" i="2"/>
  <c r="R64" i="2" s="1"/>
  <c r="R61" i="2"/>
  <c r="R62" i="2" s="1"/>
  <c r="R67" i="2"/>
  <c r="R68" i="2" s="1"/>
  <c r="R69" i="2"/>
  <c r="R70" i="2" s="1"/>
  <c r="R71" i="2"/>
  <c r="R72" i="2" s="1"/>
  <c r="R73" i="2"/>
  <c r="R74" i="2" s="1"/>
  <c r="R75" i="2"/>
  <c r="R76" i="2" s="1"/>
  <c r="R77" i="2"/>
  <c r="R78" i="2" s="1"/>
  <c r="R79" i="2"/>
  <c r="R80" i="2" s="1"/>
  <c r="S60" i="2"/>
  <c r="T59" i="2"/>
  <c r="D45" i="2"/>
  <c r="C45" i="2"/>
  <c r="B46" i="2"/>
  <c r="M153" i="22" l="1"/>
  <c r="N79" i="22"/>
  <c r="L178" i="23"/>
  <c r="T64" i="22"/>
  <c r="T69" i="22"/>
  <c r="T37" i="22"/>
  <c r="T93" i="22" s="1"/>
  <c r="T118" i="22" s="1"/>
  <c r="T56" i="22"/>
  <c r="T85" i="22"/>
  <c r="T61" i="22"/>
  <c r="T48" i="22"/>
  <c r="T73" i="22"/>
  <c r="T65" i="22"/>
  <c r="T110" i="22"/>
  <c r="T103" i="22"/>
  <c r="T109" i="22"/>
  <c r="T102" i="22"/>
  <c r="T34" i="22"/>
  <c r="N109" i="24"/>
  <c r="N110" i="24"/>
  <c r="N117" i="24"/>
  <c r="N118" i="24"/>
  <c r="N102" i="24"/>
  <c r="N103" i="24"/>
  <c r="N145" i="24"/>
  <c r="N147" i="24" s="1"/>
  <c r="N148" i="24"/>
  <c r="N149" i="24"/>
  <c r="N136" i="24"/>
  <c r="N137" i="24" s="1"/>
  <c r="N139" i="24"/>
  <c r="N88" i="24"/>
  <c r="N90" i="24"/>
  <c r="N89" i="24"/>
  <c r="N80" i="24"/>
  <c r="N40" i="24"/>
  <c r="N96" i="24" s="1"/>
  <c r="N41" i="24"/>
  <c r="N97" i="24" s="1"/>
  <c r="N42" i="24"/>
  <c r="N98" i="24" s="1"/>
  <c r="T152" i="25"/>
  <c r="O63" i="25"/>
  <c r="P79" i="25"/>
  <c r="N24" i="25"/>
  <c r="N153" i="25"/>
  <c r="N181" i="25" s="1"/>
  <c r="O79" i="25"/>
  <c r="M179" i="24"/>
  <c r="N179" i="24" s="1"/>
  <c r="S17" i="20"/>
  <c r="M159" i="23"/>
  <c r="M160" i="23" s="1"/>
  <c r="M19" i="23"/>
  <c r="N46" i="23"/>
  <c r="N94" i="23" s="1"/>
  <c r="N54" i="23"/>
  <c r="N55" i="23"/>
  <c r="N78" i="23"/>
  <c r="M20" i="23"/>
  <c r="M22" i="23" s="1"/>
  <c r="M17" i="23"/>
  <c r="S153" i="23"/>
  <c r="S181" i="23" s="1"/>
  <c r="N124" i="22"/>
  <c r="N123" i="22"/>
  <c r="N134" i="22"/>
  <c r="N138" i="22" s="1"/>
  <c r="N103" i="22"/>
  <c r="N102" i="22"/>
  <c r="N135" i="22"/>
  <c r="S153" i="22"/>
  <c r="S181" i="22" s="1"/>
  <c r="M181" i="22"/>
  <c r="M179" i="22"/>
  <c r="S20" i="20"/>
  <c r="S22" i="20" s="1"/>
  <c r="N63" i="20"/>
  <c r="N79" i="20"/>
  <c r="M153" i="20"/>
  <c r="N124" i="20"/>
  <c r="N123" i="20"/>
  <c r="N135" i="20"/>
  <c r="N103" i="20"/>
  <c r="N134" i="20"/>
  <c r="N138" i="20" s="1"/>
  <c r="N102" i="20"/>
  <c r="S159" i="20"/>
  <c r="S160" i="20" s="1"/>
  <c r="S19" i="20"/>
  <c r="G151" i="6"/>
  <c r="G16" i="6" s="1"/>
  <c r="G115" i="6"/>
  <c r="G152" i="6" s="1"/>
  <c r="G18" i="6" s="1"/>
  <c r="S61" i="2"/>
  <c r="S62" i="2" s="1"/>
  <c r="S63" i="2"/>
  <c r="S64" i="2" s="1"/>
  <c r="S65" i="2"/>
  <c r="S66" i="2" s="1"/>
  <c r="S67" i="2"/>
  <c r="S68" i="2" s="1"/>
  <c r="S69" i="2"/>
  <c r="S70" i="2" s="1"/>
  <c r="S71" i="2"/>
  <c r="S72" i="2" s="1"/>
  <c r="S73" i="2"/>
  <c r="S74" i="2" s="1"/>
  <c r="S75" i="2"/>
  <c r="S76" i="2" s="1"/>
  <c r="S77" i="2"/>
  <c r="S78" i="2" s="1"/>
  <c r="S79" i="2"/>
  <c r="S80" i="2" s="1"/>
  <c r="T60" i="2"/>
  <c r="C46" i="2"/>
  <c r="D46" i="2"/>
  <c r="B47" i="2"/>
  <c r="T113" i="22" l="1"/>
  <c r="T18" i="25"/>
  <c r="U78" i="25" s="1"/>
  <c r="T180" i="25"/>
  <c r="T104" i="22"/>
  <c r="T105" i="22" s="1"/>
  <c r="T107" i="22" s="1"/>
  <c r="T106" i="22"/>
  <c r="T135" i="22"/>
  <c r="T141" i="22"/>
  <c r="T142" i="22"/>
  <c r="T146" i="22" s="1"/>
  <c r="T134" i="22"/>
  <c r="T138" i="22" s="1"/>
  <c r="T42" i="22"/>
  <c r="T98" i="22" s="1"/>
  <c r="T88" i="22"/>
  <c r="T89" i="22"/>
  <c r="T40" i="22"/>
  <c r="T96" i="22" s="1"/>
  <c r="T80" i="22"/>
  <c r="T90" i="22"/>
  <c r="T41" i="22"/>
  <c r="T97" i="22" s="1"/>
  <c r="T111" i="22"/>
  <c r="T112" i="22" s="1"/>
  <c r="T115" i="22" s="1"/>
  <c r="T114" i="22"/>
  <c r="T117" i="22"/>
  <c r="N14" i="24"/>
  <c r="N21" i="24" s="1"/>
  <c r="N113" i="24"/>
  <c r="N104" i="24"/>
  <c r="N105" i="24" s="1"/>
  <c r="N107" i="24" s="1"/>
  <c r="N106" i="24"/>
  <c r="N120" i="24"/>
  <c r="N119" i="24"/>
  <c r="N121" i="24" s="1"/>
  <c r="N111" i="24"/>
  <c r="N112" i="24" s="1"/>
  <c r="N114" i="24"/>
  <c r="T46" i="25"/>
  <c r="T54" i="25"/>
  <c r="T55" i="25"/>
  <c r="T78" i="25"/>
  <c r="T155" i="25"/>
  <c r="T68" i="25"/>
  <c r="L179" i="24"/>
  <c r="O179" i="24"/>
  <c r="P179" i="24" s="1"/>
  <c r="Q179" i="24" s="1"/>
  <c r="R179" i="24" s="1"/>
  <c r="S179" i="24" s="1"/>
  <c r="T179" i="24" s="1"/>
  <c r="U179" i="24" s="1"/>
  <c r="V179" i="24" s="1"/>
  <c r="W179" i="24" s="1"/>
  <c r="X179" i="24" s="1"/>
  <c r="N124" i="23"/>
  <c r="N123" i="23"/>
  <c r="N134" i="23"/>
  <c r="N138" i="23" s="1"/>
  <c r="N103" i="23"/>
  <c r="N102" i="23"/>
  <c r="N135" i="23"/>
  <c r="N63" i="23"/>
  <c r="N79" i="23"/>
  <c r="M153" i="23"/>
  <c r="N104" i="22"/>
  <c r="N105" i="22" s="1"/>
  <c r="N107" i="22" s="1"/>
  <c r="N106" i="22"/>
  <c r="L179" i="22"/>
  <c r="N179" i="22"/>
  <c r="O179" i="22" s="1"/>
  <c r="P179" i="22" s="1"/>
  <c r="Q179" i="22" s="1"/>
  <c r="R179" i="22" s="1"/>
  <c r="S179" i="22" s="1"/>
  <c r="T179" i="22" s="1"/>
  <c r="U179" i="22" s="1"/>
  <c r="V179" i="22" s="1"/>
  <c r="W179" i="22" s="1"/>
  <c r="N131" i="22"/>
  <c r="N132" i="22"/>
  <c r="N129" i="22"/>
  <c r="N130" i="22" s="1"/>
  <c r="N125" i="22"/>
  <c r="N139" i="22"/>
  <c r="N136" i="22"/>
  <c r="N137" i="22" s="1"/>
  <c r="N139" i="20"/>
  <c r="N136" i="20"/>
  <c r="N137" i="20" s="1"/>
  <c r="N106" i="20"/>
  <c r="N104" i="20"/>
  <c r="N105" i="20" s="1"/>
  <c r="N107" i="20" s="1"/>
  <c r="M181" i="20"/>
  <c r="M179" i="20"/>
  <c r="S153" i="20"/>
  <c r="S181" i="20" s="1"/>
  <c r="N132" i="20"/>
  <c r="N129" i="20"/>
  <c r="N130" i="20" s="1"/>
  <c r="N125" i="20"/>
  <c r="N131" i="20"/>
  <c r="G154" i="6"/>
  <c r="G17" i="6"/>
  <c r="G20" i="6"/>
  <c r="G22" i="6" s="1"/>
  <c r="G166" i="6"/>
  <c r="H68" i="6"/>
  <c r="G155" i="6"/>
  <c r="G19" i="6" s="1"/>
  <c r="T63" i="2"/>
  <c r="T64" i="2" s="1"/>
  <c r="T61" i="2"/>
  <c r="T62" i="2" s="1"/>
  <c r="T65" i="2"/>
  <c r="T66" i="2" s="1"/>
  <c r="T67" i="2"/>
  <c r="T68" i="2" s="1"/>
  <c r="T69" i="2"/>
  <c r="T70" i="2" s="1"/>
  <c r="T71" i="2"/>
  <c r="T72" i="2" s="1"/>
  <c r="T73" i="2"/>
  <c r="T74" i="2" s="1"/>
  <c r="T75" i="2"/>
  <c r="T76" i="2" s="1"/>
  <c r="T77" i="2"/>
  <c r="T78" i="2" s="1"/>
  <c r="T79" i="2"/>
  <c r="T80" i="2" s="1"/>
  <c r="D47" i="2"/>
  <c r="C47" i="2"/>
  <c r="B48" i="2"/>
  <c r="N115" i="24" l="1"/>
  <c r="N152" i="24" s="1"/>
  <c r="T14" i="22"/>
  <c r="T159" i="25"/>
  <c r="T160" i="25" s="1"/>
  <c r="T19" i="25"/>
  <c r="T20" i="25"/>
  <c r="T22" i="25" s="1"/>
  <c r="T17" i="25"/>
  <c r="U7" i="25" s="1"/>
  <c r="U30" i="25" s="1"/>
  <c r="U55" i="25"/>
  <c r="U46" i="25"/>
  <c r="U54" i="25"/>
  <c r="T24" i="22"/>
  <c r="T21" i="22"/>
  <c r="T23" i="22"/>
  <c r="T25" i="22"/>
  <c r="T145" i="22"/>
  <c r="T147" i="22" s="1"/>
  <c r="T149" i="22"/>
  <c r="T148" i="22"/>
  <c r="T119" i="22"/>
  <c r="T121" i="22" s="1"/>
  <c r="T120" i="22"/>
  <c r="T151" i="22" s="1"/>
  <c r="T139" i="22"/>
  <c r="T136" i="22"/>
  <c r="T137" i="22" s="1"/>
  <c r="N25" i="24"/>
  <c r="N23" i="24"/>
  <c r="N24" i="24"/>
  <c r="N151" i="24"/>
  <c r="N152" i="20"/>
  <c r="N18" i="20" s="1"/>
  <c r="N139" i="23"/>
  <c r="N136" i="23"/>
  <c r="N137" i="23" s="1"/>
  <c r="N106" i="23"/>
  <c r="N104" i="23"/>
  <c r="N105" i="23" s="1"/>
  <c r="N107" i="23" s="1"/>
  <c r="M181" i="23"/>
  <c r="M179" i="23"/>
  <c r="N131" i="23"/>
  <c r="N132" i="23"/>
  <c r="N125" i="23"/>
  <c r="N129" i="23"/>
  <c r="N130" i="23" s="1"/>
  <c r="N152" i="22"/>
  <c r="N151" i="22"/>
  <c r="N151" i="20"/>
  <c r="N179" i="20"/>
  <c r="O179" i="20" s="1"/>
  <c r="P179" i="20" s="1"/>
  <c r="Q179" i="20" s="1"/>
  <c r="R179" i="20" s="1"/>
  <c r="S179" i="20" s="1"/>
  <c r="T179" i="20" s="1"/>
  <c r="U179" i="20" s="1"/>
  <c r="V179" i="20" s="1"/>
  <c r="W179" i="20" s="1"/>
  <c r="L179" i="20"/>
  <c r="G159" i="6"/>
  <c r="G160" i="6" s="1"/>
  <c r="H47" i="6"/>
  <c r="H166" i="6"/>
  <c r="F166" i="6"/>
  <c r="H54" i="6"/>
  <c r="H94" i="6" s="1"/>
  <c r="H78" i="6"/>
  <c r="H46" i="6"/>
  <c r="D48" i="2"/>
  <c r="C48" i="2"/>
  <c r="B49" i="2"/>
  <c r="U37" i="25" l="1"/>
  <c r="U93" i="25" s="1"/>
  <c r="U48" i="25"/>
  <c r="U61" i="25"/>
  <c r="U65" i="25"/>
  <c r="U85" i="25"/>
  <c r="U73" i="25"/>
  <c r="U56" i="25"/>
  <c r="U69" i="25"/>
  <c r="U34" i="25"/>
  <c r="U64" i="25"/>
  <c r="U72" i="25"/>
  <c r="U63" i="25"/>
  <c r="T16" i="22"/>
  <c r="T154" i="22"/>
  <c r="N154" i="24"/>
  <c r="N155" i="24"/>
  <c r="N16" i="24"/>
  <c r="O6" i="24" s="1"/>
  <c r="O29" i="24" s="1"/>
  <c r="N180" i="24"/>
  <c r="M180" i="24" s="1"/>
  <c r="N18" i="24"/>
  <c r="T63" i="25"/>
  <c r="U79" i="25"/>
  <c r="T47" i="25"/>
  <c r="T79" i="25"/>
  <c r="O68" i="24"/>
  <c r="N151" i="23"/>
  <c r="N154" i="23" s="1"/>
  <c r="N152" i="23"/>
  <c r="N180" i="23" s="1"/>
  <c r="N155" i="20"/>
  <c r="N19" i="20" s="1"/>
  <c r="N180" i="20"/>
  <c r="N179" i="23"/>
  <c r="O179" i="23" s="1"/>
  <c r="P179" i="23" s="1"/>
  <c r="Q179" i="23" s="1"/>
  <c r="R179" i="23" s="1"/>
  <c r="S179" i="23" s="1"/>
  <c r="T179" i="23" s="1"/>
  <c r="U179" i="23" s="1"/>
  <c r="V179" i="23" s="1"/>
  <c r="W179" i="23" s="1"/>
  <c r="L179" i="23"/>
  <c r="T152" i="23"/>
  <c r="N16" i="20"/>
  <c r="O68" i="20" s="1"/>
  <c r="N154" i="20"/>
  <c r="N17" i="20" s="1"/>
  <c r="N18" i="22"/>
  <c r="N180" i="22"/>
  <c r="N154" i="22"/>
  <c r="N155" i="22"/>
  <c r="N16" i="22"/>
  <c r="O68" i="22" s="1"/>
  <c r="N159" i="20"/>
  <c r="N160" i="20" s="1"/>
  <c r="P78" i="20"/>
  <c r="O46" i="20"/>
  <c r="O54" i="20"/>
  <c r="O55" i="20"/>
  <c r="N25" i="20"/>
  <c r="O78" i="20"/>
  <c r="H55" i="6"/>
  <c r="H95" i="6" s="1"/>
  <c r="H123" i="6" s="1"/>
  <c r="H103" i="6"/>
  <c r="H134" i="6"/>
  <c r="H138" i="6" s="1"/>
  <c r="H102" i="6"/>
  <c r="H135" i="6"/>
  <c r="H63" i="6"/>
  <c r="H79" i="6"/>
  <c r="G153" i="6"/>
  <c r="G167" i="6" s="1"/>
  <c r="B50" i="2"/>
  <c r="D49" i="2"/>
  <c r="C49" i="2"/>
  <c r="T18" i="23" l="1"/>
  <c r="U78" i="23" s="1"/>
  <c r="T180" i="23"/>
  <c r="N16" i="23"/>
  <c r="O68" i="23" s="1"/>
  <c r="U41" i="25"/>
  <c r="U97" i="25" s="1"/>
  <c r="U90" i="25"/>
  <c r="U88" i="25"/>
  <c r="U80" i="25"/>
  <c r="U40" i="25"/>
  <c r="U96" i="25" s="1"/>
  <c r="U14" i="25" s="1"/>
  <c r="U89" i="25"/>
  <c r="U42" i="25"/>
  <c r="U98" i="25" s="1"/>
  <c r="U142" i="25"/>
  <c r="U146" i="25" s="1"/>
  <c r="U141" i="25"/>
  <c r="U135" i="25"/>
  <c r="U134" i="25"/>
  <c r="U138" i="25" s="1"/>
  <c r="U118" i="25"/>
  <c r="U117" i="25"/>
  <c r="U68" i="22"/>
  <c r="U6" i="22"/>
  <c r="U29" i="22" s="1"/>
  <c r="O44" i="24"/>
  <c r="O36" i="24"/>
  <c r="O92" i="24" s="1"/>
  <c r="O60" i="24"/>
  <c r="O52" i="24"/>
  <c r="O57" i="24"/>
  <c r="O49" i="24"/>
  <c r="O84" i="24"/>
  <c r="N17" i="24"/>
  <c r="O7" i="24" s="1"/>
  <c r="O30" i="24" s="1"/>
  <c r="O34" i="24" s="1"/>
  <c r="N20" i="24"/>
  <c r="N22" i="24" s="1"/>
  <c r="N159" i="24"/>
  <c r="N160" i="24" s="1"/>
  <c r="N19" i="24"/>
  <c r="N153" i="24" s="1"/>
  <c r="N181" i="24" s="1"/>
  <c r="T153" i="25"/>
  <c r="O78" i="24"/>
  <c r="O46" i="24"/>
  <c r="O54" i="24"/>
  <c r="O47" i="24"/>
  <c r="T152" i="22"/>
  <c r="N155" i="23"/>
  <c r="N159" i="23" s="1"/>
  <c r="N160" i="23" s="1"/>
  <c r="N18" i="23"/>
  <c r="N17" i="23" s="1"/>
  <c r="N20" i="20"/>
  <c r="N22" i="20" s="1"/>
  <c r="T68" i="23"/>
  <c r="T46" i="23"/>
  <c r="T54" i="23"/>
  <c r="T55" i="23"/>
  <c r="T78" i="23"/>
  <c r="T155" i="23"/>
  <c r="O46" i="22"/>
  <c r="P78" i="22"/>
  <c r="O55" i="22"/>
  <c r="O54" i="22"/>
  <c r="N17" i="22"/>
  <c r="N25" i="22"/>
  <c r="N20" i="22"/>
  <c r="N22" i="22" s="1"/>
  <c r="O78" i="22"/>
  <c r="T152" i="20"/>
  <c r="T68" i="22"/>
  <c r="N159" i="22"/>
  <c r="N160" i="22" s="1"/>
  <c r="N19" i="22"/>
  <c r="T46" i="22"/>
  <c r="T78" i="22"/>
  <c r="T68" i="20"/>
  <c r="P79" i="20"/>
  <c r="O63" i="20"/>
  <c r="N24" i="20"/>
  <c r="N153" i="20"/>
  <c r="N181" i="20" s="1"/>
  <c r="O79" i="20"/>
  <c r="H109" i="6"/>
  <c r="H111" i="6" s="1"/>
  <c r="H112" i="6" s="1"/>
  <c r="H110" i="6"/>
  <c r="H142" i="6"/>
  <c r="H146" i="6" s="1"/>
  <c r="H141" i="6"/>
  <c r="H145" i="6" s="1"/>
  <c r="H124" i="6"/>
  <c r="H125" i="6" s="1"/>
  <c r="H104" i="6"/>
  <c r="H105" i="6" s="1"/>
  <c r="H107" i="6" s="1"/>
  <c r="H106" i="6"/>
  <c r="H136" i="6"/>
  <c r="H137" i="6" s="1"/>
  <c r="H139" i="6"/>
  <c r="H129" i="6"/>
  <c r="H130" i="6" s="1"/>
  <c r="H167" i="6"/>
  <c r="F167" i="6"/>
  <c r="B51" i="2"/>
  <c r="D50" i="2"/>
  <c r="C50" i="2"/>
  <c r="T159" i="23" l="1"/>
  <c r="T160" i="23" s="1"/>
  <c r="T19" i="23"/>
  <c r="T20" i="23"/>
  <c r="T22" i="23" s="1"/>
  <c r="T17" i="23"/>
  <c r="U7" i="23" s="1"/>
  <c r="U30" i="23" s="1"/>
  <c r="U46" i="23"/>
  <c r="U55" i="23"/>
  <c r="U54" i="23"/>
  <c r="N20" i="23"/>
  <c r="N22" i="23" s="1"/>
  <c r="N25" i="23"/>
  <c r="O55" i="23"/>
  <c r="O54" i="23"/>
  <c r="O46" i="23"/>
  <c r="O78" i="23"/>
  <c r="P78" i="23"/>
  <c r="U23" i="25"/>
  <c r="U24" i="25"/>
  <c r="U25" i="25"/>
  <c r="U21" i="25"/>
  <c r="U136" i="25"/>
  <c r="U137" i="25" s="1"/>
  <c r="U139" i="25"/>
  <c r="T181" i="25"/>
  <c r="U145" i="25"/>
  <c r="U147" i="25" s="1"/>
  <c r="U148" i="25"/>
  <c r="U149" i="25"/>
  <c r="U119" i="25"/>
  <c r="U121" i="25" s="1"/>
  <c r="U120" i="25"/>
  <c r="U151" i="25" s="1"/>
  <c r="U16" i="25" s="1"/>
  <c r="V68" i="25" s="1"/>
  <c r="U57" i="22"/>
  <c r="U44" i="22"/>
  <c r="U52" i="22"/>
  <c r="U84" i="22"/>
  <c r="U60" i="22"/>
  <c r="U36" i="22"/>
  <c r="U92" i="22" s="1"/>
  <c r="U47" i="22"/>
  <c r="U49" i="22"/>
  <c r="T18" i="22"/>
  <c r="T180" i="22"/>
  <c r="O89" i="24"/>
  <c r="O41" i="24"/>
  <c r="O97" i="24" s="1"/>
  <c r="O80" i="24"/>
  <c r="O90" i="24"/>
  <c r="O42" i="24"/>
  <c r="O98" i="24" s="1"/>
  <c r="O88" i="24"/>
  <c r="O40" i="24"/>
  <c r="O96" i="24" s="1"/>
  <c r="O64" i="24"/>
  <c r="O103" i="24"/>
  <c r="O109" i="24"/>
  <c r="O102" i="24"/>
  <c r="O110" i="24"/>
  <c r="O85" i="24"/>
  <c r="O65" i="24"/>
  <c r="O56" i="24"/>
  <c r="O37" i="24"/>
  <c r="O93" i="24" s="1"/>
  <c r="O48" i="24"/>
  <c r="O73" i="24"/>
  <c r="O61" i="24"/>
  <c r="O69" i="24"/>
  <c r="O72" i="24"/>
  <c r="T180" i="20"/>
  <c r="T18" i="20"/>
  <c r="T155" i="22"/>
  <c r="N19" i="23"/>
  <c r="O63" i="23" s="1"/>
  <c r="O55" i="24"/>
  <c r="M181" i="24"/>
  <c r="O79" i="24"/>
  <c r="O63" i="24"/>
  <c r="T55" i="22"/>
  <c r="T54" i="22"/>
  <c r="T55" i="20"/>
  <c r="T155" i="20"/>
  <c r="O63" i="22"/>
  <c r="P79" i="22"/>
  <c r="N153" i="22"/>
  <c r="N181" i="22" s="1"/>
  <c r="N24" i="22"/>
  <c r="O79" i="22"/>
  <c r="H147" i="6"/>
  <c r="H132" i="6"/>
  <c r="H131" i="6"/>
  <c r="H113" i="6"/>
  <c r="H115" i="6" s="1"/>
  <c r="H114" i="6"/>
  <c r="H148" i="6"/>
  <c r="H149" i="6"/>
  <c r="B52" i="2"/>
  <c r="D51" i="2"/>
  <c r="C51" i="2"/>
  <c r="O113" i="24" l="1"/>
  <c r="U152" i="25"/>
  <c r="U73" i="23"/>
  <c r="U69" i="23"/>
  <c r="U37" i="23"/>
  <c r="U93" i="23" s="1"/>
  <c r="U56" i="23"/>
  <c r="U85" i="23"/>
  <c r="U61" i="23"/>
  <c r="U65" i="23"/>
  <c r="U48" i="23"/>
  <c r="U72" i="23"/>
  <c r="U34" i="23"/>
  <c r="U64" i="23"/>
  <c r="U63" i="23"/>
  <c r="N24" i="23"/>
  <c r="N153" i="23"/>
  <c r="N181" i="23" s="1"/>
  <c r="P79" i="23"/>
  <c r="O79" i="23"/>
  <c r="V152" i="25"/>
  <c r="U18" i="25"/>
  <c r="U180" i="25"/>
  <c r="U154" i="25"/>
  <c r="U155" i="25"/>
  <c r="U109" i="22"/>
  <c r="U102" i="22"/>
  <c r="U110" i="22"/>
  <c r="U103" i="22"/>
  <c r="T20" i="22"/>
  <c r="T22" i="22" s="1"/>
  <c r="T17" i="22"/>
  <c r="U7" i="22" s="1"/>
  <c r="U30" i="22" s="1"/>
  <c r="U46" i="22"/>
  <c r="U55" i="22"/>
  <c r="U54" i="22"/>
  <c r="U78" i="22"/>
  <c r="T159" i="22"/>
  <c r="T160" i="22" s="1"/>
  <c r="T19" i="22"/>
  <c r="U79" i="22" s="1"/>
  <c r="O106" i="24"/>
  <c r="O104" i="24"/>
  <c r="O105" i="24" s="1"/>
  <c r="O107" i="24" s="1"/>
  <c r="O114" i="24"/>
  <c r="O111" i="24"/>
  <c r="O112" i="24" s="1"/>
  <c r="O115" i="24" s="1"/>
  <c r="O141" i="24"/>
  <c r="O142" i="24"/>
  <c r="O146" i="24" s="1"/>
  <c r="O135" i="24"/>
  <c r="O134" i="24"/>
  <c r="O138" i="24" s="1"/>
  <c r="O118" i="24"/>
  <c r="O117" i="24"/>
  <c r="O14" i="24"/>
  <c r="T17" i="20"/>
  <c r="U7" i="20" s="1"/>
  <c r="U30" i="20" s="1"/>
  <c r="T20" i="20"/>
  <c r="T22" i="20" s="1"/>
  <c r="U46" i="20"/>
  <c r="U54" i="20"/>
  <c r="U55" i="20"/>
  <c r="T159" i="20"/>
  <c r="T160" i="20" s="1"/>
  <c r="T19" i="20"/>
  <c r="U79" i="20" s="1"/>
  <c r="U78" i="20"/>
  <c r="T46" i="20"/>
  <c r="T78" i="20"/>
  <c r="T54" i="20"/>
  <c r="T63" i="23"/>
  <c r="U79" i="23"/>
  <c r="T47" i="23"/>
  <c r="T79" i="23"/>
  <c r="T63" i="22"/>
  <c r="T47" i="22"/>
  <c r="T79" i="22"/>
  <c r="T63" i="20"/>
  <c r="T47" i="20"/>
  <c r="T79" i="20"/>
  <c r="H152" i="6"/>
  <c r="H18" i="6" s="1"/>
  <c r="H151" i="6"/>
  <c r="H16" i="6" s="1"/>
  <c r="D52" i="2"/>
  <c r="C52" i="2"/>
  <c r="B53" i="2"/>
  <c r="U113" i="22" l="1"/>
  <c r="U89" i="23"/>
  <c r="U42" i="23"/>
  <c r="U98" i="23" s="1"/>
  <c r="U80" i="23"/>
  <c r="U88" i="23"/>
  <c r="U90" i="23"/>
  <c r="U40" i="23"/>
  <c r="U96" i="23" s="1"/>
  <c r="U14" i="23" s="1"/>
  <c r="U41" i="23"/>
  <c r="U97" i="23" s="1"/>
  <c r="U135" i="23"/>
  <c r="U142" i="23"/>
  <c r="U146" i="23" s="1"/>
  <c r="U141" i="23"/>
  <c r="U134" i="23"/>
  <c r="U138" i="23" s="1"/>
  <c r="U118" i="23"/>
  <c r="U117" i="23"/>
  <c r="U159" i="25"/>
  <c r="U160" i="25" s="1"/>
  <c r="U19" i="25"/>
  <c r="W78" i="25"/>
  <c r="V46" i="25"/>
  <c r="V55" i="25"/>
  <c r="V54" i="25"/>
  <c r="V78" i="25"/>
  <c r="U20" i="25"/>
  <c r="U22" i="25" s="1"/>
  <c r="U17" i="25"/>
  <c r="W152" i="25"/>
  <c r="W155" i="25" s="1"/>
  <c r="W159" i="25" s="1"/>
  <c r="W160" i="25" s="1"/>
  <c r="V155" i="25"/>
  <c r="V159" i="25" s="1"/>
  <c r="V160" i="25" s="1"/>
  <c r="U104" i="22"/>
  <c r="U105" i="22" s="1"/>
  <c r="U107" i="22" s="1"/>
  <c r="U106" i="22"/>
  <c r="U114" i="22"/>
  <c r="U111" i="22"/>
  <c r="U112" i="22" s="1"/>
  <c r="U115" i="22" s="1"/>
  <c r="U56" i="22"/>
  <c r="U37" i="22"/>
  <c r="U93" i="22" s="1"/>
  <c r="U69" i="22"/>
  <c r="U65" i="22"/>
  <c r="U85" i="22"/>
  <c r="U73" i="22"/>
  <c r="U48" i="22"/>
  <c r="U61" i="22"/>
  <c r="U34" i="22"/>
  <c r="U72" i="22"/>
  <c r="U64" i="22"/>
  <c r="U63" i="22"/>
  <c r="O25" i="24"/>
  <c r="O24" i="24"/>
  <c r="O21" i="24"/>
  <c r="O23" i="24"/>
  <c r="O148" i="24"/>
  <c r="O145" i="24"/>
  <c r="O147" i="24" s="1"/>
  <c r="O149" i="24"/>
  <c r="O120" i="24"/>
  <c r="O119" i="24"/>
  <c r="O121" i="24" s="1"/>
  <c r="O139" i="24"/>
  <c r="O136" i="24"/>
  <c r="O137" i="24" s="1"/>
  <c r="U63" i="20"/>
  <c r="U56" i="20"/>
  <c r="U65" i="20"/>
  <c r="U85" i="20"/>
  <c r="U48" i="20"/>
  <c r="U61" i="20"/>
  <c r="U37" i="20"/>
  <c r="U93" i="20" s="1"/>
  <c r="U73" i="20"/>
  <c r="U69" i="20"/>
  <c r="U72" i="20"/>
  <c r="U34" i="20"/>
  <c r="U64" i="20"/>
  <c r="T153" i="23"/>
  <c r="T153" i="22"/>
  <c r="T153" i="20"/>
  <c r="H20" i="6"/>
  <c r="H22" i="6" s="1"/>
  <c r="I152" i="6"/>
  <c r="I18" i="6" s="1"/>
  <c r="J78" i="6" s="1"/>
  <c r="H168" i="6"/>
  <c r="I168" i="6" s="1"/>
  <c r="H154" i="6"/>
  <c r="H17" i="6" s="1"/>
  <c r="H155" i="6"/>
  <c r="H19" i="6" s="1"/>
  <c r="I78" i="6"/>
  <c r="I46" i="6"/>
  <c r="I68" i="6"/>
  <c r="B54" i="2"/>
  <c r="D53" i="2"/>
  <c r="C53" i="2"/>
  <c r="O152" i="24" l="1"/>
  <c r="O151" i="24"/>
  <c r="O155" i="24" s="1"/>
  <c r="U145" i="23"/>
  <c r="U147" i="23" s="1"/>
  <c r="U148" i="23"/>
  <c r="U149" i="23"/>
  <c r="U25" i="23"/>
  <c r="U23" i="23"/>
  <c r="U24" i="23"/>
  <c r="U21" i="23"/>
  <c r="T181" i="23"/>
  <c r="U139" i="23"/>
  <c r="U136" i="23"/>
  <c r="U137" i="23" s="1"/>
  <c r="U119" i="23"/>
  <c r="U121" i="23" s="1"/>
  <c r="U152" i="23" s="1"/>
  <c r="U120" i="23"/>
  <c r="V63" i="25"/>
  <c r="W79" i="25"/>
  <c r="V47" i="25"/>
  <c r="V79" i="25"/>
  <c r="U153" i="25"/>
  <c r="U89" i="22"/>
  <c r="U90" i="22"/>
  <c r="U80" i="22"/>
  <c r="U40" i="22"/>
  <c r="U96" i="22" s="1"/>
  <c r="U42" i="22"/>
  <c r="U98" i="22" s="1"/>
  <c r="U88" i="22"/>
  <c r="U41" i="22"/>
  <c r="U97" i="22" s="1"/>
  <c r="T181" i="22"/>
  <c r="U142" i="22"/>
  <c r="U146" i="22" s="1"/>
  <c r="U141" i="22"/>
  <c r="U135" i="22"/>
  <c r="U134" i="22"/>
  <c r="U138" i="22" s="1"/>
  <c r="U118" i="22"/>
  <c r="U117" i="22"/>
  <c r="O180" i="24"/>
  <c r="O18" i="24"/>
  <c r="O154" i="24"/>
  <c r="O16" i="24"/>
  <c r="U88" i="20"/>
  <c r="U90" i="20"/>
  <c r="U42" i="20"/>
  <c r="U98" i="20" s="1"/>
  <c r="U89" i="20"/>
  <c r="U40" i="20"/>
  <c r="U96" i="20" s="1"/>
  <c r="U14" i="20" s="1"/>
  <c r="U80" i="20"/>
  <c r="U41" i="20"/>
  <c r="U97" i="20" s="1"/>
  <c r="U142" i="20"/>
  <c r="U146" i="20" s="1"/>
  <c r="U135" i="20"/>
  <c r="U141" i="20"/>
  <c r="U134" i="20"/>
  <c r="U138" i="20" s="1"/>
  <c r="U117" i="20"/>
  <c r="U118" i="20"/>
  <c r="T181" i="20"/>
  <c r="I20" i="6"/>
  <c r="I22" i="6" s="1"/>
  <c r="I170" i="6"/>
  <c r="H170" i="6" s="1"/>
  <c r="I17" i="6"/>
  <c r="I155" i="6"/>
  <c r="I19" i="6" s="1"/>
  <c r="J79" i="6" s="1"/>
  <c r="G168" i="6"/>
  <c r="H159" i="6"/>
  <c r="H160" i="6" s="1"/>
  <c r="I55" i="6"/>
  <c r="I54" i="6" s="1"/>
  <c r="I47" i="6"/>
  <c r="I63" i="6"/>
  <c r="H153" i="6"/>
  <c r="H169" i="6" s="1"/>
  <c r="I79" i="6"/>
  <c r="J46" i="6"/>
  <c r="D54" i="2"/>
  <c r="C54" i="2"/>
  <c r="B55" i="2"/>
  <c r="U151" i="23" l="1"/>
  <c r="U16" i="23" s="1"/>
  <c r="V68" i="23" s="1"/>
  <c r="V152" i="23"/>
  <c r="U180" i="23"/>
  <c r="U18" i="23"/>
  <c r="U154" i="23"/>
  <c r="U155" i="23"/>
  <c r="V153" i="25"/>
  <c r="W153" i="25" s="1"/>
  <c r="U181" i="25"/>
  <c r="U14" i="22"/>
  <c r="U139" i="22"/>
  <c r="U136" i="22"/>
  <c r="U137" i="22" s="1"/>
  <c r="U149" i="22"/>
  <c r="U148" i="22"/>
  <c r="U145" i="22"/>
  <c r="U147" i="22" s="1"/>
  <c r="U119" i="22"/>
  <c r="U121" i="22" s="1"/>
  <c r="U120" i="22"/>
  <c r="P68" i="24"/>
  <c r="P6" i="24"/>
  <c r="P29" i="24" s="1"/>
  <c r="P46" i="24"/>
  <c r="P78" i="24"/>
  <c r="P55" i="24"/>
  <c r="P95" i="24" s="1"/>
  <c r="O20" i="24"/>
  <c r="O22" i="24" s="1"/>
  <c r="O17" i="24"/>
  <c r="P7" i="24" s="1"/>
  <c r="P30" i="24" s="1"/>
  <c r="O159" i="24"/>
  <c r="O160" i="24" s="1"/>
  <c r="O19" i="24"/>
  <c r="U23" i="20"/>
  <c r="U25" i="20"/>
  <c r="U21" i="20"/>
  <c r="U24" i="20"/>
  <c r="U145" i="20"/>
  <c r="U147" i="20" s="1"/>
  <c r="U148" i="20"/>
  <c r="U149" i="20"/>
  <c r="U120" i="20"/>
  <c r="U151" i="20" s="1"/>
  <c r="U119" i="20"/>
  <c r="U121" i="20" s="1"/>
  <c r="U152" i="20" s="1"/>
  <c r="U136" i="20"/>
  <c r="U137" i="20" s="1"/>
  <c r="U139" i="20"/>
  <c r="J170" i="6"/>
  <c r="I159" i="6"/>
  <c r="I160" i="6" s="1"/>
  <c r="J55" i="6"/>
  <c r="J47" i="6"/>
  <c r="J54" i="6"/>
  <c r="J94" i="6" s="1"/>
  <c r="J95" i="6"/>
  <c r="I169" i="6"/>
  <c r="G169" i="6"/>
  <c r="J63" i="6"/>
  <c r="I153" i="6"/>
  <c r="I171" i="6" s="1"/>
  <c r="D55" i="2"/>
  <c r="C55" i="2"/>
  <c r="V55" i="23" l="1"/>
  <c r="V54" i="23"/>
  <c r="V46" i="23"/>
  <c r="W78" i="23"/>
  <c r="V78" i="23"/>
  <c r="U20" i="23"/>
  <c r="U22" i="23" s="1"/>
  <c r="U17" i="23"/>
  <c r="U159" i="23"/>
  <c r="U160" i="23" s="1"/>
  <c r="U19" i="23"/>
  <c r="W152" i="23"/>
  <c r="W155" i="23" s="1"/>
  <c r="W159" i="23" s="1"/>
  <c r="W160" i="23" s="1"/>
  <c r="V155" i="23"/>
  <c r="V159" i="23" s="1"/>
  <c r="V160" i="23" s="1"/>
  <c r="U151" i="22"/>
  <c r="U16" i="22" s="1"/>
  <c r="V68" i="22" s="1"/>
  <c r="U21" i="22"/>
  <c r="U25" i="22"/>
  <c r="U23" i="22"/>
  <c r="U24" i="22"/>
  <c r="U152" i="22"/>
  <c r="V152" i="22" s="1"/>
  <c r="P79" i="24"/>
  <c r="P63" i="24"/>
  <c r="O153" i="24"/>
  <c r="O181" i="24" s="1"/>
  <c r="P64" i="24"/>
  <c r="P84" i="24"/>
  <c r="P49" i="24"/>
  <c r="P34" i="24"/>
  <c r="P60" i="24"/>
  <c r="P52" i="24"/>
  <c r="P72" i="24"/>
  <c r="P57" i="24"/>
  <c r="P36" i="24"/>
  <c r="P92" i="24" s="1"/>
  <c r="P110" i="24" s="1"/>
  <c r="P44" i="24"/>
  <c r="P54" i="24"/>
  <c r="P94" i="24" s="1"/>
  <c r="P47" i="24"/>
  <c r="P37" i="24"/>
  <c r="P93" i="24" s="1"/>
  <c r="P56" i="24"/>
  <c r="P69" i="24"/>
  <c r="P65" i="24"/>
  <c r="P48" i="24"/>
  <c r="P85" i="24"/>
  <c r="P61" i="24"/>
  <c r="P73" i="24"/>
  <c r="V152" i="20"/>
  <c r="U180" i="20"/>
  <c r="U18" i="20"/>
  <c r="U154" i="20"/>
  <c r="U155" i="20"/>
  <c r="U16" i="20"/>
  <c r="V68" i="20" s="1"/>
  <c r="Q29" i="24"/>
  <c r="J141" i="6"/>
  <c r="J142" i="6"/>
  <c r="J146" i="6" s="1"/>
  <c r="J109" i="6"/>
  <c r="J110" i="6"/>
  <c r="J103" i="6"/>
  <c r="J124" i="6"/>
  <c r="J134" i="6"/>
  <c r="J138" i="6" s="1"/>
  <c r="J135" i="6"/>
  <c r="J123" i="6"/>
  <c r="J102" i="6"/>
  <c r="H171" i="6"/>
  <c r="J171" i="6"/>
  <c r="W79" i="23" l="1"/>
  <c r="V63" i="23"/>
  <c r="V47" i="23"/>
  <c r="V79" i="23"/>
  <c r="U153" i="23"/>
  <c r="U18" i="22"/>
  <c r="U20" i="22" s="1"/>
  <c r="U22" i="22" s="1"/>
  <c r="V155" i="22"/>
  <c r="V159" i="22" s="1"/>
  <c r="V160" i="22" s="1"/>
  <c r="W152" i="22"/>
  <c r="W155" i="22" s="1"/>
  <c r="W159" i="22" s="1"/>
  <c r="W160" i="22" s="1"/>
  <c r="U180" i="22"/>
  <c r="U154" i="22"/>
  <c r="U155" i="22"/>
  <c r="P135" i="24"/>
  <c r="P134" i="24"/>
  <c r="P138" i="24" s="1"/>
  <c r="P141" i="24"/>
  <c r="P142" i="24"/>
  <c r="P146" i="24" s="1"/>
  <c r="P80" i="24"/>
  <c r="P88" i="24"/>
  <c r="P42" i="24"/>
  <c r="P98" i="24" s="1"/>
  <c r="P41" i="24"/>
  <c r="P97" i="24" s="1"/>
  <c r="P90" i="24"/>
  <c r="P40" i="24"/>
  <c r="P96" i="24" s="1"/>
  <c r="P14" i="24" s="1"/>
  <c r="P89" i="24"/>
  <c r="P124" i="24"/>
  <c r="P123" i="24"/>
  <c r="P118" i="24"/>
  <c r="P117" i="24"/>
  <c r="P102" i="24"/>
  <c r="P103" i="24"/>
  <c r="P109" i="24"/>
  <c r="P113" i="24" s="1"/>
  <c r="W78" i="20"/>
  <c r="V46" i="20"/>
  <c r="V54" i="20"/>
  <c r="V55" i="20"/>
  <c r="V78" i="20"/>
  <c r="U17" i="20"/>
  <c r="U20" i="20"/>
  <c r="U22" i="20" s="1"/>
  <c r="U159" i="20"/>
  <c r="U160" i="20" s="1"/>
  <c r="U19" i="20"/>
  <c r="W152" i="20"/>
  <c r="W155" i="20" s="1"/>
  <c r="W159" i="20" s="1"/>
  <c r="W160" i="20" s="1"/>
  <c r="V155" i="20"/>
  <c r="V159" i="20" s="1"/>
  <c r="V160" i="20" s="1"/>
  <c r="Q57" i="24"/>
  <c r="Q44" i="24"/>
  <c r="Q52" i="24"/>
  <c r="Q60" i="24"/>
  <c r="Q36" i="24"/>
  <c r="Q92" i="24" s="1"/>
  <c r="Q49" i="24"/>
  <c r="Q84" i="24"/>
  <c r="Q30" i="24"/>
  <c r="Q64" i="24" s="1"/>
  <c r="J113" i="6"/>
  <c r="J125" i="6"/>
  <c r="J131" i="6" s="1"/>
  <c r="J129" i="6"/>
  <c r="J130" i="6" s="1"/>
  <c r="J114" i="6"/>
  <c r="J111" i="6"/>
  <c r="J112" i="6" s="1"/>
  <c r="J106" i="6"/>
  <c r="J104" i="6"/>
  <c r="J105" i="6" s="1"/>
  <c r="J107" i="6" s="1"/>
  <c r="J139" i="6"/>
  <c r="J136" i="6"/>
  <c r="J137" i="6" s="1"/>
  <c r="J145" i="6"/>
  <c r="J147" i="6" s="1"/>
  <c r="J148" i="6"/>
  <c r="J149" i="6"/>
  <c r="N30" i="6"/>
  <c r="N69" i="6" s="1"/>
  <c r="U17" i="22" l="1"/>
  <c r="V78" i="22"/>
  <c r="W78" i="22"/>
  <c r="V55" i="22"/>
  <c r="V54" i="22"/>
  <c r="V153" i="23"/>
  <c r="W153" i="23" s="1"/>
  <c r="U181" i="23"/>
  <c r="V46" i="22"/>
  <c r="U159" i="22"/>
  <c r="U160" i="22" s="1"/>
  <c r="U19" i="22"/>
  <c r="P21" i="24"/>
  <c r="P23" i="24"/>
  <c r="P25" i="24"/>
  <c r="P148" i="24"/>
  <c r="P145" i="24"/>
  <c r="P147" i="24" s="1"/>
  <c r="P149" i="24"/>
  <c r="P106" i="24"/>
  <c r="P104" i="24"/>
  <c r="P105" i="24" s="1"/>
  <c r="P107" i="24" s="1"/>
  <c r="P120" i="24"/>
  <c r="P119" i="24"/>
  <c r="P121" i="24" s="1"/>
  <c r="P131" i="24"/>
  <c r="P132" i="24"/>
  <c r="P125" i="24"/>
  <c r="P129" i="24"/>
  <c r="P130" i="24" s="1"/>
  <c r="P24" i="24"/>
  <c r="P111" i="24"/>
  <c r="P112" i="24" s="1"/>
  <c r="P115" i="24" s="1"/>
  <c r="P152" i="24" s="1"/>
  <c r="P114" i="24"/>
  <c r="P136" i="24"/>
  <c r="P137" i="24" s="1"/>
  <c r="P139" i="24"/>
  <c r="V63" i="20"/>
  <c r="V47" i="20"/>
  <c r="W79" i="20"/>
  <c r="V79" i="20"/>
  <c r="U153" i="20"/>
  <c r="J132" i="6"/>
  <c r="Q34" i="24"/>
  <c r="Q72" i="24"/>
  <c r="Q89" i="24"/>
  <c r="Q88" i="24"/>
  <c r="Q40" i="24"/>
  <c r="Q96" i="24" s="1"/>
  <c r="Q42" i="24"/>
  <c r="Q98" i="24" s="1"/>
  <c r="Q41" i="24"/>
  <c r="Q97" i="24" s="1"/>
  <c r="Q80" i="24"/>
  <c r="Q90" i="24"/>
  <c r="Q69" i="24"/>
  <c r="Q56" i="24"/>
  <c r="Q85" i="24"/>
  <c r="Q73" i="24"/>
  <c r="Q65" i="24"/>
  <c r="Q37" i="24"/>
  <c r="Q93" i="24" s="1"/>
  <c r="Q118" i="24" s="1"/>
  <c r="Q48" i="24"/>
  <c r="Q61" i="24"/>
  <c r="Q110" i="24"/>
  <c r="Q109" i="24"/>
  <c r="Q102" i="24"/>
  <c r="Q103" i="24"/>
  <c r="J115" i="6"/>
  <c r="J151" i="6"/>
  <c r="J16" i="6" s="1"/>
  <c r="K6" i="6" s="1"/>
  <c r="K29" i="6" s="1"/>
  <c r="N64" i="6"/>
  <c r="N72" i="6"/>
  <c r="N56" i="6"/>
  <c r="N48" i="6"/>
  <c r="N73" i="6"/>
  <c r="N85" i="6"/>
  <c r="N61" i="6"/>
  <c r="N37" i="6"/>
  <c r="N93" i="6" s="1"/>
  <c r="N65" i="6"/>
  <c r="N34" i="6"/>
  <c r="N42" i="6" s="1"/>
  <c r="N98" i="6" s="1"/>
  <c r="V63" i="22" l="1"/>
  <c r="V47" i="22"/>
  <c r="W79" i="22"/>
  <c r="V79" i="22"/>
  <c r="U153" i="22"/>
  <c r="P180" i="24"/>
  <c r="P18" i="24"/>
  <c r="P151" i="24"/>
  <c r="V153" i="20"/>
  <c r="W153" i="20" s="1"/>
  <c r="U181" i="20"/>
  <c r="J152" i="6"/>
  <c r="J155" i="6" s="1"/>
  <c r="J19" i="6" s="1"/>
  <c r="Q117" i="24"/>
  <c r="Q119" i="24" s="1"/>
  <c r="Q121" i="24" s="1"/>
  <c r="Q113" i="24"/>
  <c r="Q14" i="24"/>
  <c r="Q114" i="24"/>
  <c r="Q111" i="24"/>
  <c r="Q112" i="24" s="1"/>
  <c r="Q104" i="24"/>
  <c r="Q105" i="24" s="1"/>
  <c r="Q107" i="24" s="1"/>
  <c r="Q106" i="24"/>
  <c r="Q141" i="24"/>
  <c r="Q142" i="24"/>
  <c r="Q146" i="24" s="1"/>
  <c r="Q135" i="24"/>
  <c r="Q134" i="24"/>
  <c r="Q138" i="24" s="1"/>
  <c r="K36" i="6"/>
  <c r="K92" i="6" s="1"/>
  <c r="K57" i="6"/>
  <c r="K60" i="6"/>
  <c r="K84" i="6"/>
  <c r="K52" i="6"/>
  <c r="K49" i="6"/>
  <c r="K44" i="6"/>
  <c r="N41" i="6"/>
  <c r="N97" i="6" s="1"/>
  <c r="N80" i="6"/>
  <c r="J154" i="6"/>
  <c r="N118" i="6"/>
  <c r="N90" i="6"/>
  <c r="N117" i="6"/>
  <c r="N120" i="6" s="1"/>
  <c r="N89" i="6"/>
  <c r="N88" i="6"/>
  <c r="N40" i="6"/>
  <c r="N96" i="6" s="1"/>
  <c r="V153" i="22" l="1"/>
  <c r="W153" i="22" s="1"/>
  <c r="U181" i="22"/>
  <c r="P154" i="24"/>
  <c r="P155" i="24"/>
  <c r="P16" i="24"/>
  <c r="Q68" i="24" s="1"/>
  <c r="Q46" i="24"/>
  <c r="Q78" i="24"/>
  <c r="Q54" i="24"/>
  <c r="P17" i="24"/>
  <c r="J172" i="6"/>
  <c r="J18" i="6"/>
  <c r="J25" i="6" s="1"/>
  <c r="Q120" i="24"/>
  <c r="Q115" i="24"/>
  <c r="Q148" i="24"/>
  <c r="Q149" i="24"/>
  <c r="Q145" i="24"/>
  <c r="Q147" i="24" s="1"/>
  <c r="Q139" i="24"/>
  <c r="Q152" i="24" s="1"/>
  <c r="Q136" i="24"/>
  <c r="Q137" i="24" s="1"/>
  <c r="Q24" i="24"/>
  <c r="Q21" i="24"/>
  <c r="Q25" i="24"/>
  <c r="Q23" i="24"/>
  <c r="N14" i="6"/>
  <c r="N21" i="6" s="1"/>
  <c r="J17" i="6"/>
  <c r="K7" i="6" s="1"/>
  <c r="K30" i="6" s="1"/>
  <c r="J20" i="6"/>
  <c r="J22" i="6" s="1"/>
  <c r="K172" i="6"/>
  <c r="I172" i="6"/>
  <c r="K55" i="6"/>
  <c r="K54" i="6" s="1"/>
  <c r="J159" i="6"/>
  <c r="J160" i="6" s="1"/>
  <c r="K46" i="6"/>
  <c r="K78" i="6"/>
  <c r="K94" i="6" s="1"/>
  <c r="K68" i="6"/>
  <c r="N119" i="6"/>
  <c r="N121" i="6" s="1"/>
  <c r="P20" i="24" l="1"/>
  <c r="P22" i="24" s="1"/>
  <c r="P159" i="24"/>
  <c r="P160" i="24" s="1"/>
  <c r="P19" i="24"/>
  <c r="Q151" i="24"/>
  <c r="Q154" i="24" s="1"/>
  <c r="Q17" i="24" s="1"/>
  <c r="Q180" i="24"/>
  <c r="Q18" i="24"/>
  <c r="R46" i="24" s="1"/>
  <c r="R94" i="24" s="1"/>
  <c r="Q16" i="24"/>
  <c r="R68" i="24" s="1"/>
  <c r="K37" i="6"/>
  <c r="K93" i="6" s="1"/>
  <c r="K135" i="6" s="1"/>
  <c r="K69" i="6"/>
  <c r="K73" i="6"/>
  <c r="K61" i="6"/>
  <c r="K85" i="6"/>
  <c r="K48" i="6"/>
  <c r="K56" i="6"/>
  <c r="K65" i="6"/>
  <c r="K34" i="6"/>
  <c r="K72" i="6"/>
  <c r="K64" i="6"/>
  <c r="N23" i="6"/>
  <c r="K103" i="6"/>
  <c r="K102" i="6"/>
  <c r="K63" i="6"/>
  <c r="K47" i="6"/>
  <c r="J153" i="6"/>
  <c r="K79" i="6"/>
  <c r="K95" i="6" s="1"/>
  <c r="Q55" i="24" l="1"/>
  <c r="Q79" i="24"/>
  <c r="Q47" i="24"/>
  <c r="Q63" i="24"/>
  <c r="P153" i="24"/>
  <c r="P181" i="24" s="1"/>
  <c r="R54" i="24"/>
  <c r="Q155" i="24"/>
  <c r="R78" i="24"/>
  <c r="R135" i="24"/>
  <c r="R102" i="24"/>
  <c r="R134" i="24"/>
  <c r="R138" i="24" s="1"/>
  <c r="R103" i="24"/>
  <c r="Q159" i="24"/>
  <c r="Q160" i="24" s="1"/>
  <c r="Q19" i="24"/>
  <c r="R47" i="24" s="1"/>
  <c r="R95" i="24" s="1"/>
  <c r="Q20" i="24"/>
  <c r="Q22" i="24" s="1"/>
  <c r="K134" i="6"/>
  <c r="K138" i="6" s="1"/>
  <c r="K41" i="6"/>
  <c r="K97" i="6" s="1"/>
  <c r="K80" i="6"/>
  <c r="K90" i="6"/>
  <c r="K40" i="6"/>
  <c r="K96" i="6" s="1"/>
  <c r="K42" i="6"/>
  <c r="K98" i="6" s="1"/>
  <c r="K88" i="6"/>
  <c r="K89" i="6"/>
  <c r="K118" i="6"/>
  <c r="K117" i="6"/>
  <c r="K124" i="6"/>
  <c r="K142" i="6"/>
  <c r="K146" i="6" s="1"/>
  <c r="K141" i="6"/>
  <c r="K110" i="6"/>
  <c r="K109" i="6"/>
  <c r="K123" i="6"/>
  <c r="J173" i="6"/>
  <c r="K139" i="6"/>
  <c r="K106" i="6"/>
  <c r="K104" i="6"/>
  <c r="K105" i="6" s="1"/>
  <c r="K107" i="6" s="1"/>
  <c r="K136" i="6" l="1"/>
  <c r="K137" i="6" s="1"/>
  <c r="R141" i="24"/>
  <c r="R142" i="24"/>
  <c r="R146" i="24" s="1"/>
  <c r="R109" i="24"/>
  <c r="R110" i="24"/>
  <c r="R123" i="24"/>
  <c r="R124" i="24"/>
  <c r="R55" i="24"/>
  <c r="R63" i="24"/>
  <c r="R79" i="24"/>
  <c r="Q153" i="24"/>
  <c r="Q181" i="24" s="1"/>
  <c r="R106" i="24"/>
  <c r="R104" i="24"/>
  <c r="R105" i="24" s="1"/>
  <c r="R107" i="24" s="1"/>
  <c r="R152" i="24" s="1"/>
  <c r="R136" i="24"/>
  <c r="R137" i="24" s="1"/>
  <c r="R139" i="24"/>
  <c r="K14" i="6"/>
  <c r="K23" i="6" s="1"/>
  <c r="K119" i="6"/>
  <c r="K121" i="6" s="1"/>
  <c r="K120" i="6"/>
  <c r="K113" i="6"/>
  <c r="K173" i="6"/>
  <c r="I173" i="6"/>
  <c r="K129" i="6"/>
  <c r="K130" i="6" s="1"/>
  <c r="K125" i="6"/>
  <c r="K131" i="6" s="1"/>
  <c r="K114" i="6"/>
  <c r="K111" i="6"/>
  <c r="K112" i="6" s="1"/>
  <c r="K115" i="6" s="1"/>
  <c r="K149" i="6"/>
  <c r="K145" i="6"/>
  <c r="K147" i="6" s="1"/>
  <c r="K148" i="6"/>
  <c r="R113" i="24" l="1"/>
  <c r="R125" i="24"/>
  <c r="R129" i="24"/>
  <c r="R130" i="24" s="1"/>
  <c r="R132" i="24"/>
  <c r="R111" i="24"/>
  <c r="R112" i="24" s="1"/>
  <c r="R115" i="24" s="1"/>
  <c r="R114" i="24"/>
  <c r="R145" i="24"/>
  <c r="R147" i="24" s="1"/>
  <c r="R149" i="24"/>
  <c r="R148" i="24"/>
  <c r="R131" i="24"/>
  <c r="R180" i="24"/>
  <c r="R18" i="24"/>
  <c r="K21" i="6"/>
  <c r="K24" i="6"/>
  <c r="K132" i="6"/>
  <c r="K152" i="6" s="1"/>
  <c r="K151" i="6"/>
  <c r="R151" i="24" l="1"/>
  <c r="R154" i="24" s="1"/>
  <c r="R17" i="24" s="1"/>
  <c r="S30" i="24" s="1"/>
  <c r="S46" i="24"/>
  <c r="R25" i="24"/>
  <c r="S78" i="24"/>
  <c r="R16" i="24"/>
  <c r="R155" i="24"/>
  <c r="K174" i="6"/>
  <c r="L174" i="6" s="1"/>
  <c r="K18" i="6"/>
  <c r="K25" i="6" s="1"/>
  <c r="K155" i="6"/>
  <c r="K16" i="6"/>
  <c r="L68" i="6" s="1"/>
  <c r="K154" i="6"/>
  <c r="K17" i="6" s="1"/>
  <c r="L30" i="6" s="1"/>
  <c r="S68" i="24" l="1"/>
  <c r="S29" i="24"/>
  <c r="S48" i="24" s="1"/>
  <c r="R20" i="24"/>
  <c r="R22" i="24" s="1"/>
  <c r="R159" i="24"/>
  <c r="R160" i="24" s="1"/>
  <c r="R19" i="24"/>
  <c r="S34" i="24"/>
  <c r="S69" i="24"/>
  <c r="S85" i="24"/>
  <c r="S61" i="24"/>
  <c r="S73" i="24"/>
  <c r="S37" i="24"/>
  <c r="S93" i="24" s="1"/>
  <c r="L61" i="6"/>
  <c r="L85" i="6"/>
  <c r="L56" i="6"/>
  <c r="L73" i="6"/>
  <c r="L69" i="6"/>
  <c r="L72" i="6"/>
  <c r="L48" i="6"/>
  <c r="L37" i="6"/>
  <c r="L93" i="6" s="1"/>
  <c r="L65" i="6"/>
  <c r="L34" i="6"/>
  <c r="L64" i="6"/>
  <c r="J174" i="6"/>
  <c r="L78" i="6"/>
  <c r="L46" i="6"/>
  <c r="L94" i="6" s="1"/>
  <c r="K159" i="6"/>
  <c r="K160" i="6" s="1"/>
  <c r="K19" i="6"/>
  <c r="K20" i="6"/>
  <c r="K22" i="6" s="1"/>
  <c r="S56" i="24" l="1"/>
  <c r="S60" i="24"/>
  <c r="S36" i="24"/>
  <c r="S92" i="24" s="1"/>
  <c r="S117" i="24" s="1"/>
  <c r="S57" i="24"/>
  <c r="S49" i="24"/>
  <c r="S47" i="24"/>
  <c r="S52" i="24"/>
  <c r="S84" i="24"/>
  <c r="S44" i="24"/>
  <c r="S54" i="24"/>
  <c r="S72" i="24"/>
  <c r="S64" i="24"/>
  <c r="S40" i="24"/>
  <c r="S96" i="24" s="1"/>
  <c r="S90" i="24"/>
  <c r="S41" i="24"/>
  <c r="S97" i="24" s="1"/>
  <c r="S42" i="24"/>
  <c r="S98" i="24" s="1"/>
  <c r="S89" i="24"/>
  <c r="S88" i="24"/>
  <c r="S80" i="24"/>
  <c r="S55" i="24"/>
  <c r="S63" i="24"/>
  <c r="R24" i="24"/>
  <c r="R153" i="24"/>
  <c r="R181" i="24" s="1"/>
  <c r="S79" i="24"/>
  <c r="S141" i="24"/>
  <c r="S142" i="24"/>
  <c r="S146" i="24" s="1"/>
  <c r="S134" i="24"/>
  <c r="S138" i="24" s="1"/>
  <c r="S135" i="24"/>
  <c r="S65" i="24"/>
  <c r="L40" i="6"/>
  <c r="L96" i="6" s="1"/>
  <c r="L88" i="6"/>
  <c r="L42" i="6"/>
  <c r="L98" i="6" s="1"/>
  <c r="L90" i="6"/>
  <c r="L89" i="6"/>
  <c r="L41" i="6"/>
  <c r="L97" i="6" s="1"/>
  <c r="L80" i="6"/>
  <c r="L103" i="6"/>
  <c r="L102" i="6"/>
  <c r="L118" i="6"/>
  <c r="L134" i="6"/>
  <c r="L138" i="6" s="1"/>
  <c r="L117" i="6"/>
  <c r="L135" i="6"/>
  <c r="K176" i="6"/>
  <c r="L47" i="6"/>
  <c r="L95" i="6" s="1"/>
  <c r="L63" i="6"/>
  <c r="L79" i="6"/>
  <c r="K153" i="6"/>
  <c r="L55" i="6"/>
  <c r="L54" i="6" s="1"/>
  <c r="S14" i="24" l="1"/>
  <c r="S21" i="24"/>
  <c r="S24" i="24"/>
  <c r="S25" i="24"/>
  <c r="S23" i="24"/>
  <c r="S139" i="24"/>
  <c r="S136" i="24"/>
  <c r="S137" i="24" s="1"/>
  <c r="S148" i="24"/>
  <c r="S145" i="24"/>
  <c r="S147" i="24" s="1"/>
  <c r="S149" i="24"/>
  <c r="S103" i="24"/>
  <c r="S110" i="24"/>
  <c r="S109" i="24"/>
  <c r="S102" i="24"/>
  <c r="S118" i="24"/>
  <c r="S120" i="24"/>
  <c r="S119" i="24"/>
  <c r="L14" i="6"/>
  <c r="L21" i="6" s="1"/>
  <c r="L120" i="6"/>
  <c r="L119" i="6"/>
  <c r="L121" i="6" s="1"/>
  <c r="L104" i="6"/>
  <c r="L105" i="6" s="1"/>
  <c r="L107" i="6" s="1"/>
  <c r="L106" i="6"/>
  <c r="L139" i="6"/>
  <c r="L136" i="6"/>
  <c r="L137" i="6" s="1"/>
  <c r="L124" i="6"/>
  <c r="L141" i="6"/>
  <c r="L142" i="6"/>
  <c r="L146" i="6" s="1"/>
  <c r="L123" i="6"/>
  <c r="L109" i="6"/>
  <c r="L110" i="6"/>
  <c r="M47" i="6"/>
  <c r="M95" i="6" s="1"/>
  <c r="K175" i="6"/>
  <c r="L23" i="6" l="1"/>
  <c r="S121" i="24"/>
  <c r="S113" i="24"/>
  <c r="S104" i="24"/>
  <c r="S105" i="24" s="1"/>
  <c r="S107" i="24" s="1"/>
  <c r="S106" i="24"/>
  <c r="S114" i="24"/>
  <c r="S111" i="24"/>
  <c r="S112" i="24" s="1"/>
  <c r="L113" i="6"/>
  <c r="L111" i="6"/>
  <c r="L112" i="6" s="1"/>
  <c r="L114" i="6"/>
  <c r="L125" i="6"/>
  <c r="L131" i="6"/>
  <c r="L129" i="6"/>
  <c r="L130" i="6" s="1"/>
  <c r="L132" i="6"/>
  <c r="L149" i="6"/>
  <c r="L148" i="6"/>
  <c r="L145" i="6"/>
  <c r="L147" i="6" s="1"/>
  <c r="M110" i="6"/>
  <c r="M109" i="6"/>
  <c r="L175" i="6"/>
  <c r="J175" i="6"/>
  <c r="S115" i="24" l="1"/>
  <c r="S151" i="24"/>
  <c r="S152" i="24"/>
  <c r="S18" i="24" s="1"/>
  <c r="L115" i="6"/>
  <c r="L152" i="6" s="1"/>
  <c r="L151" i="6"/>
  <c r="M113" i="6"/>
  <c r="M111" i="6"/>
  <c r="M112" i="6" s="1"/>
  <c r="M114" i="6"/>
  <c r="K177" i="6"/>
  <c r="S17" i="24" l="1"/>
  <c r="S154" i="24"/>
  <c r="S16" i="24"/>
  <c r="S20" i="24" s="1"/>
  <c r="S22" i="24" s="1"/>
  <c r="S180" i="24"/>
  <c r="S155" i="24"/>
  <c r="S19" i="24" s="1"/>
  <c r="L176" i="6"/>
  <c r="M176" i="6" s="1"/>
  <c r="L18" i="6"/>
  <c r="L16" i="6"/>
  <c r="L154" i="6"/>
  <c r="L155" i="6"/>
  <c r="M115" i="6"/>
  <c r="T68" i="24" l="1"/>
  <c r="T29" i="24"/>
  <c r="T54" i="24" s="1"/>
  <c r="S159" i="24"/>
  <c r="S160" i="24" s="1"/>
  <c r="T46" i="24"/>
  <c r="T78" i="24"/>
  <c r="T30" i="24"/>
  <c r="T72" i="24" s="1"/>
  <c r="L159" i="6"/>
  <c r="L160" i="6" s="1"/>
  <c r="L19" i="6"/>
  <c r="L25" i="6"/>
  <c r="L20" i="6"/>
  <c r="L22" i="6" s="1"/>
  <c r="M46" i="6"/>
  <c r="M94" i="6" s="1"/>
  <c r="L17" i="6"/>
  <c r="M7" i="6" s="1"/>
  <c r="M30" i="6" s="1"/>
  <c r="M78" i="6"/>
  <c r="M68" i="6"/>
  <c r="M55" i="6"/>
  <c r="M54" i="6" s="1"/>
  <c r="T57" i="24" l="1"/>
  <c r="T49" i="24"/>
  <c r="T36" i="24"/>
  <c r="T92" i="24" s="1"/>
  <c r="T102" i="24" s="1"/>
  <c r="T44" i="24"/>
  <c r="T47" i="24"/>
  <c r="T52" i="24"/>
  <c r="T60" i="24"/>
  <c r="T84" i="24"/>
  <c r="T64" i="24"/>
  <c r="T37" i="24"/>
  <c r="T93" i="24" s="1"/>
  <c r="T56" i="24"/>
  <c r="T85" i="24"/>
  <c r="T65" i="24"/>
  <c r="T69" i="24"/>
  <c r="T61" i="24"/>
  <c r="T48" i="24"/>
  <c r="T73" i="24"/>
  <c r="T55" i="24"/>
  <c r="T63" i="24"/>
  <c r="T79" i="24"/>
  <c r="S153" i="24"/>
  <c r="S181" i="24" s="1"/>
  <c r="T34" i="24"/>
  <c r="M85" i="6"/>
  <c r="M73" i="6"/>
  <c r="M48" i="6"/>
  <c r="M69" i="6"/>
  <c r="M34" i="6"/>
  <c r="M65" i="6"/>
  <c r="M37" i="6"/>
  <c r="M93" i="6" s="1"/>
  <c r="M134" i="6" s="1"/>
  <c r="M138" i="6" s="1"/>
  <c r="M56" i="6"/>
  <c r="M72" i="6"/>
  <c r="M64" i="6"/>
  <c r="M61" i="6"/>
  <c r="M102" i="6"/>
  <c r="M103" i="6"/>
  <c r="M123" i="6"/>
  <c r="M124" i="6"/>
  <c r="M79" i="6"/>
  <c r="L24" i="6"/>
  <c r="M63" i="6"/>
  <c r="L153" i="6"/>
  <c r="L177" i="6" s="1"/>
  <c r="M177" i="6" s="1"/>
  <c r="M135" i="6" l="1"/>
  <c r="T109" i="24"/>
  <c r="T111" i="24" s="1"/>
  <c r="T112" i="24" s="1"/>
  <c r="T110" i="24"/>
  <c r="T103" i="24"/>
  <c r="T118" i="24"/>
  <c r="T40" i="24"/>
  <c r="T96" i="24" s="1"/>
  <c r="T42" i="24"/>
  <c r="T98" i="24" s="1"/>
  <c r="T88" i="24"/>
  <c r="T41" i="24"/>
  <c r="T97" i="24" s="1"/>
  <c r="T89" i="24"/>
  <c r="T90" i="24"/>
  <c r="T80" i="24"/>
  <c r="T106" i="24"/>
  <c r="T104" i="24"/>
  <c r="T105" i="24" s="1"/>
  <c r="T142" i="24"/>
  <c r="T146" i="24" s="1"/>
  <c r="T141" i="24"/>
  <c r="T135" i="24"/>
  <c r="T134" i="24"/>
  <c r="T138" i="24" s="1"/>
  <c r="T117" i="24"/>
  <c r="M41" i="6"/>
  <c r="M97" i="6" s="1"/>
  <c r="M89" i="6"/>
  <c r="M90" i="6"/>
  <c r="M88" i="6"/>
  <c r="M80" i="6"/>
  <c r="M42" i="6"/>
  <c r="M98" i="6" s="1"/>
  <c r="M40" i="6"/>
  <c r="M96" i="6" s="1"/>
  <c r="M118" i="6"/>
  <c r="M117" i="6"/>
  <c r="M141" i="6"/>
  <c r="M142" i="6"/>
  <c r="M146" i="6" s="1"/>
  <c r="M132" i="6"/>
  <c r="M129" i="6"/>
  <c r="M130" i="6" s="1"/>
  <c r="M131" i="6"/>
  <c r="M125" i="6"/>
  <c r="M136" i="6"/>
  <c r="M137" i="6" s="1"/>
  <c r="M139" i="6"/>
  <c r="M104" i="6"/>
  <c r="M105" i="6" s="1"/>
  <c r="M107" i="6" s="1"/>
  <c r="M106" i="6"/>
  <c r="N47" i="6"/>
  <c r="N95" i="6" s="1"/>
  <c r="O47" i="6"/>
  <c r="T14" i="24" l="1"/>
  <c r="T21" i="24" s="1"/>
  <c r="T24" i="24"/>
  <c r="T23" i="24"/>
  <c r="T107" i="24"/>
  <c r="T114" i="24"/>
  <c r="T113" i="24"/>
  <c r="T115" i="24" s="1"/>
  <c r="T119" i="24"/>
  <c r="T121" i="24" s="1"/>
  <c r="T120" i="24"/>
  <c r="T136" i="24"/>
  <c r="T137" i="24" s="1"/>
  <c r="T139" i="24"/>
  <c r="T149" i="24"/>
  <c r="T148" i="24"/>
  <c r="T145" i="24"/>
  <c r="T147" i="24" s="1"/>
  <c r="N109" i="6"/>
  <c r="N142" i="6"/>
  <c r="N146" i="6" s="1"/>
  <c r="N110" i="6"/>
  <c r="N141" i="6"/>
  <c r="M145" i="6"/>
  <c r="M147" i="6" s="1"/>
  <c r="M149" i="6"/>
  <c r="M148" i="6"/>
  <c r="M120" i="6"/>
  <c r="M119" i="6"/>
  <c r="M121" i="6" s="1"/>
  <c r="M14" i="6"/>
  <c r="T25" i="24" l="1"/>
  <c r="T151" i="24"/>
  <c r="T16" i="24" s="1"/>
  <c r="T152" i="24"/>
  <c r="T18" i="24" s="1"/>
  <c r="N113" i="6"/>
  <c r="N145" i="6"/>
  <c r="N147" i="6" s="1"/>
  <c r="N149" i="6"/>
  <c r="N148" i="6"/>
  <c r="N111" i="6"/>
  <c r="N112" i="6" s="1"/>
  <c r="N115" i="6" s="1"/>
  <c r="N114" i="6"/>
  <c r="M151" i="6"/>
  <c r="M16" i="6" s="1"/>
  <c r="N68" i="6" s="1"/>
  <c r="M21" i="6"/>
  <c r="M23" i="6"/>
  <c r="M25" i="6"/>
  <c r="M24" i="6"/>
  <c r="M152" i="6"/>
  <c r="M18" i="6" s="1"/>
  <c r="T17" i="24" l="1"/>
  <c r="T20" i="24"/>
  <c r="T22" i="24" s="1"/>
  <c r="U152" i="24"/>
  <c r="U18" i="24" s="1"/>
  <c r="T154" i="24"/>
  <c r="U68" i="24"/>
  <c r="U180" i="24"/>
  <c r="T180" i="24"/>
  <c r="T155" i="24"/>
  <c r="T19" i="24" s="1"/>
  <c r="M154" i="6"/>
  <c r="M17" i="6" s="1"/>
  <c r="M178" i="6"/>
  <c r="L178" i="6" s="1"/>
  <c r="M155" i="6"/>
  <c r="M159" i="6" s="1"/>
  <c r="M160" i="6" s="1"/>
  <c r="N54" i="6"/>
  <c r="N94" i="6" s="1"/>
  <c r="N78" i="6"/>
  <c r="M20" i="6"/>
  <c r="M22" i="6" s="1"/>
  <c r="N46" i="6"/>
  <c r="V152" i="24" l="1"/>
  <c r="V18" i="24" s="1"/>
  <c r="W78" i="24" s="1"/>
  <c r="N178" i="6"/>
  <c r="O178" i="6" s="1"/>
  <c r="P178" i="6" s="1"/>
  <c r="Q178" i="6" s="1"/>
  <c r="R178" i="6" s="1"/>
  <c r="S178" i="6" s="1"/>
  <c r="T178" i="6" s="1"/>
  <c r="U178" i="6" s="1"/>
  <c r="V178" i="6" s="1"/>
  <c r="W178" i="6" s="1"/>
  <c r="U17" i="24"/>
  <c r="U20" i="24"/>
  <c r="U22" i="24" s="1"/>
  <c r="U155" i="24"/>
  <c r="U19" i="24" s="1"/>
  <c r="V55" i="24" s="1"/>
  <c r="V17" i="24"/>
  <c r="V20" i="24"/>
  <c r="V22" i="24" s="1"/>
  <c r="V180" i="24"/>
  <c r="V54" i="24"/>
  <c r="V46" i="24"/>
  <c r="V78" i="24"/>
  <c r="U54" i="24"/>
  <c r="U46" i="24"/>
  <c r="U78" i="24"/>
  <c r="T159" i="24"/>
  <c r="T160" i="24" s="1"/>
  <c r="V155" i="24"/>
  <c r="V19" i="24" s="1"/>
  <c r="W152" i="24"/>
  <c r="M19" i="6"/>
  <c r="N55" i="6"/>
  <c r="N134" i="6"/>
  <c r="N138" i="6" s="1"/>
  <c r="N123" i="6"/>
  <c r="N102" i="6"/>
  <c r="N103" i="6"/>
  <c r="N135" i="6"/>
  <c r="N124" i="6"/>
  <c r="U159" i="24" l="1"/>
  <c r="U160" i="24" s="1"/>
  <c r="V159" i="24"/>
  <c r="V160" i="24" s="1"/>
  <c r="W79" i="24"/>
  <c r="V47" i="24"/>
  <c r="V63" i="24"/>
  <c r="W55" i="24"/>
  <c r="W46" i="24"/>
  <c r="W54" i="24"/>
  <c r="X78" i="24"/>
  <c r="W155" i="24"/>
  <c r="W159" i="24" s="1"/>
  <c r="W160" i="24" s="1"/>
  <c r="X152" i="24"/>
  <c r="X155" i="24" s="1"/>
  <c r="X159" i="24" s="1"/>
  <c r="X160" i="24" s="1"/>
  <c r="U55" i="24"/>
  <c r="U47" i="24"/>
  <c r="U63" i="24"/>
  <c r="V79" i="24"/>
  <c r="U79" i="24"/>
  <c r="T153" i="24"/>
  <c r="M153" i="6"/>
  <c r="M179" i="6" s="1"/>
  <c r="N179" i="6" s="1"/>
  <c r="O179" i="6" s="1"/>
  <c r="P179" i="6" s="1"/>
  <c r="Q179" i="6" s="1"/>
  <c r="R179" i="6" s="1"/>
  <c r="S179" i="6" s="1"/>
  <c r="T179" i="6" s="1"/>
  <c r="U179" i="6" s="1"/>
  <c r="V179" i="6" s="1"/>
  <c r="W179" i="6" s="1"/>
  <c r="N63" i="6"/>
  <c r="N79" i="6"/>
  <c r="N106" i="6"/>
  <c r="N104" i="6"/>
  <c r="N105" i="6" s="1"/>
  <c r="N107" i="6" s="1"/>
  <c r="N125" i="6"/>
  <c r="N129" i="6"/>
  <c r="N130" i="6" s="1"/>
  <c r="N132" i="6"/>
  <c r="N131" i="6"/>
  <c r="N136" i="6"/>
  <c r="N137" i="6" s="1"/>
  <c r="N139" i="6"/>
  <c r="W63" i="24" l="1"/>
  <c r="W47" i="24"/>
  <c r="X79" i="24"/>
  <c r="U153" i="24"/>
  <c r="T181" i="24"/>
  <c r="L179" i="6"/>
  <c r="N151" i="6"/>
  <c r="N152" i="6"/>
  <c r="V153" i="24" l="1"/>
  <c r="U181" i="24"/>
  <c r="N18" i="6"/>
  <c r="N180" i="6"/>
  <c r="M180" i="6" s="1"/>
  <c r="N154" i="6"/>
  <c r="N16" i="6"/>
  <c r="O68" i="6" s="1"/>
  <c r="N155" i="6"/>
  <c r="O152" i="6"/>
  <c r="W153" i="24" l="1"/>
  <c r="X153" i="24" s="1"/>
  <c r="V181" i="24"/>
  <c r="N159" i="6"/>
  <c r="N160" i="6" s="1"/>
  <c r="N19" i="6"/>
  <c r="N20" i="6"/>
  <c r="N22" i="6" s="1"/>
  <c r="N17" i="6"/>
  <c r="O54" i="6"/>
  <c r="N25" i="6"/>
  <c r="O46" i="6"/>
  <c r="O78" i="6"/>
  <c r="O18" i="6"/>
  <c r="O180" i="6"/>
  <c r="O155" i="6"/>
  <c r="O55" i="6" l="1"/>
  <c r="O63" i="6"/>
  <c r="N24" i="6"/>
  <c r="O79" i="6"/>
  <c r="N153" i="6"/>
  <c r="N181" i="6" s="1"/>
  <c r="M181" i="6" s="1"/>
  <c r="O159" i="6"/>
  <c r="O160" i="6" s="1"/>
  <c r="O19" i="6"/>
  <c r="P55" i="6" s="1"/>
  <c r="P95" i="6" s="1"/>
  <c r="O17" i="6"/>
  <c r="O20" i="6"/>
  <c r="O22" i="6" s="1"/>
  <c r="P46" i="6"/>
  <c r="P54" i="6"/>
  <c r="P94" i="6" s="1"/>
  <c r="P78" i="6"/>
  <c r="P109" i="6" l="1"/>
  <c r="P141" i="6"/>
  <c r="P110" i="6"/>
  <c r="P142" i="6"/>
  <c r="P146" i="6" s="1"/>
  <c r="P134" i="6"/>
  <c r="P138" i="6" s="1"/>
  <c r="P124" i="6"/>
  <c r="P123" i="6"/>
  <c r="P103" i="6"/>
  <c r="P102" i="6"/>
  <c r="P135" i="6"/>
  <c r="P47" i="6"/>
  <c r="P63" i="6"/>
  <c r="P79" i="6"/>
  <c r="O153" i="6"/>
  <c r="P113" i="6" l="1"/>
  <c r="P136" i="6"/>
  <c r="P137" i="6" s="1"/>
  <c r="P139" i="6"/>
  <c r="P106" i="6"/>
  <c r="P104" i="6"/>
  <c r="P105" i="6" s="1"/>
  <c r="P107" i="6" s="1"/>
  <c r="P149" i="6"/>
  <c r="P148" i="6"/>
  <c r="P145" i="6"/>
  <c r="P147" i="6" s="1"/>
  <c r="P129" i="6"/>
  <c r="P130" i="6" s="1"/>
  <c r="P131" i="6"/>
  <c r="P132" i="6"/>
  <c r="P125" i="6"/>
  <c r="P114" i="6"/>
  <c r="P111" i="6"/>
  <c r="P112" i="6" s="1"/>
  <c r="P115" i="6" s="1"/>
  <c r="O181" i="6"/>
  <c r="P152" i="6" l="1"/>
  <c r="P18" i="6" s="1"/>
  <c r="P151" i="6"/>
  <c r="P180" i="6" l="1"/>
  <c r="P16" i="6"/>
  <c r="P154" i="6"/>
  <c r="P17" i="6" s="1"/>
  <c r="Q7" i="6" s="1"/>
  <c r="Q30" i="6" s="1"/>
  <c r="P155" i="6"/>
  <c r="P25" i="6"/>
  <c r="P20" i="6"/>
  <c r="P22" i="6" s="1"/>
  <c r="Q46" i="6"/>
  <c r="Q78" i="6"/>
  <c r="Q69" i="6" l="1"/>
  <c r="Q85" i="6"/>
  <c r="Q37" i="6"/>
  <c r="Q93" i="6" s="1"/>
  <c r="Q61" i="6"/>
  <c r="Q73" i="6"/>
  <c r="Q68" i="6"/>
  <c r="Q6" i="6"/>
  <c r="Q29" i="6" s="1"/>
  <c r="Q48" i="6" s="1"/>
  <c r="P159" i="6"/>
  <c r="P160" i="6" s="1"/>
  <c r="P19" i="6"/>
  <c r="Q134" i="6" l="1"/>
  <c r="Q138" i="6" s="1"/>
  <c r="Q142" i="6"/>
  <c r="Q146" i="6" s="1"/>
  <c r="Q141" i="6"/>
  <c r="Q135" i="6"/>
  <c r="Q56" i="6"/>
  <c r="Q84" i="6"/>
  <c r="Q64" i="6"/>
  <c r="Q34" i="6"/>
  <c r="Q52" i="6"/>
  <c r="Q49" i="6"/>
  <c r="Q36" i="6"/>
  <c r="Q92" i="6" s="1"/>
  <c r="Q72" i="6"/>
  <c r="Q44" i="6"/>
  <c r="Q57" i="6"/>
  <c r="Q60" i="6"/>
  <c r="Q54" i="6"/>
  <c r="Q65" i="6"/>
  <c r="P24" i="6"/>
  <c r="Q47" i="6"/>
  <c r="Q63" i="6"/>
  <c r="Q79" i="6"/>
  <c r="P153" i="6"/>
  <c r="Q55" i="6"/>
  <c r="Q139" i="6" l="1"/>
  <c r="Q136" i="6"/>
  <c r="Q137" i="6" s="1"/>
  <c r="Q149" i="6"/>
  <c r="Q145" i="6"/>
  <c r="Q147" i="6" s="1"/>
  <c r="Q148" i="6"/>
  <c r="Q102" i="6"/>
  <c r="Q103" i="6"/>
  <c r="Q109" i="6"/>
  <c r="Q118" i="6"/>
  <c r="Q110" i="6"/>
  <c r="Q117" i="6"/>
  <c r="Q89" i="6"/>
  <c r="Q80" i="6"/>
  <c r="Q42" i="6"/>
  <c r="Q98" i="6" s="1"/>
  <c r="Q40" i="6"/>
  <c r="Q41" i="6"/>
  <c r="Q97" i="6" s="1"/>
  <c r="Q88" i="6"/>
  <c r="Q90" i="6"/>
  <c r="P181" i="6"/>
  <c r="Q113" i="6" l="1"/>
  <c r="Q119" i="6"/>
  <c r="Q121" i="6" s="1"/>
  <c r="Q120" i="6"/>
  <c r="Q111" i="6"/>
  <c r="Q112" i="6" s="1"/>
  <c r="Q115" i="6" s="1"/>
  <c r="Q114" i="6"/>
  <c r="Q104" i="6"/>
  <c r="Q105" i="6" s="1"/>
  <c r="Q107" i="6" s="1"/>
  <c r="Q106" i="6"/>
  <c r="Q151" i="6" l="1"/>
  <c r="Q154" i="6" s="1"/>
  <c r="R47" i="6" l="1"/>
  <c r="R95" i="6" s="1"/>
  <c r="R109" i="6" l="1"/>
  <c r="R141" i="6"/>
  <c r="R110" i="6"/>
  <c r="R142" i="6"/>
  <c r="R146" i="6" s="1"/>
  <c r="R113" i="6" l="1"/>
  <c r="R148" i="6"/>
  <c r="R145" i="6"/>
  <c r="R147" i="6" s="1"/>
  <c r="R149" i="6"/>
  <c r="R111" i="6"/>
  <c r="R112" i="6" s="1"/>
  <c r="R114" i="6"/>
  <c r="R115" i="6" l="1"/>
  <c r="S94" i="6"/>
  <c r="S95" i="6"/>
  <c r="Q35" i="6"/>
  <c r="Q96" i="6"/>
  <c r="Q14" i="6" s="1"/>
  <c r="S35" i="6"/>
  <c r="S123" i="6" l="1"/>
  <c r="S124" i="6"/>
  <c r="Q25" i="6"/>
  <c r="Q152" i="6"/>
  <c r="Q155" i="6" s="1"/>
  <c r="Q159" i="6" s="1"/>
  <c r="Q160" i="6" s="1"/>
  <c r="Q24" i="6"/>
  <c r="Q23" i="6"/>
  <c r="Q16" i="6"/>
  <c r="R68" i="6" s="1"/>
  <c r="Q21" i="6"/>
  <c r="R35" i="6"/>
  <c r="Q180" i="6" l="1"/>
  <c r="Q19" i="6"/>
  <c r="R63" i="6" s="1"/>
  <c r="S125" i="6"/>
  <c r="S132" i="6"/>
  <c r="S129" i="6"/>
  <c r="S130" i="6" s="1"/>
  <c r="S131" i="6"/>
  <c r="R23" i="6"/>
  <c r="Q18" i="6"/>
  <c r="Q153" i="6" l="1"/>
  <c r="Q181" i="6" s="1"/>
  <c r="R79" i="6"/>
  <c r="R54" i="6"/>
  <c r="R55" i="6"/>
  <c r="R46" i="6"/>
  <c r="R94" i="6" s="1"/>
  <c r="Q20" i="6"/>
  <c r="Q22" i="6" s="1"/>
  <c r="R78" i="6"/>
  <c r="Q17" i="6"/>
  <c r="R135" i="6" l="1"/>
  <c r="R103" i="6"/>
  <c r="R134" i="6"/>
  <c r="R138" i="6" s="1"/>
  <c r="R102" i="6"/>
  <c r="R124" i="6"/>
  <c r="R123" i="6"/>
  <c r="R104" i="6" l="1"/>
  <c r="R105" i="6" s="1"/>
  <c r="R107" i="6" s="1"/>
  <c r="R106" i="6"/>
  <c r="R131" i="6"/>
  <c r="R132" i="6"/>
  <c r="R125" i="6"/>
  <c r="R129" i="6"/>
  <c r="R130" i="6" s="1"/>
  <c r="R139" i="6"/>
  <c r="R136" i="6"/>
  <c r="R137" i="6" s="1"/>
  <c r="R152" i="6" l="1"/>
  <c r="R151" i="6"/>
  <c r="R16" i="6" l="1"/>
  <c r="R154" i="6"/>
  <c r="R155" i="6"/>
  <c r="R180" i="6"/>
  <c r="R18" i="6"/>
  <c r="S68" i="6" l="1"/>
  <c r="S6" i="6"/>
  <c r="S29" i="6" s="1"/>
  <c r="S54" i="6" s="1"/>
  <c r="S46" i="6"/>
  <c r="R20" i="6"/>
  <c r="R22" i="6" s="1"/>
  <c r="S55" i="6"/>
  <c r="R17" i="6"/>
  <c r="S7" i="6" s="1"/>
  <c r="S30" i="6" s="1"/>
  <c r="R25" i="6"/>
  <c r="S78" i="6"/>
  <c r="R19" i="6"/>
  <c r="R159" i="6"/>
  <c r="R160" i="6" s="1"/>
  <c r="S52" i="6" l="1"/>
  <c r="S64" i="6"/>
  <c r="S57" i="6"/>
  <c r="S44" i="6"/>
  <c r="S34" i="6"/>
  <c r="S60" i="6"/>
  <c r="S84" i="6"/>
  <c r="S49" i="6"/>
  <c r="S72" i="6"/>
  <c r="S36" i="6"/>
  <c r="S92" i="6" s="1"/>
  <c r="S85" i="6"/>
  <c r="S65" i="6"/>
  <c r="S56" i="6"/>
  <c r="S37" i="6"/>
  <c r="S93" i="6" s="1"/>
  <c r="S48" i="6"/>
  <c r="S61" i="6"/>
  <c r="S69" i="6"/>
  <c r="S73" i="6"/>
  <c r="S63" i="6"/>
  <c r="S47" i="6"/>
  <c r="R153" i="6"/>
  <c r="S79" i="6"/>
  <c r="R24" i="6"/>
  <c r="S90" i="6" l="1"/>
  <c r="S89" i="6"/>
  <c r="S42" i="6"/>
  <c r="S98" i="6" s="1"/>
  <c r="S80" i="6"/>
  <c r="S40" i="6"/>
  <c r="S96" i="6" s="1"/>
  <c r="S41" i="6"/>
  <c r="S97" i="6" s="1"/>
  <c r="S88" i="6"/>
  <c r="S117" i="6"/>
  <c r="S118" i="6"/>
  <c r="S103" i="6"/>
  <c r="S109" i="6"/>
  <c r="S102" i="6"/>
  <c r="S110" i="6"/>
  <c r="S141" i="6"/>
  <c r="S134" i="6"/>
  <c r="S138" i="6" s="1"/>
  <c r="S142" i="6"/>
  <c r="S146" i="6" s="1"/>
  <c r="S135" i="6"/>
  <c r="R181" i="6"/>
  <c r="S14" i="6" l="1"/>
  <c r="S114" i="6"/>
  <c r="S111" i="6"/>
  <c r="S112" i="6" s="1"/>
  <c r="S119" i="6"/>
  <c r="S121" i="6" s="1"/>
  <c r="S120" i="6"/>
  <c r="S104" i="6"/>
  <c r="S105" i="6" s="1"/>
  <c r="S107" i="6" s="1"/>
  <c r="S106" i="6"/>
  <c r="S139" i="6"/>
  <c r="S136" i="6"/>
  <c r="S137" i="6" s="1"/>
  <c r="S145" i="6"/>
  <c r="S147" i="6" s="1"/>
  <c r="S148" i="6"/>
  <c r="S149" i="6"/>
  <c r="S113" i="6"/>
  <c r="S115" i="6" l="1"/>
  <c r="S152" i="6" s="1"/>
  <c r="S151" i="6"/>
  <c r="S16" i="6" s="1"/>
  <c r="S21" i="6"/>
  <c r="S25" i="6"/>
  <c r="S23" i="6"/>
  <c r="S24" i="6"/>
  <c r="S18" i="6" l="1"/>
  <c r="S20" i="6" s="1"/>
  <c r="S22" i="6" s="1"/>
  <c r="S180" i="6"/>
  <c r="S154" i="6"/>
  <c r="S155" i="6"/>
  <c r="S17" i="6" l="1"/>
  <c r="S159" i="6"/>
  <c r="S160" i="6" s="1"/>
  <c r="S19" i="6"/>
  <c r="S153" i="6" l="1"/>
  <c r="S181" i="6" l="1"/>
  <c r="T152" i="6" l="1"/>
  <c r="U152" i="6" s="1"/>
  <c r="U155" i="6" s="1"/>
  <c r="U159" i="6" s="1"/>
  <c r="U160" i="6" s="1"/>
  <c r="T68" i="6"/>
  <c r="V152" i="6" l="1"/>
  <c r="W152" i="6"/>
  <c r="W155" i="6" s="1"/>
  <c r="W159" i="6" s="1"/>
  <c r="W160" i="6" s="1"/>
  <c r="V155" i="6"/>
  <c r="V159" i="6" s="1"/>
  <c r="V160" i="6" s="1"/>
  <c r="T78" i="6" l="1"/>
  <c r="T55" i="6"/>
  <c r="U78" i="6"/>
  <c r="T46" i="6"/>
  <c r="T94" i="6" s="1"/>
  <c r="T134" i="6" s="1"/>
  <c r="T138" i="6" s="1"/>
  <c r="T54" i="6"/>
  <c r="T79" i="6"/>
  <c r="U79" i="6"/>
  <c r="T47" i="6"/>
  <c r="T95" i="6" s="1"/>
  <c r="T63" i="6"/>
  <c r="T103" i="6" l="1"/>
  <c r="T102" i="6"/>
  <c r="T135" i="6"/>
  <c r="T153" i="6"/>
  <c r="U153" i="6" s="1"/>
  <c r="V153" i="6" s="1"/>
  <c r="W153" i="6" s="1"/>
  <c r="T110" i="6"/>
  <c r="T141" i="6"/>
  <c r="T142" i="6"/>
  <c r="T146" i="6" s="1"/>
  <c r="T109" i="6"/>
  <c r="T123" i="6"/>
  <c r="T124" i="6"/>
  <c r="T104" i="6" l="1"/>
  <c r="T105" i="6" s="1"/>
  <c r="T107" i="6" s="1"/>
  <c r="T106" i="6"/>
  <c r="T139" i="6"/>
  <c r="T136" i="6"/>
  <c r="T137" i="6" s="1"/>
  <c r="T145" i="6"/>
  <c r="T147" i="6" s="1"/>
  <c r="T148" i="6"/>
  <c r="T149" i="6"/>
  <c r="T114" i="6"/>
  <c r="T111" i="6"/>
  <c r="T112" i="6" s="1"/>
  <c r="T113" i="6"/>
  <c r="T131" i="6"/>
  <c r="T125" i="6"/>
  <c r="T129" i="6"/>
  <c r="T130" i="6" s="1"/>
  <c r="T132" i="6"/>
  <c r="T115" i="6" l="1"/>
  <c r="T151" i="6"/>
  <c r="T155" i="6" s="1"/>
  <c r="T159" i="6" s="1"/>
  <c r="T160" i="6" s="1"/>
  <c r="T154" i="6" l="1"/>
</calcChain>
</file>

<file path=xl/sharedStrings.xml><?xml version="1.0" encoding="utf-8"?>
<sst xmlns="http://schemas.openxmlformats.org/spreadsheetml/2006/main" count="1871" uniqueCount="196">
  <si>
    <t>t</t>
  </si>
  <si>
    <t>j</t>
  </si>
  <si>
    <t>x</t>
  </si>
  <si>
    <t>h</t>
  </si>
  <si>
    <t>°C</t>
  </si>
  <si>
    <t>%</t>
  </si>
  <si>
    <t>g/kg s.v.</t>
  </si>
  <si>
    <t>kJ/kg s.v.</t>
  </si>
  <si>
    <t>y</t>
  </si>
  <si>
    <t>p"d</t>
  </si>
  <si>
    <t>Pa</t>
  </si>
  <si>
    <t>kPa</t>
  </si>
  <si>
    <t>Křivky diagramu:</t>
  </si>
  <si>
    <t>Izotermy</t>
  </si>
  <si>
    <t>t=</t>
  </si>
  <si>
    <t>x=</t>
  </si>
  <si>
    <t>y=</t>
  </si>
  <si>
    <t>Izoentalpy</t>
  </si>
  <si>
    <t>h=</t>
  </si>
  <si>
    <t>fi=</t>
  </si>
  <si>
    <t>Křivky konstatní vlhkosti</t>
  </si>
  <si>
    <t>V</t>
  </si>
  <si>
    <t>m3/h</t>
  </si>
  <si>
    <t>m3/s</t>
  </si>
  <si>
    <t>r</t>
  </si>
  <si>
    <t>tv</t>
  </si>
  <si>
    <t>kg/m3</t>
  </si>
  <si>
    <t>P</t>
  </si>
  <si>
    <t>kW</t>
  </si>
  <si>
    <t>qw</t>
  </si>
  <si>
    <t>kg/h</t>
  </si>
  <si>
    <t>pd"</t>
  </si>
  <si>
    <t>fi</t>
  </si>
  <si>
    <t>t-&gt;</t>
  </si>
  <si>
    <t>x-&gt;</t>
  </si>
  <si>
    <t>g/kg</t>
  </si>
  <si>
    <t>-</t>
  </si>
  <si>
    <t>x1</t>
  </si>
  <si>
    <t>x2</t>
  </si>
  <si>
    <t>x-x</t>
  </si>
  <si>
    <t>t1</t>
  </si>
  <si>
    <t>t2</t>
  </si>
  <si>
    <t>O</t>
  </si>
  <si>
    <t>C</t>
  </si>
  <si>
    <t>č.</t>
  </si>
  <si>
    <t>A</t>
  </si>
  <si>
    <t>S</t>
  </si>
  <si>
    <t>?</t>
  </si>
  <si>
    <t>Konec</t>
  </si>
  <si>
    <t>Body pro graf</t>
  </si>
  <si>
    <t>bod</t>
  </si>
  <si>
    <t xml:space="preserve">Ctrl+D </t>
  </si>
  <si>
    <t xml:space="preserve">Ctrl+P </t>
  </si>
  <si>
    <t>o</t>
  </si>
  <si>
    <t>X</t>
  </si>
  <si>
    <t>a</t>
  </si>
  <si>
    <t>Vn</t>
  </si>
  <si>
    <t>Vs</t>
  </si>
  <si>
    <t>c</t>
  </si>
  <si>
    <t>p</t>
  </si>
  <si>
    <t>[O,C,A,P,S,X]</t>
  </si>
  <si>
    <t>Позиция</t>
  </si>
  <si>
    <t>Температура</t>
  </si>
  <si>
    <t>Влажность</t>
  </si>
  <si>
    <t>Расход</t>
  </si>
  <si>
    <t>Энтальпия</t>
  </si>
  <si>
    <t>Мощность</t>
  </si>
  <si>
    <t>Влагосодержание</t>
  </si>
  <si>
    <t>Процесс</t>
  </si>
  <si>
    <t>Исходные данные</t>
  </si>
  <si>
    <t>Результат</t>
  </si>
  <si>
    <t>Тем.влажн.терм.</t>
  </si>
  <si>
    <t>Плотность</t>
  </si>
  <si>
    <t>Расход*</t>
  </si>
  <si>
    <t>Влагоприток</t>
  </si>
  <si>
    <t>Атмосферное давление:</t>
  </si>
  <si>
    <t>Maкс. допустимая влажность:</t>
  </si>
  <si>
    <t>Температура хладоносителя:</t>
  </si>
  <si>
    <t>Расчет i-d диаграммы</t>
  </si>
  <si>
    <t>Охлаждение</t>
  </si>
  <si>
    <t>Зима</t>
  </si>
  <si>
    <t>Лето</t>
  </si>
  <si>
    <t>Смешение</t>
  </si>
  <si>
    <t>Пароувлажнение</t>
  </si>
  <si>
    <t>Принятые сокращения:</t>
  </si>
  <si>
    <t>Обогр</t>
  </si>
  <si>
    <t>Ад.охл</t>
  </si>
  <si>
    <t>Охлаж.</t>
  </si>
  <si>
    <t>Пароув</t>
  </si>
  <si>
    <t>Проверка ввода</t>
  </si>
  <si>
    <t>Весовой расход</t>
  </si>
  <si>
    <t>кг/с</t>
  </si>
  <si>
    <t>Нагрев</t>
  </si>
  <si>
    <t>Адиабатическое охлаждение</t>
  </si>
  <si>
    <t>Отн. влажность</t>
  </si>
  <si>
    <t>Абс. влажность</t>
  </si>
  <si>
    <t>Процесс 1 - 
нагрев</t>
  </si>
  <si>
    <t>Процесс 2 - 
охлаждение</t>
  </si>
  <si>
    <t>Процесс 4 - 
пароувлажнение</t>
  </si>
  <si>
    <t>Процесс 5 - 
смешение</t>
  </si>
  <si>
    <t>Процесс 6 - 
общий</t>
  </si>
  <si>
    <t>Общий процесс</t>
  </si>
  <si>
    <t>Процесс 3 - 
адиабатическое охлаждение</t>
  </si>
  <si>
    <t>Индекс процесса</t>
  </si>
  <si>
    <t>Контрольная 
сумма</t>
  </si>
  <si>
    <t>Ошибка</t>
  </si>
  <si>
    <t>Присвоенные 
значения</t>
  </si>
  <si>
    <t>Конец</t>
  </si>
  <si>
    <t>Известны t,x</t>
  </si>
  <si>
    <t>Известны t,h</t>
  </si>
  <si>
    <t>Известны t,fi</t>
  </si>
  <si>
    <t>Известны h,x</t>
  </si>
  <si>
    <t>Известны fi,x</t>
  </si>
  <si>
    <t>Известны fi,h</t>
  </si>
  <si>
    <t>Расчет t,x</t>
  </si>
  <si>
    <t>предельное 
значение при t</t>
  </si>
  <si>
    <t>температура 
влажного 
термометра</t>
  </si>
  <si>
    <t>x соответствующее заданному h</t>
  </si>
  <si>
    <t>pd" на пов. испарителя</t>
  </si>
  <si>
    <t>x на пов. испарителя</t>
  </si>
  <si>
    <t>Вводится заданная конечная температура, либо заданная тепловая мощность.</t>
  </si>
  <si>
    <t>Вводится заданная конечная относительная влажность, либо абсолютная влажность, либо температура.</t>
  </si>
  <si>
    <t>Вводится заданная конечная относительная влажность, либо абсолютная влажность.</t>
  </si>
  <si>
    <t xml:space="preserve">Вводится заданная конечная температура, либо заданная холодильная мощность.  Интенсивность осушения воздуха определяется заданной температурой поверхности испарителя. Ход процесса зависит от максимально допустимого влагосодержания. Если расчетно-теоретическое влагосодержание превышает максимально допустимое, то образуется конденсат, в результате чего влагосодержание снижается. Заданные параметры (мощность или конечная температура) остаются при этом неизменными. </t>
  </si>
  <si>
    <r>
      <t xml:space="preserve">Вводятся значения двух параметров из четырех (t, </t>
    </r>
    <r>
      <rPr>
        <sz val="10"/>
        <rFont val="Symbol"/>
        <family val="1"/>
        <charset val="2"/>
      </rPr>
      <t>j</t>
    </r>
    <r>
      <rPr>
        <sz val="10"/>
        <rFont val="Arial"/>
        <family val="2"/>
        <charset val="204"/>
      </rPr>
      <t>, x, h), являющиеся конечными для заданного процесса.</t>
    </r>
  </si>
  <si>
    <t>Этот процесс определяется без задания параметров. Используются два предыдущих значения расхода воздуха. Если при смешении достигается максимально допустимое влагосодержание, то происходит адиабатическая кондесация водяных паров. В результате вычисляется количество сконденсированной влаги.</t>
  </si>
  <si>
    <t>Горячие клавиши:</t>
  </si>
  <si>
    <t>Распечатка диаграммы на принтере</t>
  </si>
  <si>
    <t>Уничтожение задания и подготовка к вводу нового задания</t>
  </si>
  <si>
    <t>Руководство к 
использованию</t>
  </si>
  <si>
    <t>На диаграмме отображаются до 10 состояний, переход между которыми определяется соответствующими процессами.</t>
  </si>
  <si>
    <t>Новое состояние можно вычислить, задав два параметра, либо определив процесс и его конечные параметры в ячейках входной таблицы, имеющих синюю окантовку. Выходная таблица содержит алфавитно-цифровую информацию, предназначенную для вывода на печать.</t>
  </si>
  <si>
    <t>Процесс 0 - 
нулевой</t>
  </si>
  <si>
    <t>На диаграмме отображаются следующие процессы: нагрев, охлаждение, адиабатическое охлаждение, пароувлажнение, смешение и общий процесс, определяемый двумя заданными состояниями.</t>
  </si>
  <si>
    <t>На свободных полях выходной таблицы допускается размещать текстовые комментарии, которые в составе таблицы выводятся на печать.</t>
  </si>
  <si>
    <t xml:space="preserve">Приведенные ниже примеры иллюстрируют следующие два режима обработки воздуха: </t>
  </si>
  <si>
    <t>Зимний режим с регулированием влажности воздуха путем его орошения.</t>
  </si>
  <si>
    <t xml:space="preserve">Летний режим с охлаждением, последующим подогревом и прецизионным пароувлажнением. </t>
  </si>
  <si>
    <t>Скопируйте нижеследующие ячейки в Clipboard и вставьте их на листе "Расчет" в таблицу исходных данных</t>
  </si>
  <si>
    <r>
      <t>Для каждого состояния может указываться расход сухого воздуха. Расход задается в предположении плотности воздуха 1.2 кг/м</t>
    </r>
    <r>
      <rPr>
        <vertAlign val="superscript"/>
        <sz val="10"/>
        <rFont val="Arial"/>
        <family val="2"/>
        <charset val="204"/>
      </rPr>
      <t>3</t>
    </r>
    <r>
      <rPr>
        <sz val="10"/>
        <rFont val="Arial"/>
        <family val="2"/>
        <charset val="204"/>
      </rPr>
      <t xml:space="preserve"> (значение приведенное к 17°C). Отсюда определяется массовый расход воздуха, используемый в дальнейших вычислениях. В выходную таблицу выводятся фактические значения объемного расхода воздуха, соответствующие текущим параметрам, характеризующим его состояние.</t>
    </r>
  </si>
  <si>
    <t>Психрометрическая I-d диаграмма (диаграмма Молье) используется для визуализации результатов расчета процессов обработки влажного воздуха.</t>
  </si>
  <si>
    <t>S1</t>
  </si>
  <si>
    <t>s</t>
  </si>
  <si>
    <t>HE1_in</t>
  </si>
  <si>
    <t>HE1_out</t>
  </si>
  <si>
    <t>CE1_in</t>
  </si>
  <si>
    <t>CE1_out</t>
  </si>
  <si>
    <t>HE2_in</t>
  </si>
  <si>
    <t>HE2_out</t>
  </si>
  <si>
    <t>обознач</t>
  </si>
  <si>
    <t>ед.изм</t>
  </si>
  <si>
    <t>Result_index</t>
  </si>
  <si>
    <t>RE1_in</t>
  </si>
  <si>
    <t>RE1_out</t>
  </si>
  <si>
    <t>S01</t>
  </si>
  <si>
    <t>S02</t>
  </si>
  <si>
    <t>S03</t>
  </si>
  <si>
    <t>S04</t>
  </si>
  <si>
    <t>fan_vol</t>
  </si>
  <si>
    <t>fan_pressure</t>
  </si>
  <si>
    <t>Filter_G4</t>
  </si>
  <si>
    <t>Filter_F7</t>
  </si>
  <si>
    <t>Наименование шаблона</t>
  </si>
  <si>
    <t>index</t>
  </si>
  <si>
    <t>Mix_up1</t>
  </si>
  <si>
    <t>Mix_up2</t>
  </si>
  <si>
    <t>Mix_up_result</t>
  </si>
  <si>
    <t>air_in_left</t>
  </si>
  <si>
    <t>air_in_up</t>
  </si>
  <si>
    <t>air_out_right</t>
  </si>
  <si>
    <t>air_out_up</t>
  </si>
  <si>
    <t>Mix,RE,HE1,CE,HE2</t>
  </si>
  <si>
    <t>silencer</t>
  </si>
  <si>
    <t>humiditer</t>
  </si>
  <si>
    <t>Город</t>
  </si>
  <si>
    <t>Киев</t>
  </si>
  <si>
    <t>Винница</t>
  </si>
  <si>
    <t>Днепропетровск</t>
  </si>
  <si>
    <t>Донецк</t>
  </si>
  <si>
    <t>Луганск</t>
  </si>
  <si>
    <t>Львов</t>
  </si>
  <si>
    <t>Севастополь</t>
  </si>
  <si>
    <t>Симферополь</t>
  </si>
  <si>
    <t>Харьков</t>
  </si>
  <si>
    <t>Москва</t>
  </si>
  <si>
    <t>Санкт-Петербург</t>
  </si>
  <si>
    <t>S_sup_name</t>
  </si>
  <si>
    <t>S_EA_max</t>
  </si>
  <si>
    <t>S_SA_fresh</t>
  </si>
  <si>
    <t>S_SA_max</t>
  </si>
  <si>
    <t>S_SA_recirc</t>
  </si>
  <si>
    <t>max_temp</t>
  </si>
  <si>
    <t>min_temp</t>
  </si>
  <si>
    <t>AHU Total</t>
  </si>
  <si>
    <t>E01</t>
  </si>
  <si>
    <t>fan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</si>
</sst>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3">
    <numFmt numFmtId="164" formatCode="_-* #,##0.00\ _₽_-;\-* #,##0.00\ _₽_-;_-* &quot;-&quot;??\ _₽_-;_-@_-"/>
    <numFmt numFmtId="165" formatCode="0.0"/>
    <numFmt numFmtId="166" formatCode="_-* #,##0.0\ _₽_-;\-* #,##0.0\ _₽_-;_-* &quot;-&quot;??\ _₽_-;_-@_-"/>
  </numFmts>
  <fonts count="40" x14ac:knownFonts="1">
    <font>
      <sz val="10"/>
      <name val="Arial"/>
      <charset val="238"/>
    </font>
    <font>
      <sz val="11"/>
      <color theme="1"/>
      <name val="Calibri"/>
      <family val="2"/>
      <charset val="204"/>
      <scheme val="minor"/>
    </font>
    <font>
      <sz val="11"/>
      <color theme="1"/>
      <name val="Calibri"/>
      <family val="2"/>
      <charset val="204"/>
      <scheme val="minor"/>
    </font>
    <font>
      <b/>
      <sz val="10"/>
      <name val="Arial"/>
      <family val="2"/>
      <charset val="238"/>
    </font>
    <font>
      <sz val="10"/>
      <name val="Arial"/>
      <family val="2"/>
      <charset val="238"/>
    </font>
    <font>
      <b/>
      <sz val="16"/>
      <name val="Arial"/>
      <family val="2"/>
      <charset val="238"/>
    </font>
    <font>
      <b/>
      <sz val="10"/>
      <name val="Arial"/>
      <family val="2"/>
      <charset val="204"/>
    </font>
    <font>
      <b/>
      <sz val="10"/>
      <name val="Symbol"/>
      <family val="1"/>
      <charset val="2"/>
    </font>
    <font>
      <i/>
      <sz val="10"/>
      <name val="Arial"/>
      <family val="2"/>
      <charset val="238"/>
    </font>
    <font>
      <b/>
      <sz val="10"/>
      <color indexed="10"/>
      <name val="Arial"/>
      <family val="2"/>
      <charset val="238"/>
    </font>
    <font>
      <sz val="8"/>
      <name val="Arial"/>
      <family val="2"/>
      <charset val="204"/>
    </font>
    <font>
      <sz val="10"/>
      <color indexed="12"/>
      <name val="Arial"/>
      <family val="2"/>
      <charset val="238"/>
    </font>
    <font>
      <b/>
      <sz val="10"/>
      <color indexed="12"/>
      <name val="Arial"/>
      <family val="2"/>
      <charset val="238"/>
    </font>
    <font>
      <sz val="10"/>
      <name val="Symbol"/>
      <family val="1"/>
      <charset val="2"/>
    </font>
    <font>
      <b/>
      <sz val="12"/>
      <name val="Arial"/>
      <family val="2"/>
      <charset val="204"/>
    </font>
    <font>
      <sz val="10"/>
      <color indexed="10"/>
      <name val="Arial"/>
      <family val="2"/>
    </font>
    <font>
      <b/>
      <sz val="10"/>
      <color indexed="10"/>
      <name val="Arial"/>
      <family val="2"/>
    </font>
    <font>
      <sz val="10"/>
      <color indexed="10"/>
      <name val="Arial"/>
      <family val="2"/>
      <charset val="204"/>
    </font>
    <font>
      <vertAlign val="superscript"/>
      <sz val="10"/>
      <name val="Arial"/>
      <family val="2"/>
      <charset val="204"/>
    </font>
    <font>
      <sz val="10"/>
      <name val="Arial"/>
      <family val="2"/>
      <charset val="204"/>
    </font>
    <font>
      <sz val="10"/>
      <color theme="0"/>
      <name val="Arial"/>
      <family val="2"/>
      <charset val="204"/>
    </font>
    <font>
      <sz val="10"/>
      <color theme="0"/>
      <name val="Arial"/>
      <family val="2"/>
      <charset val="238"/>
    </font>
    <font>
      <sz val="10"/>
      <color theme="0"/>
      <name val="Arial"/>
      <family val="2"/>
    </font>
    <font>
      <b/>
      <sz val="10"/>
      <color theme="0"/>
      <name val="Arial"/>
      <family val="2"/>
      <charset val="204"/>
    </font>
    <font>
      <b/>
      <sz val="10"/>
      <color theme="0"/>
      <name val="Symbol"/>
      <family val="1"/>
      <charset val="2"/>
    </font>
    <font>
      <b/>
      <sz val="10"/>
      <color theme="0"/>
      <name val="Arial"/>
      <family val="2"/>
      <charset val="238"/>
    </font>
    <font>
      <u/>
      <sz val="10"/>
      <color theme="0"/>
      <name val="Arial"/>
      <family val="2"/>
      <charset val="238"/>
    </font>
    <font>
      <sz val="6"/>
      <color theme="0"/>
      <name val="Arial"/>
      <family val="2"/>
      <charset val="238"/>
    </font>
    <font>
      <b/>
      <u/>
      <sz val="10"/>
      <color theme="0"/>
      <name val="Arial"/>
      <family val="2"/>
      <charset val="238"/>
    </font>
    <font>
      <b/>
      <sz val="11"/>
      <color theme="1"/>
      <name val="Calibri"/>
      <family val="2"/>
      <charset val="204"/>
      <scheme val="minor"/>
    </font>
    <font>
      <sz val="10"/>
      <name val="Arial"/>
      <family val="2"/>
      <charset val="204"/>
    </font>
    <font>
      <sz val="10"/>
      <color rgb="FFFF0000"/>
      <name val="Arial"/>
      <family val="2"/>
    </font>
    <font>
      <sz val="6"/>
      <color theme="0"/>
      <name val="Arial"/>
      <family val="2"/>
      <charset val="204"/>
    </font>
    <font>
      <b/>
      <u/>
      <sz val="10"/>
      <color theme="0"/>
      <name val="Arial"/>
      <family val="2"/>
      <charset val="204"/>
    </font>
    <font>
      <u/>
      <sz val="10"/>
      <color theme="0"/>
      <name val="Arial"/>
      <family val="2"/>
      <charset val="204"/>
    </font>
    <font>
      <sz val="10"/>
      <color rgb="FF000000"/>
      <name val="Arial"/>
      <family val="2"/>
      <charset val="204"/>
    </font>
    <font>
      <sz val="10"/>
      <name val="Arial"/>
      <family val="2"/>
      <charset val="204"/>
    </font>
    <font>
      <sz val="10"/>
      <color rgb="FFFF0000"/>
      <name val="Arial"/>
      <family val="2"/>
      <charset val="204"/>
    </font>
    <font>
      <b/>
      <sz val="10"/>
      <color rgb="FFFF0000"/>
      <name val="Arial"/>
      <family val="2"/>
      <charset val="204"/>
    </font>
    <font>
      <i/>
      <sz val="10"/>
      <color rgb="FFFF0000"/>
      <name val="Arial"/>
      <family val="2"/>
      <charset val="204"/>
    </font>
  </fonts>
  <fills count="5">
    <fill>
      <patternFill patternType="none"/>
    </fill>
    <fill>
      <patternFill patternType="gray125"/>
    </fill>
    <fill>
      <patternFill patternType="solid">
        <fgColor indexed="26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00B0F0"/>
        <bgColor indexed="64"/>
      </patternFill>
    </fill>
  </fills>
  <borders count="17">
    <border>
      <left/>
      <right/>
      <top/>
      <bottom/>
      <diagonal/>
    </border>
    <border>
      <left style="thin">
        <color indexed="32"/>
      </left>
      <right style="thin">
        <color indexed="32"/>
      </right>
      <top style="thin">
        <color indexed="32"/>
      </top>
      <bottom style="thin">
        <color indexed="32"/>
      </bottom>
      <diagonal/>
    </border>
    <border>
      <left style="thin">
        <color indexed="32"/>
      </left>
      <right style="thin">
        <color indexed="32"/>
      </right>
      <top style="thin">
        <color indexed="32"/>
      </top>
      <bottom/>
      <diagonal/>
    </border>
    <border>
      <left style="thin">
        <color indexed="32"/>
      </left>
      <right style="thin">
        <color indexed="32"/>
      </right>
      <top style="double">
        <color indexed="32"/>
      </top>
      <bottom style="thin">
        <color indexed="32"/>
      </bottom>
      <diagonal/>
    </border>
    <border>
      <left style="medium">
        <color indexed="16"/>
      </left>
      <right style="medium">
        <color indexed="16"/>
      </right>
      <top style="thin">
        <color indexed="16"/>
      </top>
      <bottom style="thin">
        <color indexed="16"/>
      </bottom>
      <diagonal/>
    </border>
    <border>
      <left style="medium">
        <color indexed="16"/>
      </left>
      <right style="thin">
        <color indexed="16"/>
      </right>
      <top style="medium">
        <color indexed="16"/>
      </top>
      <bottom/>
      <diagonal/>
    </border>
    <border>
      <left style="medium">
        <color indexed="16"/>
      </left>
      <right style="medium">
        <color indexed="16"/>
      </right>
      <top style="medium">
        <color indexed="16"/>
      </top>
      <bottom/>
      <diagonal/>
    </border>
    <border>
      <left style="medium">
        <color indexed="16"/>
      </left>
      <right style="medium">
        <color indexed="16"/>
      </right>
      <top style="double">
        <color indexed="16"/>
      </top>
      <bottom style="thin">
        <color indexed="16"/>
      </bottom>
      <diagonal/>
    </border>
    <border>
      <left style="medium">
        <color indexed="16"/>
      </left>
      <right/>
      <top/>
      <bottom style="thin">
        <color indexed="16"/>
      </bottom>
      <diagonal/>
    </border>
    <border>
      <left style="medium">
        <color indexed="16"/>
      </left>
      <right style="thin">
        <color indexed="16"/>
      </right>
      <top style="thin">
        <color indexed="16"/>
      </top>
      <bottom style="thin">
        <color indexed="16"/>
      </bottom>
      <diagonal/>
    </border>
    <border>
      <left style="thin">
        <color indexed="32"/>
      </left>
      <right style="thin">
        <color indexed="32"/>
      </right>
      <top style="thin">
        <color indexed="32"/>
      </top>
      <bottom style="double">
        <color indexed="32"/>
      </bottom>
      <diagonal/>
    </border>
    <border>
      <left style="thin">
        <color indexed="32"/>
      </left>
      <right/>
      <top style="thin">
        <color indexed="32"/>
      </top>
      <bottom style="thin">
        <color indexed="32"/>
      </bottom>
      <diagonal/>
    </border>
    <border>
      <left/>
      <right/>
      <top style="thin">
        <color indexed="32"/>
      </top>
      <bottom style="thin">
        <color indexed="32"/>
      </bottom>
      <diagonal/>
    </border>
    <border>
      <left/>
      <right style="thin">
        <color indexed="32"/>
      </right>
      <top style="thin">
        <color indexed="32"/>
      </top>
      <bottom style="thin">
        <color indexed="32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</borders>
  <cellStyleXfs count="4">
    <xf numFmtId="0" fontId="0" fillId="0" borderId="0"/>
    <xf numFmtId="0" fontId="2" fillId="0" borderId="0"/>
    <xf numFmtId="0" fontId="1" fillId="0" borderId="0"/>
    <xf numFmtId="164" fontId="36" fillId="0" borderId="0" applyFont="0" applyFill="0" applyBorder="0" applyAlignment="0" applyProtection="0"/>
  </cellStyleXfs>
  <cellXfs count="131">
    <xf numFmtId="0" fontId="0" fillId="0" borderId="0" xfId="0"/>
    <xf numFmtId="0" fontId="0" fillId="0" borderId="1" xfId="0" applyFill="1" applyBorder="1" applyAlignment="1" applyProtection="1">
      <alignment horizontal="center"/>
      <protection locked="0"/>
    </xf>
    <xf numFmtId="0" fontId="0" fillId="2" borderId="1" xfId="0" applyFill="1" applyBorder="1" applyProtection="1">
      <protection locked="0"/>
    </xf>
    <xf numFmtId="0" fontId="0" fillId="2" borderId="2" xfId="0" applyFill="1" applyBorder="1" applyProtection="1">
      <protection locked="0"/>
    </xf>
    <xf numFmtId="0" fontId="4" fillId="2" borderId="3" xfId="0" applyFont="1" applyFill="1" applyBorder="1" applyAlignment="1" applyProtection="1">
      <alignment horizontal="center"/>
      <protection locked="0"/>
    </xf>
    <xf numFmtId="165" fontId="0" fillId="2" borderId="2" xfId="0" applyNumberFormat="1" applyFill="1" applyBorder="1" applyProtection="1">
      <protection locked="0"/>
    </xf>
    <xf numFmtId="0" fontId="0" fillId="2" borderId="1" xfId="0" applyNumberFormat="1" applyFill="1" applyBorder="1" applyProtection="1">
      <protection locked="0"/>
    </xf>
    <xf numFmtId="0" fontId="0" fillId="2" borderId="0" xfId="0" applyFill="1" applyProtection="1">
      <protection locked="0"/>
    </xf>
    <xf numFmtId="0" fontId="5" fillId="2" borderId="0" xfId="0" applyFont="1" applyFill="1" applyProtection="1">
      <protection locked="0"/>
    </xf>
    <xf numFmtId="0" fontId="14" fillId="2" borderId="0" xfId="0" applyFont="1" applyFill="1" applyProtection="1">
      <protection locked="0"/>
    </xf>
    <xf numFmtId="0" fontId="4" fillId="2" borderId="0" xfId="0" applyFont="1" applyFill="1" applyAlignment="1" applyProtection="1">
      <alignment horizontal="right"/>
      <protection locked="0"/>
    </xf>
    <xf numFmtId="0" fontId="11" fillId="2" borderId="0" xfId="0" applyFont="1" applyFill="1" applyProtection="1">
      <protection locked="0"/>
    </xf>
    <xf numFmtId="0" fontId="0" fillId="0" borderId="0" xfId="0" applyProtection="1">
      <protection locked="0"/>
    </xf>
    <xf numFmtId="0" fontId="0" fillId="2" borderId="0" xfId="0" applyFill="1" applyAlignment="1" applyProtection="1">
      <alignment horizontal="left"/>
      <protection locked="0"/>
    </xf>
    <xf numFmtId="0" fontId="0" fillId="2" borderId="0" xfId="0" applyFill="1" applyAlignment="1" applyProtection="1">
      <alignment horizontal="right"/>
      <protection locked="0"/>
    </xf>
    <xf numFmtId="0" fontId="4" fillId="2" borderId="0" xfId="0" applyFont="1" applyFill="1" applyProtection="1">
      <protection locked="0"/>
    </xf>
    <xf numFmtId="0" fontId="3" fillId="2" borderId="0" xfId="0" applyFont="1" applyFill="1" applyProtection="1">
      <protection locked="0"/>
    </xf>
    <xf numFmtId="0" fontId="3" fillId="2" borderId="0" xfId="0" applyFont="1" applyFill="1" applyAlignment="1" applyProtection="1">
      <alignment horizontal="center"/>
      <protection locked="0"/>
    </xf>
    <xf numFmtId="0" fontId="6" fillId="2" borderId="0" xfId="0" applyFont="1" applyFill="1" applyProtection="1">
      <protection locked="0"/>
    </xf>
    <xf numFmtId="0" fontId="8" fillId="2" borderId="0" xfId="0" applyFont="1" applyFill="1" applyProtection="1">
      <protection locked="0"/>
    </xf>
    <xf numFmtId="0" fontId="7" fillId="2" borderId="0" xfId="0" applyFont="1" applyFill="1" applyProtection="1">
      <protection locked="0"/>
    </xf>
    <xf numFmtId="165" fontId="0" fillId="2" borderId="4" xfId="0" applyNumberFormat="1" applyFill="1" applyBorder="1" applyProtection="1">
      <protection locked="0"/>
    </xf>
    <xf numFmtId="0" fontId="6" fillId="2" borderId="0" xfId="0" quotePrefix="1" applyFont="1" applyFill="1" applyProtection="1">
      <protection locked="0"/>
    </xf>
    <xf numFmtId="0" fontId="9" fillId="2" borderId="0" xfId="0" applyFont="1" applyFill="1" applyAlignment="1" applyProtection="1">
      <alignment horizontal="center"/>
      <protection locked="0"/>
    </xf>
    <xf numFmtId="165" fontId="0" fillId="2" borderId="5" xfId="0" applyNumberFormat="1" applyFill="1" applyBorder="1" applyProtection="1">
      <protection locked="0"/>
    </xf>
    <xf numFmtId="9" fontId="0" fillId="2" borderId="4" xfId="0" applyNumberFormat="1" applyFill="1" applyBorder="1" applyProtection="1">
      <protection locked="0"/>
    </xf>
    <xf numFmtId="2" fontId="0" fillId="2" borderId="4" xfId="0" applyNumberFormat="1" applyFill="1" applyBorder="1" applyProtection="1">
      <protection locked="0"/>
    </xf>
    <xf numFmtId="3" fontId="0" fillId="2" borderId="7" xfId="0" applyNumberFormat="1" applyFill="1" applyBorder="1" applyProtection="1">
      <protection locked="0"/>
    </xf>
    <xf numFmtId="3" fontId="0" fillId="2" borderId="8" xfId="0" applyNumberFormat="1" applyFill="1" applyBorder="1" applyProtection="1">
      <protection locked="0"/>
    </xf>
    <xf numFmtId="165" fontId="0" fillId="2" borderId="9" xfId="0" applyNumberFormat="1" applyFill="1" applyBorder="1" applyProtection="1">
      <protection locked="0"/>
    </xf>
    <xf numFmtId="0" fontId="3" fillId="0" borderId="0" xfId="0" applyFont="1" applyProtection="1">
      <protection locked="0"/>
    </xf>
    <xf numFmtId="0" fontId="0" fillId="0" borderId="0" xfId="0" applyAlignment="1" applyProtection="1">
      <alignment wrapText="1"/>
      <protection locked="0"/>
    </xf>
    <xf numFmtId="0" fontId="0" fillId="0" borderId="0" xfId="0" applyAlignment="1" applyProtection="1">
      <alignment horizontal="left" wrapText="1"/>
      <protection locked="0"/>
    </xf>
    <xf numFmtId="0" fontId="0" fillId="0" borderId="0" xfId="0" applyAlignment="1" applyProtection="1">
      <alignment horizontal="left"/>
      <protection locked="0"/>
    </xf>
    <xf numFmtId="0" fontId="0" fillId="0" borderId="0" xfId="0" applyAlignment="1" applyProtection="1">
      <alignment horizontal="right" vertical="top"/>
      <protection locked="0"/>
    </xf>
    <xf numFmtId="0" fontId="3" fillId="0" borderId="0" xfId="0" applyFont="1" applyAlignment="1" applyProtection="1">
      <alignment horizontal="center" vertical="top"/>
      <protection locked="0"/>
    </xf>
    <xf numFmtId="0" fontId="0" fillId="0" borderId="0" xfId="0" applyAlignment="1" applyProtection="1">
      <alignment horizontal="center" vertical="top"/>
      <protection locked="0"/>
    </xf>
    <xf numFmtId="0" fontId="8" fillId="0" borderId="0" xfId="0" quotePrefix="1" applyFont="1" applyProtection="1">
      <protection locked="0"/>
    </xf>
    <xf numFmtId="0" fontId="3" fillId="0" borderId="0" xfId="0" applyFont="1" applyAlignment="1" applyProtection="1">
      <alignment horizontal="right"/>
      <protection locked="0"/>
    </xf>
    <xf numFmtId="0" fontId="3" fillId="0" borderId="0" xfId="0" applyFont="1" applyAlignment="1" applyProtection="1">
      <alignment horizontal="left" vertical="top"/>
      <protection locked="0"/>
    </xf>
    <xf numFmtId="0" fontId="3" fillId="0" borderId="0" xfId="0" applyFont="1" applyAlignment="1" applyProtection="1">
      <alignment wrapText="1"/>
      <protection locked="0"/>
    </xf>
    <xf numFmtId="0" fontId="8" fillId="0" borderId="0" xfId="0" applyFont="1" applyProtection="1">
      <protection locked="0"/>
    </xf>
    <xf numFmtId="0" fontId="15" fillId="0" borderId="0" xfId="0" applyFont="1" applyProtection="1">
      <protection locked="0"/>
    </xf>
    <xf numFmtId="0" fontId="16" fillId="0" borderId="0" xfId="0" applyFont="1" applyProtection="1">
      <protection locked="0"/>
    </xf>
    <xf numFmtId="0" fontId="15" fillId="0" borderId="0" xfId="0" applyFont="1" applyAlignment="1" applyProtection="1">
      <alignment horizontal="right"/>
      <protection locked="0"/>
    </xf>
    <xf numFmtId="0" fontId="15" fillId="0" borderId="0" xfId="0" applyFont="1" applyAlignment="1" applyProtection="1">
      <alignment horizontal="center"/>
      <protection locked="0"/>
    </xf>
    <xf numFmtId="165" fontId="15" fillId="0" borderId="0" xfId="0" applyNumberFormat="1" applyFont="1" applyProtection="1">
      <protection locked="0"/>
    </xf>
    <xf numFmtId="0" fontId="17" fillId="0" borderId="0" xfId="0" applyFont="1" applyProtection="1">
      <protection locked="0"/>
    </xf>
    <xf numFmtId="0" fontId="0" fillId="0" borderId="0" xfId="0" applyAlignment="1" applyProtection="1">
      <alignment vertical="top" wrapText="1"/>
      <protection locked="0"/>
    </xf>
    <xf numFmtId="165" fontId="0" fillId="2" borderId="10" xfId="0" applyNumberFormat="1" applyFill="1" applyBorder="1" applyProtection="1">
      <protection locked="0"/>
    </xf>
    <xf numFmtId="0" fontId="3" fillId="0" borderId="0" xfId="0" applyFont="1" applyAlignment="1" applyProtection="1">
      <alignment vertical="top" wrapText="1"/>
      <protection locked="0"/>
    </xf>
    <xf numFmtId="0" fontId="20" fillId="0" borderId="0" xfId="0" applyFont="1" applyProtection="1">
      <protection locked="0"/>
    </xf>
    <xf numFmtId="0" fontId="12" fillId="0" borderId="11" xfId="0" applyFont="1" applyFill="1" applyBorder="1" applyAlignment="1" applyProtection="1">
      <protection locked="0"/>
    </xf>
    <xf numFmtId="0" fontId="12" fillId="0" borderId="12" xfId="0" applyFont="1" applyFill="1" applyBorder="1" applyAlignment="1" applyProtection="1">
      <protection locked="0"/>
    </xf>
    <xf numFmtId="0" fontId="12" fillId="0" borderId="13" xfId="0" applyFont="1" applyFill="1" applyBorder="1" applyAlignment="1" applyProtection="1">
      <protection locked="0"/>
    </xf>
    <xf numFmtId="9" fontId="0" fillId="2" borderId="1" xfId="0" applyNumberFormat="1" applyFill="1" applyBorder="1" applyProtection="1">
      <protection locked="0"/>
    </xf>
    <xf numFmtId="0" fontId="0" fillId="3" borderId="0" xfId="0" applyFill="1" applyProtection="1">
      <protection locked="0"/>
    </xf>
    <xf numFmtId="0" fontId="15" fillId="3" borderId="0" xfId="0" applyFont="1" applyFill="1" applyProtection="1">
      <protection locked="0"/>
    </xf>
    <xf numFmtId="0" fontId="4" fillId="3" borderId="0" xfId="0" applyFont="1" applyFill="1" applyProtection="1">
      <protection locked="0"/>
    </xf>
    <xf numFmtId="0" fontId="20" fillId="3" borderId="0" xfId="0" applyFont="1" applyFill="1" applyProtection="1">
      <protection locked="0"/>
    </xf>
    <xf numFmtId="0" fontId="21" fillId="3" borderId="0" xfId="0" applyFont="1" applyFill="1" applyProtection="1">
      <protection locked="0"/>
    </xf>
    <xf numFmtId="0" fontId="22" fillId="3" borderId="0" xfId="0" applyFont="1" applyFill="1" applyProtection="1">
      <protection locked="0"/>
    </xf>
    <xf numFmtId="0" fontId="23" fillId="3" borderId="0" xfId="0" applyFont="1" applyFill="1" applyProtection="1">
      <protection locked="0"/>
    </xf>
    <xf numFmtId="0" fontId="24" fillId="3" borderId="0" xfId="0" applyFont="1" applyFill="1" applyProtection="1">
      <protection locked="0"/>
    </xf>
    <xf numFmtId="0" fontId="20" fillId="3" borderId="0" xfId="0" applyFont="1" applyFill="1" applyAlignment="1" applyProtection="1">
      <alignment wrapText="1"/>
      <protection locked="0"/>
    </xf>
    <xf numFmtId="0" fontId="25" fillId="3" borderId="0" xfId="0" applyFont="1" applyFill="1" applyProtection="1">
      <protection locked="0"/>
    </xf>
    <xf numFmtId="0" fontId="26" fillId="3" borderId="0" xfId="0" applyFont="1" applyFill="1" applyAlignment="1" applyProtection="1">
      <alignment wrapText="1"/>
      <protection locked="0"/>
    </xf>
    <xf numFmtId="0" fontId="27" fillId="3" borderId="0" xfId="0" applyFont="1" applyFill="1" applyProtection="1">
      <protection locked="0"/>
    </xf>
    <xf numFmtId="0" fontId="20" fillId="3" borderId="0" xfId="0" quotePrefix="1" applyFont="1" applyFill="1" applyAlignment="1" applyProtection="1">
      <alignment horizontal="center"/>
      <protection locked="0"/>
    </xf>
    <xf numFmtId="165" fontId="20" fillId="3" borderId="0" xfId="0" quotePrefix="1" applyNumberFormat="1" applyFont="1" applyFill="1" applyAlignment="1" applyProtection="1">
      <alignment horizontal="center"/>
      <protection locked="0"/>
    </xf>
    <xf numFmtId="165" fontId="20" fillId="3" borderId="0" xfId="0" applyNumberFormat="1" applyFont="1" applyFill="1" applyProtection="1">
      <protection locked="0"/>
    </xf>
    <xf numFmtId="0" fontId="25" fillId="3" borderId="0" xfId="0" applyFont="1" applyFill="1" applyAlignment="1" applyProtection="1">
      <alignment wrapText="1"/>
      <protection locked="0"/>
    </xf>
    <xf numFmtId="0" fontId="28" fillId="3" borderId="0" xfId="0" applyFont="1" applyFill="1" applyProtection="1">
      <protection locked="0"/>
    </xf>
    <xf numFmtId="0" fontId="26" fillId="3" borderId="0" xfId="0" applyFont="1" applyFill="1" applyProtection="1">
      <protection locked="0"/>
    </xf>
    <xf numFmtId="165" fontId="21" fillId="3" borderId="0" xfId="0" applyNumberFormat="1" applyFont="1" applyFill="1" applyProtection="1">
      <protection locked="0"/>
    </xf>
    <xf numFmtId="0" fontId="21" fillId="3" borderId="0" xfId="0" applyFont="1" applyFill="1" applyAlignment="1" applyProtection="1">
      <alignment horizontal="right"/>
      <protection locked="0"/>
    </xf>
    <xf numFmtId="0" fontId="20" fillId="3" borderId="0" xfId="0" applyFont="1" applyFill="1" applyAlignment="1" applyProtection="1">
      <alignment horizontal="right"/>
      <protection locked="0"/>
    </xf>
    <xf numFmtId="0" fontId="20" fillId="3" borderId="0" xfId="0" applyNumberFormat="1" applyFont="1" applyFill="1" applyProtection="1">
      <protection locked="0"/>
    </xf>
    <xf numFmtId="0" fontId="2" fillId="0" borderId="0" xfId="1"/>
    <xf numFmtId="0" fontId="2" fillId="0" borderId="0" xfId="1" applyAlignment="1">
      <alignment horizontal="center" vertical="center"/>
    </xf>
    <xf numFmtId="0" fontId="2" fillId="0" borderId="14" xfId="1" applyBorder="1" applyAlignment="1">
      <alignment horizontal="center" vertical="center"/>
    </xf>
    <xf numFmtId="0" fontId="2" fillId="0" borderId="0" xfId="1" applyBorder="1" applyAlignment="1">
      <alignment horizontal="center" vertical="center"/>
    </xf>
    <xf numFmtId="0" fontId="2" fillId="0" borderId="15" xfId="1" applyBorder="1" applyAlignment="1">
      <alignment horizontal="center" vertical="center"/>
    </xf>
    <xf numFmtId="0" fontId="29" fillId="0" borderId="0" xfId="1" applyFont="1" applyAlignment="1">
      <alignment horizontal="center" vertical="center"/>
    </xf>
    <xf numFmtId="0" fontId="0" fillId="0" borderId="0" xfId="0" applyAlignment="1">
      <alignment horizontal="left" vertical="center"/>
    </xf>
    <xf numFmtId="0" fontId="19" fillId="0" borderId="1" xfId="0" applyFont="1" applyFill="1" applyBorder="1" applyAlignment="1" applyProtection="1">
      <alignment horizontal="left" vertical="center"/>
      <protection locked="0"/>
    </xf>
    <xf numFmtId="0" fontId="19" fillId="0" borderId="2" xfId="0" applyFont="1" applyFill="1" applyBorder="1" applyAlignment="1" applyProtection="1">
      <alignment horizontal="left" vertical="center"/>
      <protection locked="0"/>
    </xf>
    <xf numFmtId="0" fontId="30" fillId="0" borderId="1" xfId="0" applyFont="1" applyFill="1" applyBorder="1" applyAlignment="1" applyProtection="1">
      <alignment horizontal="left" vertical="center"/>
      <protection locked="0"/>
    </xf>
    <xf numFmtId="0" fontId="30" fillId="0" borderId="2" xfId="0" applyFont="1" applyFill="1" applyBorder="1" applyAlignment="1" applyProtection="1">
      <alignment horizontal="left" vertical="center"/>
      <protection locked="0"/>
    </xf>
    <xf numFmtId="0" fontId="19" fillId="0" borderId="0" xfId="0" applyFont="1"/>
    <xf numFmtId="0" fontId="31" fillId="3" borderId="0" xfId="0" applyFont="1" applyFill="1" applyProtection="1">
      <protection locked="0"/>
    </xf>
    <xf numFmtId="0" fontId="31" fillId="0" borderId="0" xfId="0" applyFont="1"/>
    <xf numFmtId="0" fontId="19" fillId="4" borderId="1" xfId="0" applyFont="1" applyFill="1" applyBorder="1" applyAlignment="1" applyProtection="1">
      <alignment horizontal="center"/>
      <protection locked="0"/>
    </xf>
    <xf numFmtId="0" fontId="19" fillId="2" borderId="0" xfId="0" applyFont="1" applyFill="1" applyProtection="1">
      <protection locked="0"/>
    </xf>
    <xf numFmtId="9" fontId="19" fillId="2" borderId="0" xfId="0" applyNumberFormat="1" applyFont="1" applyFill="1" applyProtection="1">
      <protection locked="0"/>
    </xf>
    <xf numFmtId="0" fontId="6" fillId="2" borderId="0" xfId="0" applyFont="1" applyFill="1" applyAlignment="1" applyProtection="1">
      <alignment horizontal="center"/>
      <protection locked="0"/>
    </xf>
    <xf numFmtId="0" fontId="19" fillId="2" borderId="1" xfId="0" applyFont="1" applyFill="1" applyBorder="1" applyProtection="1">
      <protection locked="0"/>
    </xf>
    <xf numFmtId="9" fontId="19" fillId="2" borderId="1" xfId="0" applyNumberFormat="1" applyFont="1" applyFill="1" applyBorder="1" applyProtection="1">
      <protection locked="0"/>
    </xf>
    <xf numFmtId="0" fontId="19" fillId="2" borderId="10" xfId="0" applyFont="1" applyFill="1" applyBorder="1" applyProtection="1">
      <protection locked="0"/>
    </xf>
    <xf numFmtId="0" fontId="19" fillId="2" borderId="3" xfId="0" applyFont="1" applyFill="1" applyBorder="1" applyAlignment="1" applyProtection="1">
      <alignment horizontal="center"/>
      <protection locked="0"/>
    </xf>
    <xf numFmtId="0" fontId="19" fillId="2" borderId="1" xfId="0" applyNumberFormat="1" applyFont="1" applyFill="1" applyBorder="1" applyProtection="1">
      <protection locked="0"/>
    </xf>
    <xf numFmtId="165" fontId="19" fillId="2" borderId="4" xfId="0" applyNumberFormat="1" applyFont="1" applyFill="1" applyBorder="1" applyProtection="1">
      <protection locked="0"/>
    </xf>
    <xf numFmtId="165" fontId="19" fillId="2" borderId="5" xfId="0" applyNumberFormat="1" applyFont="1" applyFill="1" applyBorder="1" applyProtection="1">
      <protection locked="0"/>
    </xf>
    <xf numFmtId="165" fontId="19" fillId="2" borderId="6" xfId="0" applyNumberFormat="1" applyFont="1" applyFill="1" applyBorder="1" applyProtection="1">
      <protection locked="0"/>
    </xf>
    <xf numFmtId="9" fontId="19" fillId="2" borderId="4" xfId="0" applyNumberFormat="1" applyFont="1" applyFill="1" applyBorder="1" applyProtection="1">
      <protection locked="0"/>
    </xf>
    <xf numFmtId="2" fontId="19" fillId="2" borderId="4" xfId="0" applyNumberFormat="1" applyFont="1" applyFill="1" applyBorder="1" applyProtection="1">
      <protection locked="0"/>
    </xf>
    <xf numFmtId="3" fontId="19" fillId="2" borderId="7" xfId="0" applyNumberFormat="1" applyFont="1" applyFill="1" applyBorder="1" applyProtection="1">
      <protection locked="0"/>
    </xf>
    <xf numFmtId="3" fontId="19" fillId="2" borderId="8" xfId="0" applyNumberFormat="1" applyFont="1" applyFill="1" applyBorder="1" applyProtection="1">
      <protection locked="0"/>
    </xf>
    <xf numFmtId="3" fontId="19" fillId="2" borderId="4" xfId="0" applyNumberFormat="1" applyFont="1" applyFill="1" applyBorder="1" applyProtection="1">
      <protection locked="0"/>
    </xf>
    <xf numFmtId="165" fontId="19" fillId="2" borderId="9" xfId="0" applyNumberFormat="1" applyFont="1" applyFill="1" applyBorder="1" applyProtection="1">
      <protection locked="0"/>
    </xf>
    <xf numFmtId="0" fontId="19" fillId="0" borderId="0" xfId="0" applyFont="1" applyProtection="1">
      <protection locked="0"/>
    </xf>
    <xf numFmtId="0" fontId="32" fillId="3" borderId="0" xfId="0" applyFont="1" applyFill="1" applyProtection="1">
      <protection locked="0"/>
    </xf>
    <xf numFmtId="0" fontId="23" fillId="3" borderId="0" xfId="0" applyFont="1" applyFill="1" applyAlignment="1" applyProtection="1">
      <alignment horizontal="right"/>
      <protection locked="0"/>
    </xf>
    <xf numFmtId="0" fontId="33" fillId="3" borderId="0" xfId="0" applyFont="1" applyFill="1" applyProtection="1">
      <protection locked="0"/>
    </xf>
    <xf numFmtId="0" fontId="34" fillId="3" borderId="0" xfId="0" applyFont="1" applyFill="1" applyProtection="1">
      <protection locked="0"/>
    </xf>
    <xf numFmtId="0" fontId="1" fillId="0" borderId="0" xfId="2" applyAlignment="1">
      <alignment horizontal="center"/>
    </xf>
    <xf numFmtId="0" fontId="29" fillId="0" borderId="0" xfId="2" applyFont="1" applyAlignment="1">
      <alignment horizontal="center" vertical="center"/>
    </xf>
    <xf numFmtId="0" fontId="1" fillId="0" borderId="0" xfId="2" applyAlignment="1">
      <alignment horizontal="center" vertical="center"/>
    </xf>
    <xf numFmtId="0" fontId="1" fillId="0" borderId="0" xfId="2"/>
    <xf numFmtId="0" fontId="1" fillId="0" borderId="14" xfId="2" applyBorder="1" applyAlignment="1">
      <alignment horizontal="center" vertical="center"/>
    </xf>
    <xf numFmtId="0" fontId="1" fillId="0" borderId="16" xfId="2" applyBorder="1" applyAlignment="1">
      <alignment horizontal="center" vertical="center"/>
    </xf>
    <xf numFmtId="0" fontId="1" fillId="0" borderId="14" xfId="2" applyNumberFormat="1" applyBorder="1" applyAlignment="1">
      <alignment horizontal="center" vertical="center"/>
    </xf>
    <xf numFmtId="165" fontId="0" fillId="2" borderId="1" xfId="0" applyNumberFormat="1" applyFill="1" applyBorder="1" applyProtection="1">
      <protection locked="0"/>
    </xf>
    <xf numFmtId="165" fontId="19" fillId="2" borderId="1" xfId="0" applyNumberFormat="1" applyFont="1" applyFill="1" applyBorder="1" applyProtection="1">
      <protection locked="0"/>
    </xf>
    <xf numFmtId="0" fontId="37" fillId="2" borderId="0" xfId="0" applyFont="1" applyFill="1" applyProtection="1">
      <protection locked="0"/>
    </xf>
    <xf numFmtId="0" fontId="38" fillId="2" borderId="0" xfId="0" applyFont="1" applyFill="1" applyProtection="1">
      <protection locked="0"/>
    </xf>
    <xf numFmtId="0" fontId="39" fillId="2" borderId="0" xfId="0" applyFont="1" applyFill="1" applyProtection="1">
      <protection locked="0"/>
    </xf>
    <xf numFmtId="165" fontId="37" fillId="2" borderId="4" xfId="0" applyNumberFormat="1" applyFont="1" applyFill="1" applyBorder="1" applyProtection="1">
      <protection locked="0"/>
    </xf>
    <xf numFmtId="0" fontId="37" fillId="3" borderId="0" xfId="0" applyFont="1" applyFill="1" applyProtection="1">
      <protection locked="0"/>
    </xf>
    <xf numFmtId="0" fontId="37" fillId="0" borderId="0" xfId="0" applyFont="1" applyProtection="1">
      <protection locked="0"/>
    </xf>
    <xf numFmtId="166" fontId="37" fillId="3" borderId="0" xfId="3" applyNumberFormat="1" applyFont="1" applyFill="1" applyProtection="1">
      <protection locked="0"/>
    </xf>
  </cellXfs>
  <cellStyles count="4">
    <cellStyle name="Обычный" xfId="0" builtinId="0"/>
    <cellStyle name="Обычный 2" xfId="1"/>
    <cellStyle name="Обычный 3" xfId="2"/>
    <cellStyle name="Финансовый" xfId="3" builtinId="3"/>
  </cellStyles>
  <dxfs count="4"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0" justifyLastLine="0" shrinkToFit="0" readingOrder="0"/>
      <border diagonalUp="0" diagonalDown="0" outline="0">
        <left style="thin">
          <color indexed="32"/>
        </left>
        <right style="thin">
          <color indexed="32"/>
        </right>
        <top style="thin">
          <color indexed="32"/>
        </top>
        <bottom style="thin">
          <color indexed="32"/>
        </bottom>
      </border>
      <protection locked="0" hidden="0"/>
    </dxf>
    <dxf>
      <border outline="0">
        <bottom style="thin">
          <color indexed="32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0" justifyLastLine="0" shrinkToFit="0" readingOrder="0"/>
      <protection locked="0" hidden="0"/>
    </dxf>
    <dxf>
      <alignment horizontal="left" vertical="center" textRotation="0" wrapText="0" indent="0" justifyLastLine="0" shrinkToFit="0" readingOrder="0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6" Type="http://schemas.openxmlformats.org/officeDocument/2006/relationships/styles" Target="style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theme" Target="theme/theme1.xml"/><Relationship Id="rId10" Type="http://schemas.openxmlformats.org/officeDocument/2006/relationships/worksheet" Target="worksheets/sheet10.xml"/><Relationship Id="rId19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externalLink" Target="externalLinks/externalLink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AHU </a:t>
            </a:r>
            <a:r>
              <a:rPr lang="ru-RU"/>
              <a:t>Расчет</a:t>
            </a:r>
          </a:p>
        </c:rich>
      </c:tx>
      <c:layout/>
      <c:overlay val="0"/>
    </c:title>
    <c:autoTitleDeleted val="0"/>
    <c:plotArea>
      <c:layout>
        <c:manualLayout>
          <c:layoutTarget val="inner"/>
          <c:xMode val="edge"/>
          <c:yMode val="edge"/>
          <c:x val="4.9919563203821966E-2"/>
          <c:y val="4.1769066824388405E-2"/>
          <c:w val="0.87278720182166147"/>
          <c:h val="0.88943542296638833"/>
        </c:manualLayout>
      </c:layout>
      <c:scatterChart>
        <c:scatterStyle val="lineMarker"/>
        <c:varyColors val="0"/>
        <c:ser>
          <c:idx val="52"/>
          <c:order val="0"/>
          <c:spPr>
            <a:ln w="3175">
              <a:solidFill>
                <a:srgbClr val="000000"/>
              </a:solidFill>
              <a:prstDash val="solid"/>
            </a:ln>
          </c:spPr>
          <c:marker>
            <c:symbol val="none"/>
          </c:marker>
          <c:xVal>
            <c:numRef>
              <c:f>'-'!$C$26:$D$26</c:f>
              <c:numCache>
                <c:formatCode>General</c:formatCode>
                <c:ptCount val="2"/>
                <c:pt idx="0">
                  <c:v>0</c:v>
                </c:pt>
                <c:pt idx="1">
                  <c:v>25</c:v>
                </c:pt>
              </c:numCache>
            </c:numRef>
          </c:xVal>
          <c:yVal>
            <c:numRef>
              <c:f>'-'!$C$55:$D$55</c:f>
              <c:numCache>
                <c:formatCode>General</c:formatCode>
                <c:ptCount val="2"/>
                <c:pt idx="0">
                  <c:v>-19.801980198019802</c:v>
                </c:pt>
                <c:pt idx="1">
                  <c:v>-81.707920792079207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D513-4D87-A894-1BBC2983A0AB}"/>
            </c:ext>
          </c:extLst>
        </c:ser>
        <c:ser>
          <c:idx val="51"/>
          <c:order val="1"/>
          <c:spPr>
            <a:ln w="3175">
              <a:solidFill>
                <a:srgbClr val="000000"/>
              </a:solidFill>
              <a:prstDash val="solid"/>
            </a:ln>
          </c:spPr>
          <c:marker>
            <c:symbol val="none"/>
          </c:marker>
          <c:xVal>
            <c:numRef>
              <c:f>'-'!$C$26:$D$26</c:f>
              <c:numCache>
                <c:formatCode>General</c:formatCode>
                <c:ptCount val="2"/>
                <c:pt idx="0">
                  <c:v>0</c:v>
                </c:pt>
                <c:pt idx="1">
                  <c:v>25</c:v>
                </c:pt>
              </c:numCache>
            </c:numRef>
          </c:xVal>
          <c:yVal>
            <c:numRef>
              <c:f>'-'!$C$54:$D$54</c:f>
              <c:numCache>
                <c:formatCode>General</c:formatCode>
                <c:ptCount val="2"/>
                <c:pt idx="0">
                  <c:v>-14.851485148514852</c:v>
                </c:pt>
                <c:pt idx="1">
                  <c:v>-76.757425742574256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D513-4D87-A894-1BBC2983A0AB}"/>
            </c:ext>
          </c:extLst>
        </c:ser>
        <c:ser>
          <c:idx val="50"/>
          <c:order val="2"/>
          <c:spPr>
            <a:ln w="3175">
              <a:solidFill>
                <a:srgbClr val="000000"/>
              </a:solidFill>
              <a:prstDash val="solid"/>
            </a:ln>
          </c:spPr>
          <c:marker>
            <c:symbol val="none"/>
          </c:marker>
          <c:xVal>
            <c:numRef>
              <c:f>'-'!$C$26:$D$26</c:f>
              <c:numCache>
                <c:formatCode>General</c:formatCode>
                <c:ptCount val="2"/>
                <c:pt idx="0">
                  <c:v>0</c:v>
                </c:pt>
                <c:pt idx="1">
                  <c:v>25</c:v>
                </c:pt>
              </c:numCache>
            </c:numRef>
          </c:xVal>
          <c:yVal>
            <c:numRef>
              <c:f>'-'!$C$53:$D$53</c:f>
              <c:numCache>
                <c:formatCode>General</c:formatCode>
                <c:ptCount val="2"/>
                <c:pt idx="0">
                  <c:v>-9.9009900990099009</c:v>
                </c:pt>
                <c:pt idx="1">
                  <c:v>-71.806930693069319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D513-4D87-A894-1BBC2983A0AB}"/>
            </c:ext>
          </c:extLst>
        </c:ser>
        <c:ser>
          <c:idx val="49"/>
          <c:order val="3"/>
          <c:spPr>
            <a:ln w="3175">
              <a:solidFill>
                <a:srgbClr val="000000"/>
              </a:solidFill>
              <a:prstDash val="solid"/>
            </a:ln>
          </c:spPr>
          <c:marker>
            <c:symbol val="none"/>
          </c:marker>
          <c:xVal>
            <c:numRef>
              <c:f>'-'!$C$26:$D$26</c:f>
              <c:numCache>
                <c:formatCode>General</c:formatCode>
                <c:ptCount val="2"/>
                <c:pt idx="0">
                  <c:v>0</c:v>
                </c:pt>
                <c:pt idx="1">
                  <c:v>25</c:v>
                </c:pt>
              </c:numCache>
            </c:numRef>
          </c:xVal>
          <c:yVal>
            <c:numRef>
              <c:f>'-'!$C$52:$D$52</c:f>
              <c:numCache>
                <c:formatCode>General</c:formatCode>
                <c:ptCount val="2"/>
                <c:pt idx="0">
                  <c:v>-4.9504950495049505</c:v>
                </c:pt>
                <c:pt idx="1">
                  <c:v>-66.856435643564367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D513-4D87-A894-1BBC2983A0AB}"/>
            </c:ext>
          </c:extLst>
        </c:ser>
        <c:ser>
          <c:idx val="38"/>
          <c:order val="4"/>
          <c:spPr>
            <a:ln w="3175">
              <a:solidFill>
                <a:srgbClr val="000000"/>
              </a:solidFill>
              <a:prstDash val="solid"/>
            </a:ln>
          </c:spPr>
          <c:marker>
            <c:symbol val="none"/>
          </c:marker>
          <c:xVal>
            <c:numRef>
              <c:f>'-'!$C$26:$D$26</c:f>
              <c:numCache>
                <c:formatCode>General</c:formatCode>
                <c:ptCount val="2"/>
                <c:pt idx="0">
                  <c:v>0</c:v>
                </c:pt>
                <c:pt idx="1">
                  <c:v>25</c:v>
                </c:pt>
              </c:numCache>
            </c:numRef>
          </c:xVal>
          <c:yVal>
            <c:numRef>
              <c:f>'-'!$C$51:$D$51</c:f>
              <c:numCache>
                <c:formatCode>General</c:formatCode>
                <c:ptCount val="2"/>
                <c:pt idx="0">
                  <c:v>0</c:v>
                </c:pt>
                <c:pt idx="1">
                  <c:v>-61.905940594059402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D513-4D87-A894-1BBC2983A0AB}"/>
            </c:ext>
          </c:extLst>
        </c:ser>
        <c:ser>
          <c:idx val="37"/>
          <c:order val="5"/>
          <c:spPr>
            <a:ln w="3175">
              <a:solidFill>
                <a:srgbClr val="000000"/>
              </a:solidFill>
              <a:prstDash val="solid"/>
            </a:ln>
          </c:spPr>
          <c:marker>
            <c:symbol val="none"/>
          </c:marker>
          <c:xVal>
            <c:numRef>
              <c:f>'-'!$C$26:$G$26</c:f>
              <c:numCache>
                <c:formatCode>General</c:formatCode>
                <c:ptCount val="5"/>
                <c:pt idx="0">
                  <c:v>0</c:v>
                </c:pt>
                <c:pt idx="1">
                  <c:v>25</c:v>
                </c:pt>
              </c:numCache>
            </c:numRef>
          </c:xVal>
          <c:yVal>
            <c:numRef>
              <c:f>'-'!$C$50:$F$50</c:f>
              <c:numCache>
                <c:formatCode>General</c:formatCode>
                <c:ptCount val="4"/>
                <c:pt idx="0">
                  <c:v>4.9504950495049505</c:v>
                </c:pt>
                <c:pt idx="1">
                  <c:v>-56.955445544554451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5-D513-4D87-A894-1BBC2983A0AB}"/>
            </c:ext>
          </c:extLst>
        </c:ser>
        <c:ser>
          <c:idx val="36"/>
          <c:order val="6"/>
          <c:spPr>
            <a:ln w="3175">
              <a:solidFill>
                <a:srgbClr val="000000"/>
              </a:solidFill>
              <a:prstDash val="solid"/>
            </a:ln>
          </c:spPr>
          <c:marker>
            <c:symbol val="none"/>
          </c:marker>
          <c:xVal>
            <c:numRef>
              <c:f>'-'!$C$26:$G$26</c:f>
              <c:numCache>
                <c:formatCode>General</c:formatCode>
                <c:ptCount val="5"/>
                <c:pt idx="0">
                  <c:v>0</c:v>
                </c:pt>
                <c:pt idx="1">
                  <c:v>25</c:v>
                </c:pt>
              </c:numCache>
            </c:numRef>
          </c:xVal>
          <c:yVal>
            <c:numRef>
              <c:f>'-'!$C$49:$F$49</c:f>
              <c:numCache>
                <c:formatCode>General</c:formatCode>
                <c:ptCount val="4"/>
                <c:pt idx="0">
                  <c:v>9.9009900990099009</c:v>
                </c:pt>
                <c:pt idx="1">
                  <c:v>-52.004950495049506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6-D513-4D87-A894-1BBC2983A0AB}"/>
            </c:ext>
          </c:extLst>
        </c:ser>
        <c:ser>
          <c:idx val="35"/>
          <c:order val="7"/>
          <c:spPr>
            <a:ln w="3175">
              <a:solidFill>
                <a:srgbClr val="000000"/>
              </a:solidFill>
              <a:prstDash val="solid"/>
            </a:ln>
          </c:spPr>
          <c:marker>
            <c:symbol val="none"/>
          </c:marker>
          <c:xVal>
            <c:numRef>
              <c:f>'-'!$C$26:$G$26</c:f>
              <c:numCache>
                <c:formatCode>General</c:formatCode>
                <c:ptCount val="5"/>
                <c:pt idx="0">
                  <c:v>0</c:v>
                </c:pt>
                <c:pt idx="1">
                  <c:v>25</c:v>
                </c:pt>
              </c:numCache>
            </c:numRef>
          </c:xVal>
          <c:yVal>
            <c:numRef>
              <c:f>'-'!$C$48:$F$48</c:f>
              <c:numCache>
                <c:formatCode>General</c:formatCode>
                <c:ptCount val="4"/>
                <c:pt idx="0">
                  <c:v>14.851485148514852</c:v>
                </c:pt>
                <c:pt idx="1">
                  <c:v>-47.054455445544555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7-D513-4D87-A894-1BBC2983A0AB}"/>
            </c:ext>
          </c:extLst>
        </c:ser>
        <c:ser>
          <c:idx val="34"/>
          <c:order val="8"/>
          <c:spPr>
            <a:ln w="3175">
              <a:solidFill>
                <a:srgbClr val="000000"/>
              </a:solidFill>
              <a:prstDash val="solid"/>
            </a:ln>
          </c:spPr>
          <c:marker>
            <c:symbol val="none"/>
          </c:marker>
          <c:xVal>
            <c:numRef>
              <c:f>'-'!$C$26:$G$26</c:f>
              <c:numCache>
                <c:formatCode>General</c:formatCode>
                <c:ptCount val="5"/>
                <c:pt idx="0">
                  <c:v>0</c:v>
                </c:pt>
                <c:pt idx="1">
                  <c:v>25</c:v>
                </c:pt>
              </c:numCache>
            </c:numRef>
          </c:xVal>
          <c:yVal>
            <c:numRef>
              <c:f>'-'!$C$47:$F$47</c:f>
              <c:numCache>
                <c:formatCode>General</c:formatCode>
                <c:ptCount val="4"/>
                <c:pt idx="0">
                  <c:v>19.801980198019802</c:v>
                </c:pt>
                <c:pt idx="1">
                  <c:v>-42.103960396039604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8-D513-4D87-A894-1BBC2983A0AB}"/>
            </c:ext>
          </c:extLst>
        </c:ser>
        <c:ser>
          <c:idx val="33"/>
          <c:order val="9"/>
          <c:spPr>
            <a:ln w="3175">
              <a:solidFill>
                <a:srgbClr val="000000"/>
              </a:solidFill>
              <a:prstDash val="solid"/>
            </a:ln>
          </c:spPr>
          <c:marker>
            <c:symbol val="none"/>
          </c:marker>
          <c:xVal>
            <c:numRef>
              <c:f>'-'!$C$26:$G$26</c:f>
              <c:numCache>
                <c:formatCode>General</c:formatCode>
                <c:ptCount val="5"/>
                <c:pt idx="0">
                  <c:v>0</c:v>
                </c:pt>
                <c:pt idx="1">
                  <c:v>25</c:v>
                </c:pt>
              </c:numCache>
            </c:numRef>
          </c:xVal>
          <c:yVal>
            <c:numRef>
              <c:f>'-'!$C$46:$F$46</c:f>
              <c:numCache>
                <c:formatCode>General</c:formatCode>
                <c:ptCount val="4"/>
                <c:pt idx="0">
                  <c:v>24.752475247524753</c:v>
                </c:pt>
                <c:pt idx="1">
                  <c:v>-37.153465346534652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9-D513-4D87-A894-1BBC2983A0AB}"/>
            </c:ext>
          </c:extLst>
        </c:ser>
        <c:ser>
          <c:idx val="32"/>
          <c:order val="10"/>
          <c:spPr>
            <a:ln w="3175">
              <a:solidFill>
                <a:srgbClr val="000000"/>
              </a:solidFill>
              <a:prstDash val="solid"/>
            </a:ln>
          </c:spPr>
          <c:marker>
            <c:symbol val="none"/>
          </c:marker>
          <c:xVal>
            <c:numRef>
              <c:f>'-'!$C$26:$G$26</c:f>
              <c:numCache>
                <c:formatCode>General</c:formatCode>
                <c:ptCount val="5"/>
                <c:pt idx="0">
                  <c:v>0</c:v>
                </c:pt>
                <c:pt idx="1">
                  <c:v>25</c:v>
                </c:pt>
              </c:numCache>
            </c:numRef>
          </c:xVal>
          <c:yVal>
            <c:numRef>
              <c:f>'-'!$C$45:$F$45</c:f>
              <c:numCache>
                <c:formatCode>General</c:formatCode>
                <c:ptCount val="4"/>
                <c:pt idx="0">
                  <c:v>29.702970297029704</c:v>
                </c:pt>
                <c:pt idx="1">
                  <c:v>-32.202970297029701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A-D513-4D87-A894-1BBC2983A0AB}"/>
            </c:ext>
          </c:extLst>
        </c:ser>
        <c:ser>
          <c:idx val="31"/>
          <c:order val="11"/>
          <c:spPr>
            <a:ln w="3175">
              <a:solidFill>
                <a:srgbClr val="000000"/>
              </a:solidFill>
              <a:prstDash val="solid"/>
            </a:ln>
          </c:spPr>
          <c:marker>
            <c:symbol val="none"/>
          </c:marker>
          <c:xVal>
            <c:numRef>
              <c:f>'-'!$C$26:$G$26</c:f>
              <c:numCache>
                <c:formatCode>General</c:formatCode>
                <c:ptCount val="5"/>
                <c:pt idx="0">
                  <c:v>0</c:v>
                </c:pt>
                <c:pt idx="1">
                  <c:v>25</c:v>
                </c:pt>
              </c:numCache>
            </c:numRef>
          </c:xVal>
          <c:yVal>
            <c:numRef>
              <c:f>'-'!$C$44:$F$44</c:f>
              <c:numCache>
                <c:formatCode>General</c:formatCode>
                <c:ptCount val="4"/>
                <c:pt idx="0">
                  <c:v>34.653465346534652</c:v>
                </c:pt>
                <c:pt idx="1">
                  <c:v>-27.25247524752475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B-D513-4D87-A894-1BBC2983A0AB}"/>
            </c:ext>
          </c:extLst>
        </c:ser>
        <c:ser>
          <c:idx val="62"/>
          <c:order val="12"/>
          <c:tx>
            <c:v>10.bod</c:v>
          </c:tx>
          <c:spPr>
            <a:ln w="38100">
              <a:solidFill>
                <a:srgbClr val="FF0000"/>
              </a:solidFill>
              <a:prstDash val="solid"/>
            </a:ln>
          </c:spPr>
          <c:marker>
            <c:symbol val="diamond"/>
            <c:size val="6"/>
            <c:spPr>
              <a:solidFill>
                <a:srgbClr val="0000FF"/>
              </a:solidFill>
              <a:ln>
                <a:solidFill>
                  <a:srgbClr val="FF0000"/>
                </a:solidFill>
                <a:prstDash val="solid"/>
              </a:ln>
            </c:spPr>
          </c:marker>
          <c:xVal>
            <c:numRef>
              <c:f>'S01'!$E$180:$S$180</c:f>
              <c:numCache>
                <c:formatCode>General</c:formatCode>
                <c:ptCount val="15"/>
                <c:pt idx="8">
                  <c:v>7.727273871375711E-4</c:v>
                </c:pt>
                <c:pt idx="9">
                  <c:v>7.727273871375711E-4</c:v>
                </c:pt>
                <c:pt idx="10">
                  <c:v>15.17511246915182</c:v>
                </c:pt>
                <c:pt idx="11">
                  <c:v>9.2012211080269264</c:v>
                </c:pt>
                <c:pt idx="12">
                  <c:v>9.0684559843778378E-2</c:v>
                </c:pt>
                <c:pt idx="13">
                  <c:v>9.0684559843778378E-2</c:v>
                </c:pt>
                <c:pt idx="14">
                  <c:v>9.0671476786990859E-4</c:v>
                </c:pt>
              </c:numCache>
            </c:numRef>
          </c:xVal>
          <c:yVal>
            <c:numRef>
              <c:f>'S01'!$E$181:$S$181</c:f>
              <c:numCache>
                <c:formatCode>General</c:formatCode>
                <c:ptCount val="15"/>
                <c:pt idx="8">
                  <c:v>8.0000113843401195</c:v>
                </c:pt>
                <c:pt idx="9">
                  <c:v>20.000028460850299</c:v>
                </c:pt>
                <c:pt idx="10">
                  <c:v>35.978118635387915</c:v>
                </c:pt>
                <c:pt idx="11">
                  <c:v>16.271117168489983</c:v>
                </c:pt>
                <c:pt idx="12">
                  <c:v>16.00267205198114</c:v>
                </c:pt>
                <c:pt idx="13">
                  <c:v>20.003340064976424</c:v>
                </c:pt>
                <c:pt idx="14">
                  <c:v>20.000033395831053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C-D513-4D87-A894-1BBC2983A0AB}"/>
            </c:ext>
          </c:extLst>
        </c:ser>
        <c:ser>
          <c:idx val="61"/>
          <c:order val="13"/>
          <c:tx>
            <c:v>9.bod</c:v>
          </c:tx>
          <c:spPr>
            <a:ln w="38100">
              <a:solidFill>
                <a:srgbClr val="FF0000"/>
              </a:solidFill>
              <a:prstDash val="solid"/>
            </a:ln>
          </c:spPr>
          <c:marker>
            <c:symbol val="diamond"/>
            <c:size val="6"/>
            <c:spPr>
              <a:solidFill>
                <a:srgbClr val="0000FF"/>
              </a:solidFill>
              <a:ln>
                <a:solidFill>
                  <a:srgbClr val="FF0000"/>
                </a:solidFill>
                <a:prstDash val="solid"/>
              </a:ln>
            </c:spPr>
          </c:marker>
          <c:xVal>
            <c:numRef>
              <c:f>'S01'!$E$178:$S$178</c:f>
              <c:numCache>
                <c:formatCode>General</c:formatCode>
                <c:ptCount val="15"/>
                <c:pt idx="7">
                  <c:v>7.727273871375711E-4</c:v>
                </c:pt>
                <c:pt idx="8">
                  <c:v>7.727273871375711E-4</c:v>
                </c:pt>
                <c:pt idx="9">
                  <c:v>7.727273871375711E-4</c:v>
                </c:pt>
                <c:pt idx="10">
                  <c:v>7.727273871375711E-4</c:v>
                </c:pt>
                <c:pt idx="11">
                  <c:v>7.727273871375711E-4</c:v>
                </c:pt>
                <c:pt idx="12">
                  <c:v>7.727273871375711E-4</c:v>
                </c:pt>
                <c:pt idx="13">
                  <c:v>7.727273871375711E-4</c:v>
                </c:pt>
                <c:pt idx="14">
                  <c:v>7.727273871375711E-4</c:v>
                </c:pt>
              </c:numCache>
            </c:numRef>
          </c:xVal>
          <c:yVal>
            <c:numRef>
              <c:f>'S01'!$E$179:$S$179</c:f>
              <c:numCache>
                <c:formatCode>General</c:formatCode>
                <c:ptCount val="15"/>
                <c:pt idx="7">
                  <c:v>8.0000113843401195</c:v>
                </c:pt>
                <c:pt idx="8">
                  <c:v>8.0000113843401195</c:v>
                </c:pt>
                <c:pt idx="9">
                  <c:v>8.0000113843401195</c:v>
                </c:pt>
                <c:pt idx="10">
                  <c:v>8.0000113843401195</c:v>
                </c:pt>
                <c:pt idx="11">
                  <c:v>8.0000113843401195</c:v>
                </c:pt>
                <c:pt idx="12">
                  <c:v>8.0000113843401195</c:v>
                </c:pt>
                <c:pt idx="13">
                  <c:v>8.0000113843401195</c:v>
                </c:pt>
                <c:pt idx="14">
                  <c:v>8.0000113843401195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D-D513-4D87-A894-1BBC2983A0AB}"/>
            </c:ext>
          </c:extLst>
        </c:ser>
        <c:ser>
          <c:idx val="60"/>
          <c:order val="14"/>
          <c:tx>
            <c:v>8.bod</c:v>
          </c:tx>
          <c:spPr>
            <a:ln w="38100">
              <a:solidFill>
                <a:srgbClr val="FF0000"/>
              </a:solidFill>
              <a:prstDash val="solid"/>
            </a:ln>
          </c:spPr>
          <c:marker>
            <c:symbol val="diamond"/>
            <c:size val="6"/>
            <c:spPr>
              <a:solidFill>
                <a:srgbClr val="0000FF"/>
              </a:solidFill>
              <a:ln>
                <a:solidFill>
                  <a:srgbClr val="FF0000"/>
                </a:solidFill>
                <a:prstDash val="solid"/>
              </a:ln>
            </c:spPr>
          </c:marker>
          <c:xVal>
            <c:numRef>
              <c:f>'S01'!$E$176:$S$176</c:f>
              <c:numCache>
                <c:formatCode>General</c:formatCode>
                <c:ptCount val="15"/>
                <c:pt idx="6">
                  <c:v>7.7282240629995516E-2</c:v>
                </c:pt>
                <c:pt idx="7">
                  <c:v>7.7282240629995516E-2</c:v>
                </c:pt>
                <c:pt idx="8">
                  <c:v>7.7282240629995516E-2</c:v>
                </c:pt>
              </c:numCache>
            </c:numRef>
          </c:xVal>
          <c:yVal>
            <c:numRef>
              <c:f>'S01'!$E$177:$S$177</c:f>
              <c:numCache>
                <c:formatCode>General</c:formatCode>
                <c:ptCount val="15"/>
                <c:pt idx="6">
                  <c:v>12.278716764906877</c:v>
                </c:pt>
                <c:pt idx="7">
                  <c:v>8.0011385740005689</c:v>
                </c:pt>
                <c:pt idx="8">
                  <c:v>8.0011385740005689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E-D513-4D87-A894-1BBC2983A0AB}"/>
            </c:ext>
          </c:extLst>
        </c:ser>
        <c:ser>
          <c:idx val="59"/>
          <c:order val="15"/>
          <c:tx>
            <c:v>7.bod</c:v>
          </c:tx>
          <c:spPr>
            <a:ln w="38100">
              <a:solidFill>
                <a:srgbClr val="FF0000"/>
              </a:solidFill>
              <a:prstDash val="solid"/>
            </a:ln>
          </c:spPr>
          <c:marker>
            <c:symbol val="diamond"/>
            <c:size val="6"/>
            <c:spPr>
              <a:solidFill>
                <a:srgbClr val="000080"/>
              </a:solidFill>
              <a:ln>
                <a:solidFill>
                  <a:srgbClr val="FF0000"/>
                </a:solidFill>
                <a:prstDash val="solid"/>
              </a:ln>
            </c:spPr>
          </c:marker>
          <c:xVal>
            <c:numRef>
              <c:f>'S01'!$E$174:$S$174</c:f>
              <c:numCache>
                <c:formatCode>General</c:formatCode>
                <c:ptCount val="15"/>
                <c:pt idx="5">
                  <c:v>7.7282240629995516E-2</c:v>
                </c:pt>
                <c:pt idx="6">
                  <c:v>7.7282240629995516E-2</c:v>
                </c:pt>
                <c:pt idx="7">
                  <c:v>7.7282240629995516E-2</c:v>
                </c:pt>
              </c:numCache>
            </c:numRef>
          </c:xVal>
          <c:yVal>
            <c:numRef>
              <c:f>'S01'!$E$175:$S$175</c:f>
              <c:numCache>
                <c:formatCode>General</c:formatCode>
                <c:ptCount val="15"/>
                <c:pt idx="5">
                  <c:v>12.278716764906877</c:v>
                </c:pt>
                <c:pt idx="6">
                  <c:v>12.278716764906877</c:v>
                </c:pt>
                <c:pt idx="7">
                  <c:v>12.278716764906877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F-D513-4D87-A894-1BBC2983A0AB}"/>
            </c:ext>
          </c:extLst>
        </c:ser>
        <c:ser>
          <c:idx val="58"/>
          <c:order val="16"/>
          <c:tx>
            <c:v>6.bod</c:v>
          </c:tx>
          <c:spPr>
            <a:ln w="38100">
              <a:solidFill>
                <a:srgbClr val="FF0000"/>
              </a:solidFill>
              <a:prstDash val="solid"/>
            </a:ln>
          </c:spPr>
          <c:marker>
            <c:symbol val="diamond"/>
            <c:size val="6"/>
            <c:spPr>
              <a:solidFill>
                <a:srgbClr val="0000FF"/>
              </a:solidFill>
              <a:ln>
                <a:solidFill>
                  <a:srgbClr val="FF0000"/>
                </a:solidFill>
                <a:prstDash val="solid"/>
              </a:ln>
            </c:spPr>
          </c:marker>
          <c:xVal>
            <c:numRef>
              <c:f>'S01'!$E$172:$S$172</c:f>
              <c:numCache>
                <c:formatCode>General</c:formatCode>
                <c:ptCount val="15"/>
                <c:pt idx="4">
                  <c:v>9.3757233081908904</c:v>
                </c:pt>
                <c:pt idx="5">
                  <c:v>7.8244380135531229</c:v>
                </c:pt>
                <c:pt idx="6">
                  <c:v>6.801154036428593E-2</c:v>
                </c:pt>
              </c:numCache>
            </c:numRef>
          </c:xVal>
          <c:yVal>
            <c:numRef>
              <c:f>'S01'!$E$173:$S$173</c:f>
              <c:numCache>
                <c:formatCode>General</c:formatCode>
                <c:ptCount val="15"/>
                <c:pt idx="4">
                  <c:v>20.345323670361086</c:v>
                </c:pt>
                <c:pt idx="5">
                  <c:v>12.453872771578625</c:v>
                </c:pt>
                <c:pt idx="6">
                  <c:v>-27.003381722333753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0-D513-4D87-A894-1BBC2983A0AB}"/>
            </c:ext>
          </c:extLst>
        </c:ser>
        <c:ser>
          <c:idx val="57"/>
          <c:order val="17"/>
          <c:tx>
            <c:v>5.bod</c:v>
          </c:tx>
          <c:spPr>
            <a:ln w="38100">
              <a:solidFill>
                <a:srgbClr val="FF0000"/>
              </a:solidFill>
              <a:prstDash val="solid"/>
            </a:ln>
          </c:spPr>
          <c:marker>
            <c:symbol val="diamond"/>
            <c:size val="6"/>
            <c:spPr>
              <a:solidFill>
                <a:srgbClr val="0000FF"/>
              </a:solidFill>
              <a:ln>
                <a:solidFill>
                  <a:srgbClr val="FF0000"/>
                </a:solidFill>
                <a:prstDash val="solid"/>
              </a:ln>
            </c:spPr>
          </c:marker>
          <c:xVal>
            <c:numRef>
              <c:f>'S01'!$E$170:$S$170</c:f>
              <c:numCache>
                <c:formatCode>General</c:formatCode>
                <c:ptCount val="15"/>
                <c:pt idx="3">
                  <c:v>9.3757233081908904</c:v>
                </c:pt>
                <c:pt idx="4">
                  <c:v>9.3757233081908904</c:v>
                </c:pt>
                <c:pt idx="5">
                  <c:v>9.3757233081908904</c:v>
                </c:pt>
              </c:numCache>
            </c:numRef>
          </c:xVal>
          <c:yVal>
            <c:numRef>
              <c:f>'S01'!$E$171:$S$171</c:f>
              <c:numCache>
                <c:formatCode>General</c:formatCode>
                <c:ptCount val="15"/>
                <c:pt idx="3">
                  <c:v>20.345323670361086</c:v>
                </c:pt>
                <c:pt idx="4">
                  <c:v>20.345323670361086</c:v>
                </c:pt>
                <c:pt idx="5">
                  <c:v>20.345323670361086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1-D513-4D87-A894-1BBC2983A0AB}"/>
            </c:ext>
          </c:extLst>
        </c:ser>
        <c:ser>
          <c:idx val="56"/>
          <c:order val="18"/>
          <c:tx>
            <c:v>4.bod</c:v>
          </c:tx>
          <c:spPr>
            <a:ln w="38100">
              <a:solidFill>
                <a:srgbClr val="FF0000"/>
              </a:solidFill>
              <a:prstDash val="solid"/>
            </a:ln>
          </c:spPr>
          <c:marker>
            <c:symbol val="diamond"/>
            <c:size val="6"/>
            <c:spPr>
              <a:solidFill>
                <a:srgbClr val="0000FF"/>
              </a:solidFill>
              <a:ln>
                <a:solidFill>
                  <a:srgbClr val="FF0000"/>
                </a:solidFill>
                <a:prstDash val="solid"/>
              </a:ln>
            </c:spPr>
          </c:marker>
          <c:xVal>
            <c:numRef>
              <c:f>'S01'!$E$168:$S$168</c:f>
              <c:numCache>
                <c:formatCode>General</c:formatCode>
                <c:ptCount val="15"/>
                <c:pt idx="2">
                  <c:v>6.801154036428593E-2</c:v>
                </c:pt>
                <c:pt idx="3">
                  <c:v>6.801154036428593E-2</c:v>
                </c:pt>
                <c:pt idx="4">
                  <c:v>6.801154036428593E-2</c:v>
                </c:pt>
              </c:numCache>
            </c:numRef>
          </c:xVal>
          <c:yVal>
            <c:numRef>
              <c:f>'S01'!$E$169:$S$169</c:f>
              <c:numCache>
                <c:formatCode>General</c:formatCode>
                <c:ptCount val="15"/>
                <c:pt idx="2">
                  <c:v>-27.003381722333753</c:v>
                </c:pt>
                <c:pt idx="3">
                  <c:v>-27.003381722333753</c:v>
                </c:pt>
                <c:pt idx="4">
                  <c:v>-27.003381722333753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2-D513-4D87-A894-1BBC2983A0AB}"/>
            </c:ext>
          </c:extLst>
        </c:ser>
        <c:ser>
          <c:idx val="55"/>
          <c:order val="19"/>
          <c:tx>
            <c:v>3.bod</c:v>
          </c:tx>
          <c:spPr>
            <a:ln w="38100">
              <a:solidFill>
                <a:srgbClr val="FF0000"/>
              </a:solidFill>
              <a:prstDash val="solid"/>
            </a:ln>
          </c:spPr>
          <c:marker>
            <c:symbol val="diamond"/>
            <c:size val="6"/>
            <c:spPr>
              <a:solidFill>
                <a:srgbClr val="0000FF"/>
              </a:solidFill>
              <a:ln>
                <a:solidFill>
                  <a:srgbClr val="FF0000"/>
                </a:solidFill>
                <a:prstDash val="solid"/>
              </a:ln>
            </c:spPr>
          </c:marker>
          <c:xVal>
            <c:numRef>
              <c:f>'S01'!$E$166:$S$166</c:f>
              <c:numCache>
                <c:formatCode>General</c:formatCode>
                <c:ptCount val="15"/>
                <c:pt idx="1">
                  <c:v>6.801154036428593E-2</c:v>
                </c:pt>
                <c:pt idx="2">
                  <c:v>6.801154036428593E-2</c:v>
                </c:pt>
                <c:pt idx="3">
                  <c:v>6.801154036428593E-2</c:v>
                </c:pt>
              </c:numCache>
            </c:numRef>
          </c:xVal>
          <c:yVal>
            <c:numRef>
              <c:f>'S01'!$E$167:$S$167</c:f>
              <c:numCache>
                <c:formatCode>General</c:formatCode>
                <c:ptCount val="15"/>
                <c:pt idx="1">
                  <c:v>-27.003381722333753</c:v>
                </c:pt>
                <c:pt idx="2">
                  <c:v>-27.003381722333753</c:v>
                </c:pt>
                <c:pt idx="3">
                  <c:v>-27.003381722333753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3-D513-4D87-A894-1BBC2983A0AB}"/>
            </c:ext>
          </c:extLst>
        </c:ser>
        <c:ser>
          <c:idx val="54"/>
          <c:order val="20"/>
          <c:tx>
            <c:v>3.bod</c:v>
          </c:tx>
          <c:spPr>
            <a:ln w="38100">
              <a:solidFill>
                <a:srgbClr val="FF0000"/>
              </a:solidFill>
              <a:prstDash val="solid"/>
            </a:ln>
          </c:spPr>
          <c:marker>
            <c:symbol val="diamond"/>
            <c:size val="6"/>
            <c:spPr>
              <a:solidFill>
                <a:srgbClr val="0000FF"/>
              </a:solidFill>
              <a:ln>
                <a:solidFill>
                  <a:srgbClr val="FF0000"/>
                </a:solidFill>
                <a:prstDash val="solid"/>
              </a:ln>
            </c:spPr>
          </c:marker>
          <c:xVal>
            <c:numRef>
              <c:f>'S01'!$E$164:$S$164</c:f>
              <c:numCache>
                <c:formatCode>General</c:formatCode>
                <c:ptCount val="15"/>
                <c:pt idx="0">
                  <c:v>6.801154036428593E-2</c:v>
                </c:pt>
                <c:pt idx="1">
                  <c:v>6.801154036428593E-2</c:v>
                </c:pt>
              </c:numCache>
            </c:numRef>
          </c:xVal>
          <c:yVal>
            <c:numRef>
              <c:f>'S01'!$E$165:$S$165</c:f>
              <c:numCache>
                <c:formatCode>General</c:formatCode>
                <c:ptCount val="15"/>
                <c:pt idx="0">
                  <c:v>-27.003381722333753</c:v>
                </c:pt>
                <c:pt idx="1">
                  <c:v>-27.003381722333753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4-D513-4D87-A894-1BBC2983A0AB}"/>
            </c:ext>
          </c:extLst>
        </c:ser>
        <c:ser>
          <c:idx val="14"/>
          <c:order val="21"/>
          <c:tx>
            <c:v>2.bod</c:v>
          </c:tx>
          <c:spPr>
            <a:ln w="38100">
              <a:solidFill>
                <a:srgbClr val="FF0000"/>
              </a:solidFill>
              <a:prstDash val="solid"/>
            </a:ln>
          </c:spPr>
          <c:marker>
            <c:symbol val="diamond"/>
            <c:size val="6"/>
            <c:spPr>
              <a:solidFill>
                <a:srgbClr val="0000FF"/>
              </a:solidFill>
              <a:ln>
                <a:solidFill>
                  <a:srgbClr val="FF0000"/>
                </a:solidFill>
                <a:prstDash val="solid"/>
              </a:ln>
            </c:spPr>
          </c:marker>
          <c:xVal>
            <c:numRef>
              <c:f>'S01'!$E$164:$S$164</c:f>
              <c:numCache>
                <c:formatCode>General</c:formatCode>
                <c:ptCount val="15"/>
                <c:pt idx="0">
                  <c:v>6.801154036428593E-2</c:v>
                </c:pt>
                <c:pt idx="1">
                  <c:v>6.801154036428593E-2</c:v>
                </c:pt>
              </c:numCache>
            </c:numRef>
          </c:xVal>
          <c:yVal>
            <c:numRef>
              <c:f>'S01'!$E$165:$S$165</c:f>
              <c:numCache>
                <c:formatCode>General</c:formatCode>
                <c:ptCount val="15"/>
                <c:pt idx="0">
                  <c:v>-27.003381722333753</c:v>
                </c:pt>
                <c:pt idx="1">
                  <c:v>-27.003381722333753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5-D513-4D87-A894-1BBC2983A0AB}"/>
            </c:ext>
          </c:extLst>
        </c:ser>
        <c:ser>
          <c:idx val="53"/>
          <c:order val="22"/>
          <c:tx>
            <c:v>1.bod</c:v>
          </c:tx>
          <c:spPr>
            <a:ln w="38100">
              <a:solidFill>
                <a:srgbClr val="FF0000"/>
              </a:solidFill>
              <a:prstDash val="solid"/>
            </a:ln>
          </c:spPr>
          <c:marker>
            <c:symbol val="diamond"/>
            <c:size val="6"/>
            <c:spPr>
              <a:solidFill>
                <a:srgbClr val="0000FF"/>
              </a:solidFill>
              <a:ln>
                <a:solidFill>
                  <a:srgbClr val="FF0000"/>
                </a:solidFill>
                <a:prstDash val="solid"/>
              </a:ln>
            </c:spPr>
          </c:marker>
          <c:xVal>
            <c:numRef>
              <c:f>'S01'!$E$162:$S$162</c:f>
              <c:numCache>
                <c:formatCode>General</c:formatCode>
                <c:ptCount val="15"/>
                <c:pt idx="0">
                  <c:v>-1</c:v>
                </c:pt>
              </c:numCache>
            </c:numRef>
          </c:xVal>
          <c:yVal>
            <c:numRef>
              <c:f>'S01'!$E$163:$S$163</c:f>
              <c:numCache>
                <c:formatCode>General</c:formatCode>
                <c:ptCount val="15"/>
                <c:pt idx="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6-D513-4D87-A894-1BBC2983A0AB}"/>
            </c:ext>
          </c:extLst>
        </c:ser>
        <c:ser>
          <c:idx val="48"/>
          <c:order val="23"/>
          <c:spPr>
            <a:ln w="3175">
              <a:solidFill>
                <a:srgbClr val="000000"/>
              </a:solidFill>
              <a:prstDash val="solid"/>
            </a:ln>
          </c:spPr>
          <c:marker>
            <c:symbol val="none"/>
          </c:marker>
          <c:xVal>
            <c:numRef>
              <c:f>'-'!$D$79:$T$79</c:f>
              <c:numCache>
                <c:formatCode>General</c:formatCode>
                <c:ptCount val="17"/>
                <c:pt idx="2">
                  <c:v>0.17101280627768012</c:v>
                </c:pt>
                <c:pt idx="3">
                  <c:v>0.26443999317586409</c:v>
                </c:pt>
                <c:pt idx="4">
                  <c:v>0.40111958118109542</c:v>
                </c:pt>
                <c:pt idx="5">
                  <c:v>0.57365941965561285</c:v>
                </c:pt>
                <c:pt idx="6">
                  <c:v>0.80856460613349224</c:v>
                </c:pt>
                <c:pt idx="7">
                  <c:v>1.1242211125591719</c:v>
                </c:pt>
                <c:pt idx="8">
                  <c:v>1.5432417243466023</c:v>
                </c:pt>
                <c:pt idx="9">
                  <c:v>2.093178554164365</c:v>
                </c:pt>
                <c:pt idx="10">
                  <c:v>2.8073255116868441</c:v>
                </c:pt>
                <c:pt idx="11">
                  <c:v>3.7256286077166139</c:v>
                </c:pt>
                <c:pt idx="12">
                  <c:v>4.89572992529573</c:v>
                </c:pt>
                <c:pt idx="13">
                  <c:v>6.3741820722374358</c:v>
                </c:pt>
                <c:pt idx="14">
                  <c:v>8.2278849367789046</c:v>
                </c:pt>
                <c:pt idx="15">
                  <c:v>10.53581702830612</c:v>
                </c:pt>
                <c:pt idx="16">
                  <c:v>13.391161696827741</c:v>
                </c:pt>
              </c:numCache>
            </c:numRef>
          </c:xVal>
          <c:yVal>
            <c:numRef>
              <c:f>'-'!$D$80:$T$80</c:f>
              <c:numCache>
                <c:formatCode>General</c:formatCode>
                <c:ptCount val="17"/>
                <c:pt idx="2">
                  <c:v>-10.003149344749273</c:v>
                </c:pt>
                <c:pt idx="3">
                  <c:v>-5.002434942511421</c:v>
                </c:pt>
                <c:pt idx="4">
                  <c:v>0</c:v>
                </c:pt>
                <c:pt idx="5">
                  <c:v>5.0052822104978194</c:v>
                </c:pt>
                <c:pt idx="6">
                  <c:v>10.014890397697112</c:v>
                </c:pt>
                <c:pt idx="7">
                  <c:v>15.031055216871684</c:v>
                </c:pt>
                <c:pt idx="8">
                  <c:v>20.05684019024326</c:v>
                </c:pt>
                <c:pt idx="9">
                  <c:v>25.096369111652123</c:v>
                </c:pt>
                <c:pt idx="10">
                  <c:v>30.155097785695176</c:v>
                </c:pt>
                <c:pt idx="11">
                  <c:v>35.240137051843917</c:v>
                </c:pt>
                <c:pt idx="12">
                  <c:v>40.36063594697228</c:v>
                </c:pt>
                <c:pt idx="13">
                  <c:v>45.528236672719089</c:v>
                </c:pt>
                <c:pt idx="14">
                  <c:v>50.757617127842018</c:v>
                </c:pt>
                <c:pt idx="15">
                  <c:v>56.067142655441302</c:v>
                </c:pt>
                <c:pt idx="16">
                  <c:v>61.47965707461978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7-D513-4D87-A894-1BBC2983A0AB}"/>
            </c:ext>
          </c:extLst>
        </c:ser>
        <c:ser>
          <c:idx val="47"/>
          <c:order val="24"/>
          <c:spPr>
            <a:ln w="3175">
              <a:solidFill>
                <a:srgbClr val="000000"/>
              </a:solidFill>
              <a:prstDash val="solid"/>
            </a:ln>
          </c:spPr>
          <c:marker>
            <c:symbol val="none"/>
          </c:marker>
          <c:xVal>
            <c:numRef>
              <c:f>'-'!$D$77:$T$77</c:f>
              <c:numCache>
                <c:formatCode>General</c:formatCode>
                <c:ptCount val="17"/>
                <c:pt idx="0">
                  <c:v>0.1358156797329006</c:v>
                </c:pt>
                <c:pt idx="1">
                  <c:v>0.21750328911584826</c:v>
                </c:pt>
                <c:pt idx="2">
                  <c:v>0.34211964476451118</c:v>
                </c:pt>
                <c:pt idx="3">
                  <c:v>0.52910486016338154</c:v>
                </c:pt>
                <c:pt idx="4">
                  <c:v>0.802756683134497</c:v>
                </c:pt>
                <c:pt idx="5">
                  <c:v>1.1483776269084569</c:v>
                </c:pt>
                <c:pt idx="6">
                  <c:v>1.6192334470055176</c:v>
                </c:pt>
                <c:pt idx="7">
                  <c:v>2.2525121732724562</c:v>
                </c:pt>
                <c:pt idx="8">
                  <c:v>3.0941578838395496</c:v>
                </c:pt>
                <c:pt idx="9">
                  <c:v>4.2004882106101</c:v>
                </c:pt>
                <c:pt idx="10">
                  <c:v>5.640098778418829</c:v>
                </c:pt>
                <c:pt idx="11">
                  <c:v>7.4961428539161545</c:v>
                </c:pt>
                <c:pt idx="12">
                  <c:v>9.8691141700684106</c:v>
                </c:pt>
                <c:pt idx="13">
                  <c:v>12.880317680384588</c:v>
                </c:pt>
                <c:pt idx="14">
                  <c:v>16.676294841620564</c:v>
                </c:pt>
                <c:pt idx="15">
                  <c:v>21.434589559138622</c:v>
                </c:pt>
                <c:pt idx="16">
                  <c:v>27.371418690269035</c:v>
                </c:pt>
              </c:numCache>
            </c:numRef>
          </c:xVal>
          <c:yVal>
            <c:numRef>
              <c:f>'-'!$D$78:$T$78</c:f>
              <c:numCache>
                <c:formatCode>General</c:formatCode>
                <c:ptCount val="17"/>
                <c:pt idx="0">
                  <c:v>-20.005002320085211</c:v>
                </c:pt>
                <c:pt idx="1">
                  <c:v>-15.006008259174585</c:v>
                </c:pt>
                <c:pt idx="2">
                  <c:v>-10.006300421180811</c:v>
                </c:pt>
                <c:pt idx="3">
                  <c:v>-5.0048719556430887</c:v>
                </c:pt>
                <c:pt idx="4">
                  <c:v>0</c:v>
                </c:pt>
                <c:pt idx="5">
                  <c:v>5.0105741702279687</c:v>
                </c:pt>
                <c:pt idx="6">
                  <c:v>10.029819546647824</c:v>
                </c:pt>
                <c:pt idx="7">
                  <c:v>15.062222861024061</c:v>
                </c:pt>
                <c:pt idx="8">
                  <c:v>20.113963042850326</c:v>
                </c:pt>
                <c:pt idx="9">
                  <c:v>25.193388813656799</c:v>
                </c:pt>
                <c:pt idx="10">
                  <c:v>30.311601496867098</c:v>
                </c:pt>
                <c:pt idx="11">
                  <c:v>35.483167227514798</c:v>
                </c:pt>
                <c:pt idx="12">
                  <c:v>40.726992172527808</c:v>
                </c:pt>
                <c:pt idx="13">
                  <c:v>46.067408504800191</c:v>
                </c:pt>
                <c:pt idx="14">
                  <c:v>51.535540020070016</c:v>
                </c:pt>
                <c:pt idx="15">
                  <c:v>57.171048031584036</c:v>
                </c:pt>
                <c:pt idx="16">
                  <c:v>63.024406263202003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8-D513-4D87-A894-1BBC2983A0AB}"/>
            </c:ext>
          </c:extLst>
        </c:ser>
        <c:ser>
          <c:idx val="46"/>
          <c:order val="25"/>
          <c:spPr>
            <a:ln w="3175">
              <a:solidFill>
                <a:srgbClr val="000000"/>
              </a:solidFill>
              <a:prstDash val="solid"/>
            </a:ln>
          </c:spPr>
          <c:marker>
            <c:symbol val="none"/>
          </c:marker>
          <c:xVal>
            <c:numRef>
              <c:f>'-'!$D$75:$T$75</c:f>
              <c:numCache>
                <c:formatCode>General</c:formatCode>
                <c:ptCount val="17"/>
                <c:pt idx="2">
                  <c:v>0.51332059303791133</c:v>
                </c:pt>
                <c:pt idx="3">
                  <c:v>0.79399488792599981</c:v>
                </c:pt>
                <c:pt idx="4">
                  <c:v>1.2049123080574862</c:v>
                </c:pt>
                <c:pt idx="5">
                  <c:v>1.7241575557293394</c:v>
                </c:pt>
                <c:pt idx="6">
                  <c:v>2.4320147475114751</c:v>
                </c:pt>
                <c:pt idx="7">
                  <c:v>3.3848953234906629</c:v>
                </c:pt>
                <c:pt idx="8">
                  <c:v>4.6528058678341644</c:v>
                </c:pt>
                <c:pt idx="9">
                  <c:v>6.3220725531589315</c:v>
                </c:pt>
                <c:pt idx="10">
                  <c:v>8.4986673926196445</c:v>
                </c:pt>
                <c:pt idx="11">
                  <c:v>11.312358814535846</c:v>
                </c:pt>
                <c:pt idx="12">
                  <c:v>14.922015091963811</c:v>
                </c:pt>
                <c:pt idx="13">
                  <c:v>19.522547083389735</c:v>
                </c:pt>
                <c:pt idx="14">
                  <c:v>25.354215953135277</c:v>
                </c:pt>
                <c:pt idx="15">
                  <c:v>32.715401866243447</c:v>
                </c:pt>
                <c:pt idx="16">
                  <c:v>41.980517887487068</c:v>
                </c:pt>
              </c:numCache>
            </c:numRef>
          </c:xVal>
          <c:yVal>
            <c:numRef>
              <c:f>'-'!$D$76:$T$76</c:f>
              <c:numCache>
                <c:formatCode>General</c:formatCode>
                <c:ptCount val="17"/>
                <c:pt idx="2">
                  <c:v>-10.009453230723272</c:v>
                </c:pt>
                <c:pt idx="3">
                  <c:v>-5.0073110420373377</c:v>
                </c:pt>
                <c:pt idx="4">
                  <c:v>0</c:v>
                </c:pt>
                <c:pt idx="5">
                  <c:v>5.0158759062062197</c:v>
                </c:pt>
                <c:pt idx="6">
                  <c:v>10.044787598320507</c:v>
                </c:pt>
                <c:pt idx="7">
                  <c:v>15.093503544084545</c:v>
                </c:pt>
                <c:pt idx="8">
                  <c:v>20.171370671567754</c:v>
                </c:pt>
                <c:pt idx="9">
                  <c:v>25.291065716556325</c:v>
                </c:pt>
                <c:pt idx="10">
                  <c:v>30.46953033713681</c:v>
                </c:pt>
                <c:pt idx="11">
                  <c:v>35.729143127550778</c:v>
                </c:pt>
                <c:pt idx="12">
                  <c:v>41.099205864200101</c:v>
                </c:pt>
                <c:pt idx="13">
                  <c:v>46.617858604831412</c:v>
                </c:pt>
                <c:pt idx="14">
                  <c:v>52.334596122417409</c:v>
                </c:pt>
                <c:pt idx="15">
                  <c:v>58.313649119719507</c:v>
                </c:pt>
                <c:pt idx="16">
                  <c:v>64.638639402221344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9-D513-4D87-A894-1BBC2983A0AB}"/>
            </c:ext>
          </c:extLst>
        </c:ser>
        <c:ser>
          <c:idx val="45"/>
          <c:order val="26"/>
          <c:spPr>
            <a:ln w="3175">
              <a:solidFill>
                <a:srgbClr val="000000"/>
              </a:solidFill>
              <a:prstDash val="solid"/>
            </a:ln>
          </c:spPr>
          <c:marker>
            <c:symbol val="none"/>
          </c:marker>
          <c:xVal>
            <c:numRef>
              <c:f>'-'!$D$73:$T$73</c:f>
              <c:numCache>
                <c:formatCode>General</c:formatCode>
                <c:ptCount val="17"/>
                <c:pt idx="0">
                  <c:v>0.27169066491795946</c:v>
                </c:pt>
                <c:pt idx="1">
                  <c:v>0.43515869724156031</c:v>
                </c:pt>
                <c:pt idx="2">
                  <c:v>0.6846157287606579</c:v>
                </c:pt>
                <c:pt idx="3">
                  <c:v>1.0591103639156361</c:v>
                </c:pt>
                <c:pt idx="4">
                  <c:v>1.6075874607367364</c:v>
                </c:pt>
                <c:pt idx="5">
                  <c:v>2.301002150939393</c:v>
                </c:pt>
                <c:pt idx="6">
                  <c:v>3.2469167754679309</c:v>
                </c:pt>
                <c:pt idx="7">
                  <c:v>4.5213928654610109</c:v>
                </c:pt>
                <c:pt idx="8">
                  <c:v>6.2192436393250885</c:v>
                </c:pt>
                <c:pt idx="9">
                  <c:v>8.4580771174857539</c:v>
                </c:pt>
                <c:pt idx="10">
                  <c:v>11.38338530604838</c:v>
                </c:pt>
                <c:pt idx="11">
                  <c:v>15.175112469151824</c:v>
                </c:pt>
                <c:pt idx="12">
                  <c:v>20.056355080942424</c:v>
                </c:pt>
                <c:pt idx="13">
                  <c:v>26.305185580831161</c:v>
                </c:pt>
                <c:pt idx="14">
                  <c:v>34.271129477061152</c:v>
                </c:pt>
                <c:pt idx="15">
                  <c:v>44.398700031379001</c:v>
                </c:pt>
                <c:pt idx="16">
                  <c:v>57.261864154498319</c:v>
                </c:pt>
              </c:numCache>
            </c:numRef>
          </c:xVal>
          <c:yVal>
            <c:numRef>
              <c:f>'-'!$D$74:$T$74</c:f>
              <c:numCache>
                <c:formatCode>General</c:formatCode>
                <c:ptCount val="17"/>
                <c:pt idx="0">
                  <c:v>-20.010006824490048</c:v>
                </c:pt>
                <c:pt idx="1">
                  <c:v>-15.012020720448554</c:v>
                </c:pt>
                <c:pt idx="2">
                  <c:v>-10.012607774806879</c:v>
                </c:pt>
                <c:pt idx="3">
                  <c:v>-5.0097522043410052</c:v>
                </c:pt>
                <c:pt idx="4">
                  <c:v>0</c:v>
                </c:pt>
                <c:pt idx="5">
                  <c:v>5.0211874455482537</c:v>
                </c:pt>
                <c:pt idx="6">
                  <c:v>10.059794704973962</c:v>
                </c:pt>
                <c:pt idx="7">
                  <c:v>15.124897882125111</c:v>
                </c:pt>
                <c:pt idx="8">
                  <c:v>20.229065211270193</c:v>
                </c:pt>
                <c:pt idx="9">
                  <c:v>25.389406520755532</c:v>
                </c:pt>
                <c:pt idx="10">
                  <c:v>30.62890386146287</c:v>
                </c:pt>
                <c:pt idx="11">
                  <c:v>35.978118635387908</c:v>
                </c:pt>
                <c:pt idx="12">
                  <c:v>41.477418631705063</c:v>
                </c:pt>
                <c:pt idx="13">
                  <c:v>47.179944587243135</c:v>
                </c:pt>
                <c:pt idx="14">
                  <c:v>53.155658456798697</c:v>
                </c:pt>
                <c:pt idx="15">
                  <c:v>59.497016844762449</c:v>
                </c:pt>
                <c:pt idx="16">
                  <c:v>66.327152514497044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A-D513-4D87-A894-1BBC2983A0AB}"/>
            </c:ext>
          </c:extLst>
        </c:ser>
        <c:ser>
          <c:idx val="44"/>
          <c:order val="27"/>
          <c:spPr>
            <a:ln w="12700">
              <a:solidFill>
                <a:srgbClr val="000000"/>
              </a:solidFill>
              <a:prstDash val="solid"/>
            </a:ln>
          </c:spPr>
          <c:marker>
            <c:symbol val="none"/>
          </c:marker>
          <c:xVal>
            <c:numRef>
              <c:f>'-'!$D$71:$T$71</c:f>
              <c:numCache>
                <c:formatCode>General</c:formatCode>
                <c:ptCount val="17"/>
                <c:pt idx="2">
                  <c:v>0.85600512968100539</c:v>
                </c:pt>
                <c:pt idx="3">
                  <c:v>1.3244515760737172</c:v>
                </c:pt>
                <c:pt idx="4">
                  <c:v>2.0107831485566803</c:v>
                </c:pt>
                <c:pt idx="5">
                  <c:v>2.8789143682602814</c:v>
                </c:pt>
                <c:pt idx="6">
                  <c:v>4.0639478418929604</c:v>
                </c:pt>
                <c:pt idx="7">
                  <c:v>5.6620272637912876</c:v>
                </c:pt>
                <c:pt idx="8">
                  <c:v>7.7935297421315459</c:v>
                </c:pt>
                <c:pt idx="9">
                  <c:v>10.608649424398145</c:v>
                </c:pt>
                <c:pt idx="10">
                  <c:v>14.294612975900844</c:v>
                </c:pt>
                <c:pt idx="11">
                  <c:v>19.085260311500072</c:v>
                </c:pt>
                <c:pt idx="12">
                  <c:v>25.274118997826371</c:v>
                </c:pt>
                <c:pt idx="13">
                  <c:v>33.2327328621272</c:v>
                </c:pt>
                <c:pt idx="14">
                  <c:v>43.437046140924913</c:v>
                </c:pt>
                <c:pt idx="15">
                  <c:v>56.506415619805608</c:v>
                </c:pt>
                <c:pt idx="16">
                  <c:v>73.262951034366679</c:v>
                </c:pt>
              </c:numCache>
            </c:numRef>
          </c:xVal>
          <c:yVal>
            <c:numRef>
              <c:f>'-'!$D$72:$T$72</c:f>
              <c:numCache>
                <c:formatCode>General</c:formatCode>
                <c:ptCount val="17"/>
                <c:pt idx="2">
                  <c:v>-10.015764054863432</c:v>
                </c:pt>
                <c:pt idx="3">
                  <c:v>-5.0121954452054309</c:v>
                </c:pt>
                <c:pt idx="4">
                  <c:v>0</c:v>
                </c:pt>
                <c:pt idx="5">
                  <c:v>5.0265088154701196</c:v>
                </c:pt>
                <c:pt idx="6">
                  <c:v>10.074841019662582</c:v>
                </c:pt>
                <c:pt idx="7">
                  <c:v>15.15640649570275</c:v>
                </c:pt>
                <c:pt idx="8">
                  <c:v>20.287048818225042</c:v>
                </c:pt>
                <c:pt idx="9">
                  <c:v>25.488418018053974</c:v>
                </c:pt>
                <c:pt idx="10">
                  <c:v>30.789741984213137</c:v>
                </c:pt>
                <c:pt idx="11">
                  <c:v>36.230148956711538</c:v>
                </c:pt>
                <c:pt idx="12">
                  <c:v>41.861776686572554</c:v>
                </c:pt>
                <c:pt idx="13">
                  <c:v>47.754039347089162</c:v>
                </c:pt>
                <c:pt idx="14">
                  <c:v>53.999648803075267</c:v>
                </c:pt>
                <c:pt idx="15">
                  <c:v>60.723372591986248</c:v>
                </c:pt>
                <c:pt idx="16">
                  <c:v>68.095193401421113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B-D513-4D87-A894-1BBC2983A0AB}"/>
            </c:ext>
          </c:extLst>
        </c:ser>
        <c:ser>
          <c:idx val="43"/>
          <c:order val="28"/>
          <c:spPr>
            <a:ln w="3175">
              <a:solidFill>
                <a:srgbClr val="000000"/>
              </a:solidFill>
              <a:prstDash val="solid"/>
            </a:ln>
          </c:spPr>
          <c:marker>
            <c:symbol val="none"/>
          </c:marker>
          <c:xVal>
            <c:numRef>
              <c:f>'-'!$D$69:$T$69</c:f>
              <c:numCache>
                <c:formatCode>General</c:formatCode>
                <c:ptCount val="17"/>
                <c:pt idx="0">
                  <c:v>0.40762499440825367</c:v>
                </c:pt>
                <c:pt idx="1">
                  <c:v>0.6529663840180876</c:v>
                </c:pt>
                <c:pt idx="2">
                  <c:v>1.0274888736328025</c:v>
                </c:pt>
                <c:pt idx="3">
                  <c:v>1.5900188128322221</c:v>
                </c:pt>
                <c:pt idx="4">
                  <c:v>2.4145003815079136</c:v>
                </c:pt>
                <c:pt idx="5">
                  <c:v>3.4578971743646818</c:v>
                </c:pt>
                <c:pt idx="6">
                  <c:v>4.8831163012886956</c:v>
                </c:pt>
                <c:pt idx="7">
                  <c:v>6.8068211469300222</c:v>
                </c:pt>
                <c:pt idx="8">
                  <c:v>9.3757233081908922</c:v>
                </c:pt>
                <c:pt idx="9">
                  <c:v>12.773939013799161</c:v>
                </c:pt>
                <c:pt idx="10">
                  <c:v>17.232717514957368</c:v>
                </c:pt>
                <c:pt idx="11">
                  <c:v>23.043679982608502</c:v>
                </c:pt>
                <c:pt idx="12">
                  <c:v>30.577356732686056</c:v>
                </c:pt>
                <c:pt idx="13">
                  <c:v>40.309882961444735</c:v>
                </c:pt>
                <c:pt idx="14">
                  <c:v>52.862543684490774</c:v>
                </c:pt>
                <c:pt idx="15">
                  <c:v>69.06210308333759</c:v>
                </c:pt>
                <c:pt idx="16">
                  <c:v>90.035853792752661</c:v>
                </c:pt>
              </c:numCache>
            </c:numRef>
          </c:xVal>
          <c:yVal>
            <c:numRef>
              <c:f>'-'!$D$70:$T$70</c:f>
              <c:numCache>
                <c:formatCode>General</c:formatCode>
                <c:ptCount val="17"/>
                <c:pt idx="0">
                  <c:v>-20.015013514645531</c:v>
                </c:pt>
                <c:pt idx="1">
                  <c:v>-15.018037388231788</c:v>
                </c:pt>
                <c:pt idx="2">
                  <c:v>-10.018922072326307</c:v>
                </c:pt>
                <c:pt idx="3">
                  <c:v>-5.0146407672864743</c:v>
                </c:pt>
                <c:pt idx="4">
                  <c:v>0</c:v>
                </c:pt>
                <c:pt idx="5">
                  <c:v>5.0318400432887049</c:v>
                </c:pt>
                <c:pt idx="6">
                  <c:v>10.089926696241555</c:v>
                </c:pt>
                <c:pt idx="7">
                  <c:v>15.188030009900345</c:v>
                </c:pt>
                <c:pt idx="8">
                  <c:v>20.345323670361086</c:v>
                </c:pt>
                <c:pt idx="9">
                  <c:v>25.588107093209565</c:v>
                </c:pt>
                <c:pt idx="10">
                  <c:v>30.952064987460023</c:v>
                </c:pt>
                <c:pt idx="11">
                  <c:v>36.485290660265164</c:v>
                </c:pt>
                <c:pt idx="12">
                  <c:v>42.252431030605784</c:v>
                </c:pt>
                <c:pt idx="13">
                  <c:v>48.340531885022699</c:v>
                </c:pt>
                <c:pt idx="14">
                  <c:v>54.867541151146177</c:v>
                </c:pt>
                <c:pt idx="15">
                  <c:v>61.995102124183596</c:v>
                </c:pt>
                <c:pt idx="16">
                  <c:v>69.948516122050691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C-D513-4D87-A894-1BBC2983A0AB}"/>
            </c:ext>
          </c:extLst>
        </c:ser>
        <c:ser>
          <c:idx val="42"/>
          <c:order val="29"/>
          <c:spPr>
            <a:ln w="3175">
              <a:solidFill>
                <a:srgbClr val="000000"/>
              </a:solidFill>
              <a:prstDash val="solid"/>
            </a:ln>
          </c:spPr>
          <c:marker>
            <c:symbol val="none"/>
          </c:marker>
          <c:xVal>
            <c:numRef>
              <c:f>'-'!$D$67:$T$67</c:f>
              <c:numCache>
                <c:formatCode>General</c:formatCode>
                <c:ptCount val="17"/>
                <c:pt idx="2">
                  <c:v>1.199067038535611</c:v>
                </c:pt>
                <c:pt idx="3">
                  <c:v>1.8558123631147272</c:v>
                </c:pt>
                <c:pt idx="4">
                  <c:v>2.8187401721956244</c:v>
                </c:pt>
                <c:pt idx="5">
                  <c:v>4.037953546927052</c:v>
                </c:pt>
                <c:pt idx="6">
                  <c:v>5.7044305519260865</c:v>
                </c:pt>
                <c:pt idx="7">
                  <c:v>7.9557973086628939</c:v>
                </c:pt>
                <c:pt idx="8">
                  <c:v>10.965884064962339</c:v>
                </c:pt>
                <c:pt idx="9">
                  <c:v>14.954097479349752</c:v>
                </c:pt>
                <c:pt idx="10">
                  <c:v>20.198072845908442</c:v>
                </c:pt>
                <c:pt idx="11">
                  <c:v>27.051270927523234</c:v>
                </c:pt>
                <c:pt idx="12">
                  <c:v>35.968185889994302</c:v>
                </c:pt>
                <c:pt idx="13">
                  <c:v>47.541534864586765</c:v>
                </c:pt>
                <c:pt idx="14">
                  <c:v>62.558807581174477</c:v>
                </c:pt>
                <c:pt idx="15">
                  <c:v>82.091092702128677</c:v>
                </c:pt>
                <c:pt idx="16">
                  <c:v>107.63779557316913</c:v>
                </c:pt>
              </c:numCache>
            </c:numRef>
          </c:xVal>
          <c:yVal>
            <c:numRef>
              <c:f>'-'!$D$68:$T$68</c:f>
              <c:numCache>
                <c:formatCode>General</c:formatCode>
                <c:ptCount val="17"/>
                <c:pt idx="2">
                  <c:v>-10.022081828630457</c:v>
                </c:pt>
                <c:pt idx="3">
                  <c:v>-5.0170881732445221</c:v>
                </c:pt>
                <c:pt idx="4">
                  <c:v>0</c:v>
                </c:pt>
                <c:pt idx="5">
                  <c:v>5.0371811564221991</c:v>
                </c:pt>
                <c:pt idx="6">
                  <c:v>10.105051889372103</c:v>
                </c:pt>
                <c:pt idx="7">
                  <c:v>15.219769054368015</c:v>
                </c:pt>
                <c:pt idx="8">
                  <c:v>20.403891967541185</c:v>
                </c:pt>
                <c:pt idx="9">
                  <c:v>25.688480725534422</c:v>
                </c:pt>
                <c:pt idx="10">
                  <c:v>31.115893529506625</c:v>
                </c:pt>
                <c:pt idx="11">
                  <c:v>36.743601720179967</c:v>
                </c:pt>
                <c:pt idx="12">
                  <c:v>42.649537653678792</c:v>
                </c:pt>
                <c:pt idx="13">
                  <c:v>48.939828186302883</c:v>
                </c:pt>
                <c:pt idx="14">
                  <c:v>55.760365450543794</c:v>
                </c:pt>
                <c:pt idx="15">
                  <c:v>63.314771072700751</c:v>
                </c:pt>
                <c:pt idx="16">
                  <c:v>71.893443550461072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D-D513-4D87-A894-1BBC2983A0AB}"/>
            </c:ext>
          </c:extLst>
        </c:ser>
        <c:ser>
          <c:idx val="41"/>
          <c:order val="30"/>
          <c:spPr>
            <a:ln w="3175">
              <a:solidFill>
                <a:srgbClr val="000000"/>
              </a:solidFill>
              <a:prstDash val="solid"/>
            </a:ln>
          </c:spPr>
          <c:marker>
            <c:symbol val="none"/>
          </c:marker>
          <c:xVal>
            <c:numRef>
              <c:f>'-'!$D$65:$T$65</c:f>
              <c:numCache>
                <c:formatCode>General</c:formatCode>
                <c:ptCount val="17"/>
                <c:pt idx="0">
                  <c:v>0.54361870709080673</c:v>
                </c:pt>
                <c:pt idx="1">
                  <c:v>0.87092650930983906</c:v>
                </c:pt>
                <c:pt idx="2">
                  <c:v>1.3707397023948227</c:v>
                </c:pt>
                <c:pt idx="3">
                  <c:v>2.1218325163374527</c:v>
                </c:pt>
                <c:pt idx="4">
                  <c:v>3.2235035358480615</c:v>
                </c:pt>
                <c:pt idx="5">
                  <c:v>4.6190864746746723</c:v>
                </c:pt>
                <c:pt idx="6">
                  <c:v>6.5278990361319016</c:v>
                </c:pt>
                <c:pt idx="7">
                  <c:v>9.1089787096255499</c:v>
                </c:pt>
                <c:pt idx="8">
                  <c:v>12.56407234294279</c:v>
                </c:pt>
                <c:pt idx="9">
                  <c:v>17.149278503847722</c:v>
                </c:pt>
                <c:pt idx="10">
                  <c:v>23.19105985999445</c:v>
                </c:pt>
                <c:pt idx="11">
                  <c:v>31.108955076661282</c:v>
                </c:pt>
                <c:pt idx="12">
                  <c:v>41.448794607937302</c:v>
                </c:pt>
                <c:pt idx="13">
                  <c:v>54.932803818225828</c:v>
                </c:pt>
                <c:pt idx="14">
                  <c:v>72.537675320012951</c:v>
                </c:pt>
                <c:pt idx="15">
                  <c:v>95.620661154705758</c:v>
                </c:pt>
                <c:pt idx="16">
                  <c:v>126.13179963008344</c:v>
                </c:pt>
              </c:numCache>
            </c:numRef>
          </c:xVal>
          <c:yVal>
            <c:numRef>
              <c:f>'-'!$D$66:$T$66</c:f>
              <c:numCache>
                <c:formatCode>General</c:formatCode>
                <c:ptCount val="17"/>
                <c:pt idx="0">
                  <c:v>-20.020022391983936</c:v>
                </c:pt>
                <c:pt idx="1">
                  <c:v>-15.02405826694034</c:v>
                </c:pt>
                <c:pt idx="2">
                  <c:v>-10.025243325212418</c:v>
                </c:pt>
                <c:pt idx="3">
                  <c:v>-5.019537665744493</c:v>
                </c:pt>
                <c:pt idx="4">
                  <c:v>0</c:v>
                </c:pt>
                <c:pt idx="5">
                  <c:v>5.042532182390568</c:v>
                </c:pt>
                <c:pt idx="6">
                  <c:v>10.120216754526785</c:v>
                </c:pt>
                <c:pt idx="7">
                  <c:v>15.251624263364905</c:v>
                </c:pt>
                <c:pt idx="8">
                  <c:v>20.46275593183908</c:v>
                </c:pt>
                <c:pt idx="9">
                  <c:v>25.789545990523681</c:v>
                </c:pt>
                <c:pt idx="10">
                  <c:v>31.281248653651179</c:v>
                </c:pt>
                <c:pt idx="11">
                  <c:v>37.005141559891733</c:v>
                </c:pt>
                <c:pt idx="12">
                  <c:v>43.053257741416374</c:v>
                </c:pt>
                <c:pt idx="13">
                  <c:v>49.552352158005448</c:v>
                </c:pt>
                <c:pt idx="14">
                  <c:v>56.679211687882379</c:v>
                </c:pt>
                <c:pt idx="15">
                  <c:v>64.685142213986538</c:v>
                </c:pt>
                <c:pt idx="16">
                  <c:v>73.936939444274572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E-D513-4D87-A894-1BBC2983A0AB}"/>
            </c:ext>
          </c:extLst>
        </c:ser>
        <c:ser>
          <c:idx val="40"/>
          <c:order val="31"/>
          <c:spPr>
            <a:ln w="3175">
              <a:solidFill>
                <a:srgbClr val="000000"/>
              </a:solidFill>
              <a:prstDash val="solid"/>
            </a:ln>
          </c:spPr>
          <c:marker>
            <c:symbol val="none"/>
          </c:marker>
          <c:xVal>
            <c:numRef>
              <c:f>'-'!$D$63:$T$63</c:f>
              <c:numCache>
                <c:formatCode>General</c:formatCode>
                <c:ptCount val="17"/>
                <c:pt idx="2">
                  <c:v>1.5425069433017784</c:v>
                </c:pt>
                <c:pt idx="3">
                  <c:v>2.3880795624103173</c:v>
                </c:pt>
                <c:pt idx="4">
                  <c:v>3.6287914903250349</c:v>
                </c:pt>
                <c:pt idx="5">
                  <c:v>5.2012989574389827</c:v>
                </c:pt>
                <c:pt idx="6">
                  <c:v>7.353530240578003</c:v>
                </c:pt>
                <c:pt idx="7">
                  <c:v>10.266388478833093</c:v>
                </c:pt>
                <c:pt idx="8">
                  <c:v>14.170349083296838</c:v>
                </c:pt>
                <c:pt idx="9">
                  <c:v>19.359637895340587</c:v>
                </c:pt>
                <c:pt idx="10">
                  <c:v>26.212066580100899</c:v>
                </c:pt>
                <c:pt idx="11">
                  <c:v>35.217677552873781</c:v>
                </c:pt>
                <c:pt idx="12">
                  <c:v>47.021444519767698</c:v>
                </c:pt>
                <c:pt idx="13">
                  <c:v>62.489033396346251</c:v>
                </c:pt>
                <c:pt idx="14">
                  <c:v>82.811684616771814</c:v>
                </c:pt>
                <c:pt idx="15">
                  <c:v>109.68022213317471</c:v>
                </c:pt>
                <c:pt idx="16">
                  <c:v>145.58744330524235</c:v>
                </c:pt>
              </c:numCache>
            </c:numRef>
          </c:xVal>
          <c:yVal>
            <c:numRef>
              <c:f>'-'!$D$64:$T$64</c:f>
              <c:numCache>
                <c:formatCode>General</c:formatCode>
                <c:ptCount val="17"/>
                <c:pt idx="2">
                  <c:v>-10.028406563510309</c:v>
                </c:pt>
                <c:pt idx="3">
                  <c:v>-5.0219892474558572</c:v>
                </c:pt>
                <c:pt idx="4">
                  <c:v>0</c:v>
                </c:pt>
                <c:pt idx="5">
                  <c:v>5.0478931488160219</c:v>
                </c:pt>
                <c:pt idx="6">
                  <c:v>10.135421447994803</c:v>
                </c:pt>
                <c:pt idx="7">
                  <c:v>15.283596275801429</c:v>
                </c:pt>
                <c:pt idx="8">
                  <c:v>20.521917807820437</c:v>
                </c:pt>
                <c:pt idx="9">
                  <c:v>25.891310061518155</c:v>
                </c:pt>
                <c:pt idx="10">
                  <c:v>31.448151797197653</c:v>
                </c:pt>
                <c:pt idx="11">
                  <c:v>37.269971097714937</c:v>
                </c:pt>
                <c:pt idx="12">
                  <c:v>43.463757893337338</c:v>
                </c:pt>
                <c:pt idx="13">
                  <c:v>50.178546628984336</c:v>
                </c:pt>
                <c:pt idx="14">
                  <c:v>57.625234326098791</c:v>
                </c:pt>
                <c:pt idx="15">
                  <c:v>66.109194776459177</c:v>
                </c:pt>
                <c:pt idx="16">
                  <c:v>76.086691755311932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F-D513-4D87-A894-1BBC2983A0AB}"/>
            </c:ext>
          </c:extLst>
        </c:ser>
        <c:ser>
          <c:idx val="39"/>
          <c:order val="32"/>
          <c:spPr>
            <a:ln w="25400">
              <a:solidFill>
                <a:srgbClr val="000000"/>
              </a:solidFill>
              <a:prstDash val="solid"/>
            </a:ln>
          </c:spPr>
          <c:marker>
            <c:symbol val="none"/>
          </c:marker>
          <c:xVal>
            <c:numRef>
              <c:f>'-'!$D$61:$T$61</c:f>
              <c:numCache>
                <c:formatCode>General</c:formatCode>
                <c:ptCount val="17"/>
                <c:pt idx="0">
                  <c:v>0.67967184188662499</c:v>
                </c:pt>
                <c:pt idx="1">
                  <c:v>1.0890392332050733</c:v>
                </c:pt>
                <c:pt idx="2">
                  <c:v>1.7143688394338854</c:v>
                </c:pt>
                <c:pt idx="3">
                  <c:v>2.6545537917379836</c:v>
                </c:pt>
                <c:pt idx="4">
                  <c:v>4.0346050561264439</c:v>
                </c:pt>
                <c:pt idx="5">
                  <c:v>5.7845940062071923</c:v>
                </c:pt>
                <c:pt idx="6">
                  <c:v>8.181332696572877</c:v>
                </c:pt>
                <c:pt idx="7">
                  <c:v>11.428049915226383</c:v>
                </c:pt>
                <c:pt idx="8">
                  <c:v>15.784775845602827</c:v>
                </c:pt>
                <c:pt idx="9">
                  <c:v>21.585333623990088</c:v>
                </c:pt>
                <c:pt idx="10">
                  <c:v>29.261488328455677</c:v>
                </c:pt>
                <c:pt idx="11">
                  <c:v>39.378407405358814</c:v>
                </c:pt>
                <c:pt idx="12">
                  <c:v>52.688473865619855</c:v>
                </c:pt>
                <c:pt idx="13">
                  <c:v>70.215808383711476</c:v>
                </c:pt>
                <c:pt idx="14">
                  <c:v>93.394125967033673</c:v>
                </c:pt>
                <c:pt idx="15">
                  <c:v>124.30153980679998</c:v>
                </c:pt>
                <c:pt idx="16">
                  <c:v>166.08173275780035</c:v>
                </c:pt>
              </c:numCache>
            </c:numRef>
          </c:xVal>
          <c:yVal>
            <c:numRef>
              <c:f>'-'!$D$62:$T$62</c:f>
              <c:numCache>
                <c:formatCode>General</c:formatCode>
                <c:ptCount val="17"/>
                <c:pt idx="0">
                  <c:v>-20.025033457938793</c:v>
                </c:pt>
                <c:pt idx="1">
                  <c:v>-15.030083360996457</c:v>
                </c:pt>
                <c:pt idx="2">
                  <c:v>-10.03157154496383</c:v>
                </c:pt>
                <c:pt idx="3">
                  <c:v>-5.0244429210526365</c:v>
                </c:pt>
                <c:pt idx="4">
                  <c:v>0</c:v>
                </c:pt>
                <c:pt idx="5">
                  <c:v>5.0532640834234916</c:v>
                </c:pt>
                <c:pt idx="6">
                  <c:v>10.150666126887382</c:v>
                </c:pt>
                <c:pt idx="7">
                  <c:v>15.315685735281996</c:v>
                </c:pt>
                <c:pt idx="8">
                  <c:v>20.581379862828143</c:v>
                </c:pt>
                <c:pt idx="9">
                  <c:v>25.993780211401521</c:v>
                </c:pt>
                <c:pt idx="10">
                  <c:v>31.616624800720622</c:v>
                </c:pt>
                <c:pt idx="11">
                  <c:v>37.538152794147386</c:v>
                </c:pt>
                <c:pt idx="12">
                  <c:v>43.881210352081304</c:v>
                </c:pt>
                <c:pt idx="13">
                  <c:v>50.818874417541238</c:v>
                </c:pt>
                <c:pt idx="14">
                  <c:v>58.599657143499144</c:v>
                </c:pt>
                <c:pt idx="15">
                  <c:v>67.59014606161945</c:v>
                </c:pt>
                <c:pt idx="16">
                  <c:v>78.351209282941113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20-D513-4D87-A894-1BBC2983A0AB}"/>
            </c:ext>
          </c:extLst>
        </c:ser>
        <c:ser>
          <c:idx val="30"/>
          <c:order val="33"/>
          <c:spPr>
            <a:ln w="3175">
              <a:solidFill>
                <a:srgbClr val="000000"/>
              </a:solidFill>
              <a:prstDash val="solid"/>
            </a:ln>
          </c:spPr>
          <c:marker>
            <c:symbol val="none"/>
          </c:marker>
          <c:xVal>
            <c:numRef>
              <c:f>'-'!$C$26:$G$26</c:f>
              <c:numCache>
                <c:formatCode>General</c:formatCode>
                <c:ptCount val="5"/>
                <c:pt idx="0">
                  <c:v>0</c:v>
                </c:pt>
                <c:pt idx="1">
                  <c:v>25</c:v>
                </c:pt>
              </c:numCache>
            </c:numRef>
          </c:xVal>
          <c:yVal>
            <c:numRef>
              <c:f>'-'!$C$43:$F$43</c:f>
              <c:numCache>
                <c:formatCode>General</c:formatCode>
                <c:ptCount val="4"/>
                <c:pt idx="0">
                  <c:v>39.603960396039604</c:v>
                </c:pt>
                <c:pt idx="1">
                  <c:v>-22.301980198019802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1-D513-4D87-A894-1BBC2983A0AB}"/>
            </c:ext>
          </c:extLst>
        </c:ser>
        <c:ser>
          <c:idx val="29"/>
          <c:order val="34"/>
          <c:spPr>
            <a:ln w="3175">
              <a:solidFill>
                <a:srgbClr val="000000"/>
              </a:solidFill>
              <a:prstDash val="solid"/>
            </a:ln>
          </c:spPr>
          <c:marker>
            <c:symbol val="none"/>
          </c:marker>
          <c:xVal>
            <c:numRef>
              <c:f>'-'!$C$26:$G$26</c:f>
              <c:numCache>
                <c:formatCode>General</c:formatCode>
                <c:ptCount val="5"/>
                <c:pt idx="0">
                  <c:v>0</c:v>
                </c:pt>
                <c:pt idx="1">
                  <c:v>25</c:v>
                </c:pt>
              </c:numCache>
            </c:numRef>
          </c:xVal>
          <c:yVal>
            <c:numRef>
              <c:f>'-'!$C$42:$F$42</c:f>
              <c:numCache>
                <c:formatCode>General</c:formatCode>
                <c:ptCount val="4"/>
                <c:pt idx="0">
                  <c:v>44.554455445544555</c:v>
                </c:pt>
                <c:pt idx="1">
                  <c:v>-17.35148514851485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2-D513-4D87-A894-1BBC2983A0AB}"/>
            </c:ext>
          </c:extLst>
        </c:ser>
        <c:ser>
          <c:idx val="28"/>
          <c:order val="35"/>
          <c:spPr>
            <a:ln w="3175">
              <a:solidFill>
                <a:srgbClr val="000000"/>
              </a:solidFill>
              <a:prstDash val="solid"/>
            </a:ln>
          </c:spPr>
          <c:marker>
            <c:symbol val="none"/>
          </c:marker>
          <c:xVal>
            <c:numRef>
              <c:f>'-'!$C$26:$G$26</c:f>
              <c:numCache>
                <c:formatCode>General</c:formatCode>
                <c:ptCount val="5"/>
                <c:pt idx="0">
                  <c:v>0</c:v>
                </c:pt>
                <c:pt idx="1">
                  <c:v>25</c:v>
                </c:pt>
              </c:numCache>
            </c:numRef>
          </c:xVal>
          <c:yVal>
            <c:numRef>
              <c:f>'-'!$C$41:$F$41</c:f>
              <c:numCache>
                <c:formatCode>General</c:formatCode>
                <c:ptCount val="4"/>
                <c:pt idx="0">
                  <c:v>49.504950495049506</c:v>
                </c:pt>
                <c:pt idx="1">
                  <c:v>-12.400990099009899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3-D513-4D87-A894-1BBC2983A0AB}"/>
            </c:ext>
          </c:extLst>
        </c:ser>
        <c:ser>
          <c:idx val="27"/>
          <c:order val="36"/>
          <c:tx>
            <c:v>55</c:v>
          </c:tx>
          <c:spPr>
            <a:ln w="3175">
              <a:solidFill>
                <a:srgbClr val="000000"/>
              </a:solidFill>
              <a:prstDash val="solid"/>
            </a:ln>
          </c:spPr>
          <c:marker>
            <c:symbol val="none"/>
          </c:marker>
          <c:xVal>
            <c:numRef>
              <c:f>'-'!$C$26:$G$26</c:f>
              <c:numCache>
                <c:formatCode>General</c:formatCode>
                <c:ptCount val="5"/>
                <c:pt idx="0">
                  <c:v>0</c:v>
                </c:pt>
                <c:pt idx="1">
                  <c:v>25</c:v>
                </c:pt>
              </c:numCache>
            </c:numRef>
          </c:xVal>
          <c:yVal>
            <c:numRef>
              <c:f>'-'!$C$40:$F$40</c:f>
              <c:numCache>
                <c:formatCode>General</c:formatCode>
                <c:ptCount val="4"/>
                <c:pt idx="0">
                  <c:v>54.455445544554458</c:v>
                </c:pt>
                <c:pt idx="1">
                  <c:v>-7.4504950495049487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4-D513-4D87-A894-1BBC2983A0AB}"/>
            </c:ext>
          </c:extLst>
        </c:ser>
        <c:ser>
          <c:idx val="26"/>
          <c:order val="37"/>
          <c:spPr>
            <a:ln w="3175">
              <a:solidFill>
                <a:srgbClr val="000000"/>
              </a:solidFill>
              <a:prstDash val="solid"/>
            </a:ln>
          </c:spPr>
          <c:marker>
            <c:symbol val="none"/>
          </c:marker>
          <c:xVal>
            <c:numRef>
              <c:f>'-'!$C$26:$G$26</c:f>
              <c:numCache>
                <c:formatCode>General</c:formatCode>
                <c:ptCount val="5"/>
                <c:pt idx="0">
                  <c:v>0</c:v>
                </c:pt>
                <c:pt idx="1">
                  <c:v>25</c:v>
                </c:pt>
              </c:numCache>
            </c:numRef>
          </c:xVal>
          <c:yVal>
            <c:numRef>
              <c:f>'-'!$C$39:$F$39</c:f>
              <c:numCache>
                <c:formatCode>General</c:formatCode>
                <c:ptCount val="4"/>
                <c:pt idx="0">
                  <c:v>59.405940594059409</c:v>
                </c:pt>
                <c:pt idx="1">
                  <c:v>-2.4999999999999987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5-D513-4D87-A894-1BBC2983A0AB}"/>
            </c:ext>
          </c:extLst>
        </c:ser>
        <c:ser>
          <c:idx val="25"/>
          <c:order val="38"/>
          <c:spPr>
            <a:ln w="3175">
              <a:solidFill>
                <a:srgbClr val="000000"/>
              </a:solidFill>
              <a:prstDash val="solid"/>
            </a:ln>
          </c:spPr>
          <c:marker>
            <c:symbol val="none"/>
          </c:marker>
          <c:xVal>
            <c:numRef>
              <c:f>'-'!$C$26:$G$26</c:f>
              <c:numCache>
                <c:formatCode>General</c:formatCode>
                <c:ptCount val="5"/>
                <c:pt idx="0">
                  <c:v>0</c:v>
                </c:pt>
                <c:pt idx="1">
                  <c:v>25</c:v>
                </c:pt>
              </c:numCache>
            </c:numRef>
          </c:xVal>
          <c:yVal>
            <c:numRef>
              <c:f>'-'!$C$38:$F$38</c:f>
              <c:numCache>
                <c:formatCode>General</c:formatCode>
                <c:ptCount val="4"/>
                <c:pt idx="0">
                  <c:v>64.356435643564353</c:v>
                </c:pt>
                <c:pt idx="1">
                  <c:v>2.4504950495049518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6-D513-4D87-A894-1BBC2983A0AB}"/>
            </c:ext>
          </c:extLst>
        </c:ser>
        <c:ser>
          <c:idx val="24"/>
          <c:order val="39"/>
          <c:spPr>
            <a:ln w="3175">
              <a:solidFill>
                <a:srgbClr val="000000"/>
              </a:solidFill>
              <a:prstDash val="solid"/>
            </a:ln>
          </c:spPr>
          <c:marker>
            <c:symbol val="none"/>
          </c:marker>
          <c:xVal>
            <c:numRef>
              <c:f>'-'!$C$26:$G$26</c:f>
              <c:numCache>
                <c:formatCode>General</c:formatCode>
                <c:ptCount val="5"/>
                <c:pt idx="0">
                  <c:v>0</c:v>
                </c:pt>
                <c:pt idx="1">
                  <c:v>25</c:v>
                </c:pt>
              </c:numCache>
            </c:numRef>
          </c:xVal>
          <c:yVal>
            <c:numRef>
              <c:f>'-'!$C$37:$F$37</c:f>
              <c:numCache>
                <c:formatCode>General</c:formatCode>
                <c:ptCount val="4"/>
                <c:pt idx="0">
                  <c:v>69.306930693069305</c:v>
                </c:pt>
                <c:pt idx="1">
                  <c:v>7.4009900990099027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7-D513-4D87-A894-1BBC2983A0AB}"/>
            </c:ext>
          </c:extLst>
        </c:ser>
        <c:ser>
          <c:idx val="23"/>
          <c:order val="40"/>
          <c:spPr>
            <a:ln w="3175">
              <a:solidFill>
                <a:srgbClr val="000000"/>
              </a:solidFill>
              <a:prstDash val="solid"/>
            </a:ln>
          </c:spPr>
          <c:marker>
            <c:symbol val="none"/>
          </c:marker>
          <c:xVal>
            <c:numRef>
              <c:f>'-'!$C$26:$G$26</c:f>
              <c:numCache>
                <c:formatCode>General</c:formatCode>
                <c:ptCount val="5"/>
                <c:pt idx="0">
                  <c:v>0</c:v>
                </c:pt>
                <c:pt idx="1">
                  <c:v>25</c:v>
                </c:pt>
              </c:numCache>
            </c:numRef>
          </c:xVal>
          <c:yVal>
            <c:numRef>
              <c:f>'-'!$C$36:$F$36</c:f>
              <c:numCache>
                <c:formatCode>General</c:formatCode>
                <c:ptCount val="4"/>
                <c:pt idx="0">
                  <c:v>74.257425742574256</c:v>
                </c:pt>
                <c:pt idx="1">
                  <c:v>12.351485148514852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8-D513-4D87-A894-1BBC2983A0AB}"/>
            </c:ext>
          </c:extLst>
        </c:ser>
        <c:ser>
          <c:idx val="22"/>
          <c:order val="41"/>
          <c:spPr>
            <a:ln w="3175">
              <a:solidFill>
                <a:srgbClr val="000000"/>
              </a:solidFill>
              <a:prstDash val="solid"/>
            </a:ln>
          </c:spPr>
          <c:marker>
            <c:symbol val="none"/>
          </c:marker>
          <c:xVal>
            <c:numRef>
              <c:f>'-'!$C$26:$G$26</c:f>
              <c:numCache>
                <c:formatCode>General</c:formatCode>
                <c:ptCount val="5"/>
                <c:pt idx="0">
                  <c:v>0</c:v>
                </c:pt>
                <c:pt idx="1">
                  <c:v>25</c:v>
                </c:pt>
              </c:numCache>
            </c:numRef>
          </c:xVal>
          <c:yVal>
            <c:numRef>
              <c:f>'-'!$C$35:$F$35</c:f>
              <c:numCache>
                <c:formatCode>General</c:formatCode>
                <c:ptCount val="4"/>
                <c:pt idx="0">
                  <c:v>79.207920792079207</c:v>
                </c:pt>
                <c:pt idx="1">
                  <c:v>17.301980198019802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9-D513-4D87-A894-1BBC2983A0AB}"/>
            </c:ext>
          </c:extLst>
        </c:ser>
        <c:ser>
          <c:idx val="21"/>
          <c:order val="42"/>
          <c:spPr>
            <a:ln w="3175">
              <a:solidFill>
                <a:srgbClr val="000000"/>
              </a:solidFill>
              <a:prstDash val="solid"/>
            </a:ln>
          </c:spPr>
          <c:marker>
            <c:symbol val="none"/>
          </c:marker>
          <c:xVal>
            <c:numRef>
              <c:f>'-'!$C$26:$G$26</c:f>
              <c:numCache>
                <c:formatCode>General</c:formatCode>
                <c:ptCount val="5"/>
                <c:pt idx="0">
                  <c:v>0</c:v>
                </c:pt>
                <c:pt idx="1">
                  <c:v>25</c:v>
                </c:pt>
              </c:numCache>
            </c:numRef>
          </c:xVal>
          <c:yVal>
            <c:numRef>
              <c:f>'-'!$C$34:$F$34</c:f>
              <c:numCache>
                <c:formatCode>General</c:formatCode>
                <c:ptCount val="4"/>
                <c:pt idx="0">
                  <c:v>84.158415841584159</c:v>
                </c:pt>
                <c:pt idx="1">
                  <c:v>22.252475247524753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A-D513-4D87-A894-1BBC2983A0AB}"/>
            </c:ext>
          </c:extLst>
        </c:ser>
        <c:ser>
          <c:idx val="20"/>
          <c:order val="43"/>
          <c:spPr>
            <a:ln w="3175">
              <a:solidFill>
                <a:srgbClr val="000000"/>
              </a:solidFill>
              <a:prstDash val="solid"/>
            </a:ln>
          </c:spPr>
          <c:marker>
            <c:symbol val="none"/>
          </c:marker>
          <c:xVal>
            <c:numRef>
              <c:f>'-'!$C$26:$D$26</c:f>
              <c:numCache>
                <c:formatCode>General</c:formatCode>
                <c:ptCount val="2"/>
                <c:pt idx="0">
                  <c:v>0</c:v>
                </c:pt>
                <c:pt idx="1">
                  <c:v>25</c:v>
                </c:pt>
              </c:numCache>
            </c:numRef>
          </c:xVal>
          <c:yVal>
            <c:numRef>
              <c:f>'-'!$C$33:$D$33</c:f>
              <c:numCache>
                <c:formatCode>General</c:formatCode>
                <c:ptCount val="2"/>
                <c:pt idx="0">
                  <c:v>89.10891089108911</c:v>
                </c:pt>
                <c:pt idx="1">
                  <c:v>27.202970297029704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B-D513-4D87-A894-1BBC2983A0AB}"/>
            </c:ext>
          </c:extLst>
        </c:ser>
        <c:ser>
          <c:idx val="19"/>
          <c:order val="44"/>
          <c:spPr>
            <a:ln w="3175">
              <a:solidFill>
                <a:srgbClr val="000000"/>
              </a:solidFill>
              <a:prstDash val="solid"/>
            </a:ln>
          </c:spPr>
          <c:marker>
            <c:symbol val="none"/>
          </c:marker>
          <c:xVal>
            <c:numRef>
              <c:f>'-'!$C$26:$D$26</c:f>
              <c:numCache>
                <c:formatCode>General</c:formatCode>
                <c:ptCount val="2"/>
                <c:pt idx="0">
                  <c:v>0</c:v>
                </c:pt>
                <c:pt idx="1">
                  <c:v>25</c:v>
                </c:pt>
              </c:numCache>
            </c:numRef>
          </c:xVal>
          <c:yVal>
            <c:numRef>
              <c:f>'-'!$C$32:$D$32</c:f>
              <c:numCache>
                <c:formatCode>General</c:formatCode>
                <c:ptCount val="2"/>
                <c:pt idx="0">
                  <c:v>94.059405940594061</c:v>
                </c:pt>
                <c:pt idx="1">
                  <c:v>32.153465346534652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C-D513-4D87-A894-1BBC2983A0AB}"/>
            </c:ext>
          </c:extLst>
        </c:ser>
        <c:ser>
          <c:idx val="18"/>
          <c:order val="45"/>
          <c:spPr>
            <a:ln w="3175">
              <a:solidFill>
                <a:srgbClr val="000000"/>
              </a:solidFill>
              <a:prstDash val="solid"/>
            </a:ln>
          </c:spPr>
          <c:marker>
            <c:symbol val="none"/>
          </c:marker>
          <c:xVal>
            <c:numRef>
              <c:f>'-'!$C$26:$D$26</c:f>
              <c:numCache>
                <c:formatCode>General</c:formatCode>
                <c:ptCount val="2"/>
                <c:pt idx="0">
                  <c:v>0</c:v>
                </c:pt>
                <c:pt idx="1">
                  <c:v>25</c:v>
                </c:pt>
              </c:numCache>
            </c:numRef>
          </c:xVal>
          <c:yVal>
            <c:numRef>
              <c:f>'-'!$C$31:$FD$31</c:f>
              <c:numCache>
                <c:formatCode>General</c:formatCode>
                <c:ptCount val="158"/>
                <c:pt idx="0">
                  <c:v>99.009900990099013</c:v>
                </c:pt>
                <c:pt idx="1">
                  <c:v>37.103960396039604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D-D513-4D87-A894-1BBC2983A0AB}"/>
            </c:ext>
          </c:extLst>
        </c:ser>
        <c:ser>
          <c:idx val="17"/>
          <c:order val="46"/>
          <c:spPr>
            <a:ln w="3175">
              <a:solidFill>
                <a:srgbClr val="000000"/>
              </a:solidFill>
              <a:prstDash val="solid"/>
            </a:ln>
          </c:spPr>
          <c:marker>
            <c:symbol val="none"/>
          </c:marker>
          <c:xVal>
            <c:numRef>
              <c:f>'-'!$C$26:$D$26</c:f>
              <c:numCache>
                <c:formatCode>General</c:formatCode>
                <c:ptCount val="2"/>
                <c:pt idx="0">
                  <c:v>0</c:v>
                </c:pt>
                <c:pt idx="1">
                  <c:v>25</c:v>
                </c:pt>
              </c:numCache>
            </c:numRef>
          </c:xVal>
          <c:yVal>
            <c:numRef>
              <c:f>'-'!$C$30:$D$30</c:f>
              <c:numCache>
                <c:formatCode>General</c:formatCode>
                <c:ptCount val="2"/>
                <c:pt idx="0">
                  <c:v>103.96039603960396</c:v>
                </c:pt>
                <c:pt idx="1">
                  <c:v>42.054455445544555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E-D513-4D87-A894-1BBC2983A0AB}"/>
            </c:ext>
          </c:extLst>
        </c:ser>
        <c:ser>
          <c:idx val="16"/>
          <c:order val="47"/>
          <c:spPr>
            <a:ln w="3175">
              <a:solidFill>
                <a:srgbClr val="000000"/>
              </a:solidFill>
              <a:prstDash val="solid"/>
            </a:ln>
          </c:spPr>
          <c:marker>
            <c:symbol val="none"/>
          </c:marker>
          <c:xVal>
            <c:numRef>
              <c:f>'-'!$C$26:$D$26</c:f>
              <c:numCache>
                <c:formatCode>General</c:formatCode>
                <c:ptCount val="2"/>
                <c:pt idx="0">
                  <c:v>0</c:v>
                </c:pt>
                <c:pt idx="1">
                  <c:v>25</c:v>
                </c:pt>
              </c:numCache>
            </c:numRef>
          </c:xVal>
          <c:yVal>
            <c:numRef>
              <c:f>'-'!$C$29:$D$29</c:f>
              <c:numCache>
                <c:formatCode>General</c:formatCode>
                <c:ptCount val="2"/>
                <c:pt idx="0">
                  <c:v>108.91089108910892</c:v>
                </c:pt>
                <c:pt idx="1">
                  <c:v>47.004950495049506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F-D513-4D87-A894-1BBC2983A0AB}"/>
            </c:ext>
          </c:extLst>
        </c:ser>
        <c:ser>
          <c:idx val="15"/>
          <c:order val="48"/>
          <c:spPr>
            <a:ln w="3175">
              <a:solidFill>
                <a:srgbClr val="000000"/>
              </a:solidFill>
              <a:prstDash val="solid"/>
            </a:ln>
          </c:spPr>
          <c:marker>
            <c:symbol val="none"/>
          </c:marker>
          <c:xVal>
            <c:numRef>
              <c:f>'-'!$C$26:$D$26</c:f>
              <c:numCache>
                <c:formatCode>General</c:formatCode>
                <c:ptCount val="2"/>
                <c:pt idx="0">
                  <c:v>0</c:v>
                </c:pt>
                <c:pt idx="1">
                  <c:v>25</c:v>
                </c:pt>
              </c:numCache>
            </c:numRef>
          </c:xVal>
          <c:yVal>
            <c:numRef>
              <c:f>'-'!$C$28:$D$28</c:f>
              <c:numCache>
                <c:formatCode>General</c:formatCode>
                <c:ptCount val="2"/>
                <c:pt idx="0">
                  <c:v>113.86138613861387</c:v>
                </c:pt>
                <c:pt idx="1">
                  <c:v>51.955445544554458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0-D513-4D87-A894-1BBC2983A0AB}"/>
            </c:ext>
          </c:extLst>
        </c:ser>
        <c:ser>
          <c:idx val="10"/>
          <c:order val="49"/>
          <c:spPr>
            <a:ln w="3175">
              <a:solidFill>
                <a:srgbClr val="000000"/>
              </a:solidFill>
              <a:prstDash val="solid"/>
            </a:ln>
          </c:spPr>
          <c:marker>
            <c:symbol val="none"/>
          </c:marker>
          <c:xVal>
            <c:numRef>
              <c:f>'-'!$C$6:$R$6</c:f>
              <c:numCache>
                <c:formatCode>General</c:formatCode>
                <c:ptCount val="16"/>
                <c:pt idx="0">
                  <c:v>0</c:v>
                </c:pt>
                <c:pt idx="1">
                  <c:v>2</c:v>
                </c:pt>
                <c:pt idx="2">
                  <c:v>4</c:v>
                </c:pt>
                <c:pt idx="3">
                  <c:v>6</c:v>
                </c:pt>
                <c:pt idx="4">
                  <c:v>8</c:v>
                </c:pt>
                <c:pt idx="5">
                  <c:v>10</c:v>
                </c:pt>
                <c:pt idx="6">
                  <c:v>12</c:v>
                </c:pt>
                <c:pt idx="7">
                  <c:v>14</c:v>
                </c:pt>
                <c:pt idx="8">
                  <c:v>16</c:v>
                </c:pt>
                <c:pt idx="9">
                  <c:v>18</c:v>
                </c:pt>
                <c:pt idx="10">
                  <c:v>20</c:v>
                </c:pt>
                <c:pt idx="11">
                  <c:v>22</c:v>
                </c:pt>
                <c:pt idx="12">
                  <c:v>24</c:v>
                </c:pt>
                <c:pt idx="13">
                  <c:v>26</c:v>
                </c:pt>
                <c:pt idx="14">
                  <c:v>28</c:v>
                </c:pt>
                <c:pt idx="15">
                  <c:v>30</c:v>
                </c:pt>
              </c:numCache>
            </c:numRef>
          </c:xVal>
          <c:yVal>
            <c:numRef>
              <c:f>'-'!$C$18:$R$18</c:f>
              <c:numCache>
                <c:formatCode>General</c:formatCode>
                <c:ptCount val="1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1-D513-4D87-A894-1BBC2983A0AB}"/>
            </c:ext>
          </c:extLst>
        </c:ser>
        <c:ser>
          <c:idx val="13"/>
          <c:order val="50"/>
          <c:spPr>
            <a:ln w="3175">
              <a:solidFill>
                <a:srgbClr val="000000"/>
              </a:solidFill>
              <a:prstDash val="solid"/>
            </a:ln>
          </c:spPr>
          <c:marker>
            <c:symbol val="none"/>
          </c:marker>
          <c:xVal>
            <c:numRef>
              <c:f>'-'!$C$6:$R$6</c:f>
              <c:numCache>
                <c:formatCode>General</c:formatCode>
                <c:ptCount val="16"/>
                <c:pt idx="0">
                  <c:v>0</c:v>
                </c:pt>
                <c:pt idx="1">
                  <c:v>2</c:v>
                </c:pt>
                <c:pt idx="2">
                  <c:v>4</c:v>
                </c:pt>
                <c:pt idx="3">
                  <c:v>6</c:v>
                </c:pt>
                <c:pt idx="4">
                  <c:v>8</c:v>
                </c:pt>
                <c:pt idx="5">
                  <c:v>10</c:v>
                </c:pt>
                <c:pt idx="6">
                  <c:v>12</c:v>
                </c:pt>
                <c:pt idx="7">
                  <c:v>14</c:v>
                </c:pt>
                <c:pt idx="8">
                  <c:v>16</c:v>
                </c:pt>
                <c:pt idx="9">
                  <c:v>18</c:v>
                </c:pt>
                <c:pt idx="10">
                  <c:v>20</c:v>
                </c:pt>
                <c:pt idx="11">
                  <c:v>22</c:v>
                </c:pt>
                <c:pt idx="12">
                  <c:v>24</c:v>
                </c:pt>
                <c:pt idx="13">
                  <c:v>26</c:v>
                </c:pt>
                <c:pt idx="14">
                  <c:v>28</c:v>
                </c:pt>
                <c:pt idx="15">
                  <c:v>30</c:v>
                </c:pt>
              </c:numCache>
            </c:numRef>
          </c:xVal>
          <c:yVal>
            <c:numRef>
              <c:f>'-'!$C$21:$R$21</c:f>
              <c:numCache>
                <c:formatCode>General</c:formatCode>
                <c:ptCount val="16"/>
                <c:pt idx="0">
                  <c:v>-15</c:v>
                </c:pt>
                <c:pt idx="1">
                  <c:v>-15.055247524752476</c:v>
                </c:pt>
                <c:pt idx="2">
                  <c:v>-15.11049504950495</c:v>
                </c:pt>
                <c:pt idx="3">
                  <c:v>-15.165742574257427</c:v>
                </c:pt>
                <c:pt idx="4">
                  <c:v>-15.220990099009901</c:v>
                </c:pt>
                <c:pt idx="5">
                  <c:v>-15.276237623762377</c:v>
                </c:pt>
                <c:pt idx="6">
                  <c:v>-15.331485148514851</c:v>
                </c:pt>
                <c:pt idx="7">
                  <c:v>-15.386732673267327</c:v>
                </c:pt>
                <c:pt idx="8">
                  <c:v>-15.441980198019802</c:v>
                </c:pt>
                <c:pt idx="9">
                  <c:v>-15.497227722772278</c:v>
                </c:pt>
                <c:pt idx="10">
                  <c:v>-15.552475247524752</c:v>
                </c:pt>
                <c:pt idx="11">
                  <c:v>-15.607722772277228</c:v>
                </c:pt>
                <c:pt idx="12">
                  <c:v>-15.662970297029704</c:v>
                </c:pt>
                <c:pt idx="13">
                  <c:v>-15.718217821782179</c:v>
                </c:pt>
                <c:pt idx="14">
                  <c:v>-15.773465346534653</c:v>
                </c:pt>
                <c:pt idx="15">
                  <c:v>-15.828712871287129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32-D513-4D87-A894-1BBC2983A0AB}"/>
            </c:ext>
          </c:extLst>
        </c:ser>
        <c:ser>
          <c:idx val="12"/>
          <c:order val="51"/>
          <c:spPr>
            <a:ln w="3175">
              <a:solidFill>
                <a:srgbClr val="000000"/>
              </a:solidFill>
              <a:prstDash val="solid"/>
            </a:ln>
          </c:spPr>
          <c:marker>
            <c:symbol val="none"/>
          </c:marker>
          <c:xVal>
            <c:numRef>
              <c:f>'-'!$C$6:$R$6</c:f>
              <c:numCache>
                <c:formatCode>General</c:formatCode>
                <c:ptCount val="16"/>
                <c:pt idx="0">
                  <c:v>0</c:v>
                </c:pt>
                <c:pt idx="1">
                  <c:v>2</c:v>
                </c:pt>
                <c:pt idx="2">
                  <c:v>4</c:v>
                </c:pt>
                <c:pt idx="3">
                  <c:v>6</c:v>
                </c:pt>
                <c:pt idx="4">
                  <c:v>8</c:v>
                </c:pt>
                <c:pt idx="5">
                  <c:v>10</c:v>
                </c:pt>
                <c:pt idx="6">
                  <c:v>12</c:v>
                </c:pt>
                <c:pt idx="7">
                  <c:v>14</c:v>
                </c:pt>
                <c:pt idx="8">
                  <c:v>16</c:v>
                </c:pt>
                <c:pt idx="9">
                  <c:v>18</c:v>
                </c:pt>
                <c:pt idx="10">
                  <c:v>20</c:v>
                </c:pt>
                <c:pt idx="11">
                  <c:v>22</c:v>
                </c:pt>
                <c:pt idx="12">
                  <c:v>24</c:v>
                </c:pt>
                <c:pt idx="13">
                  <c:v>26</c:v>
                </c:pt>
                <c:pt idx="14">
                  <c:v>28</c:v>
                </c:pt>
                <c:pt idx="15">
                  <c:v>30</c:v>
                </c:pt>
              </c:numCache>
            </c:numRef>
          </c:xVal>
          <c:yVal>
            <c:numRef>
              <c:f>'-'!$C$20:$R$20</c:f>
              <c:numCache>
                <c:formatCode>General</c:formatCode>
                <c:ptCount val="16"/>
                <c:pt idx="0">
                  <c:v>-10</c:v>
                </c:pt>
                <c:pt idx="1">
                  <c:v>-10.036831683168316</c:v>
                </c:pt>
                <c:pt idx="2">
                  <c:v>-10.073663366336634</c:v>
                </c:pt>
                <c:pt idx="3">
                  <c:v>-10.11049504950495</c:v>
                </c:pt>
                <c:pt idx="4">
                  <c:v>-10.147326732673266</c:v>
                </c:pt>
                <c:pt idx="5">
                  <c:v>-10.184158415841583</c:v>
                </c:pt>
                <c:pt idx="6">
                  <c:v>-10.220990099009901</c:v>
                </c:pt>
                <c:pt idx="7">
                  <c:v>-10.257821782178217</c:v>
                </c:pt>
                <c:pt idx="8">
                  <c:v>-10.294653465346533</c:v>
                </c:pt>
                <c:pt idx="9">
                  <c:v>-10.331485148514851</c:v>
                </c:pt>
                <c:pt idx="10">
                  <c:v>-10.368316831683169</c:v>
                </c:pt>
                <c:pt idx="11">
                  <c:v>-10.405148514851485</c:v>
                </c:pt>
                <c:pt idx="12">
                  <c:v>-10.441980198019802</c:v>
                </c:pt>
                <c:pt idx="13">
                  <c:v>-10.47881188118812</c:v>
                </c:pt>
                <c:pt idx="14">
                  <c:v>-10.515643564356434</c:v>
                </c:pt>
                <c:pt idx="15">
                  <c:v>-10.552475247524752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33-D513-4D87-A894-1BBC2983A0AB}"/>
            </c:ext>
          </c:extLst>
        </c:ser>
        <c:ser>
          <c:idx val="11"/>
          <c:order val="52"/>
          <c:spPr>
            <a:ln w="3175">
              <a:solidFill>
                <a:srgbClr val="000000"/>
              </a:solidFill>
              <a:prstDash val="solid"/>
            </a:ln>
          </c:spPr>
          <c:marker>
            <c:symbol val="none"/>
          </c:marker>
          <c:xVal>
            <c:numRef>
              <c:f>'-'!$C$6:$R$6</c:f>
              <c:numCache>
                <c:formatCode>General</c:formatCode>
                <c:ptCount val="16"/>
                <c:pt idx="0">
                  <c:v>0</c:v>
                </c:pt>
                <c:pt idx="1">
                  <c:v>2</c:v>
                </c:pt>
                <c:pt idx="2">
                  <c:v>4</c:v>
                </c:pt>
                <c:pt idx="3">
                  <c:v>6</c:v>
                </c:pt>
                <c:pt idx="4">
                  <c:v>8</c:v>
                </c:pt>
                <c:pt idx="5">
                  <c:v>10</c:v>
                </c:pt>
                <c:pt idx="6">
                  <c:v>12</c:v>
                </c:pt>
                <c:pt idx="7">
                  <c:v>14</c:v>
                </c:pt>
                <c:pt idx="8">
                  <c:v>16</c:v>
                </c:pt>
                <c:pt idx="9">
                  <c:v>18</c:v>
                </c:pt>
                <c:pt idx="10">
                  <c:v>20</c:v>
                </c:pt>
                <c:pt idx="11">
                  <c:v>22</c:v>
                </c:pt>
                <c:pt idx="12">
                  <c:v>24</c:v>
                </c:pt>
                <c:pt idx="13">
                  <c:v>26</c:v>
                </c:pt>
                <c:pt idx="14">
                  <c:v>28</c:v>
                </c:pt>
                <c:pt idx="15">
                  <c:v>30</c:v>
                </c:pt>
              </c:numCache>
            </c:numRef>
          </c:xVal>
          <c:yVal>
            <c:numRef>
              <c:f>'-'!$C$19:$R$19</c:f>
              <c:numCache>
                <c:formatCode>General</c:formatCode>
                <c:ptCount val="16"/>
                <c:pt idx="0">
                  <c:v>-5</c:v>
                </c:pt>
                <c:pt idx="1">
                  <c:v>-5.018415841584158</c:v>
                </c:pt>
                <c:pt idx="2">
                  <c:v>-5.0368316831683169</c:v>
                </c:pt>
                <c:pt idx="3">
                  <c:v>-5.0552475247524749</c:v>
                </c:pt>
                <c:pt idx="4">
                  <c:v>-5.0736633663366328</c:v>
                </c:pt>
                <c:pt idx="5">
                  <c:v>-5.0920792079207917</c:v>
                </c:pt>
                <c:pt idx="6">
                  <c:v>-5.1104950495049506</c:v>
                </c:pt>
                <c:pt idx="7">
                  <c:v>-5.1289108910891086</c:v>
                </c:pt>
                <c:pt idx="8">
                  <c:v>-5.1473267326732666</c:v>
                </c:pt>
                <c:pt idx="9">
                  <c:v>-5.1657425742574254</c:v>
                </c:pt>
                <c:pt idx="10">
                  <c:v>-5.1841584158415843</c:v>
                </c:pt>
                <c:pt idx="11">
                  <c:v>-5.2025742574257423</c:v>
                </c:pt>
                <c:pt idx="12">
                  <c:v>-5.2209900990099012</c:v>
                </c:pt>
                <c:pt idx="13">
                  <c:v>-5.2394059405940601</c:v>
                </c:pt>
                <c:pt idx="14">
                  <c:v>-5.2578217821782172</c:v>
                </c:pt>
                <c:pt idx="15">
                  <c:v>-5.276237623762376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34-D513-4D87-A894-1BBC2983A0AB}"/>
            </c:ext>
          </c:extLst>
        </c:ser>
        <c:ser>
          <c:idx val="9"/>
          <c:order val="53"/>
          <c:spPr>
            <a:ln w="3175">
              <a:solidFill>
                <a:srgbClr val="000000"/>
              </a:solidFill>
              <a:prstDash val="solid"/>
            </a:ln>
          </c:spPr>
          <c:marker>
            <c:symbol val="none"/>
          </c:marker>
          <c:xVal>
            <c:numRef>
              <c:f>'-'!$C$6:$R$6</c:f>
              <c:numCache>
                <c:formatCode>General</c:formatCode>
                <c:ptCount val="16"/>
                <c:pt idx="0">
                  <c:v>0</c:v>
                </c:pt>
                <c:pt idx="1">
                  <c:v>2</c:v>
                </c:pt>
                <c:pt idx="2">
                  <c:v>4</c:v>
                </c:pt>
                <c:pt idx="3">
                  <c:v>6</c:v>
                </c:pt>
                <c:pt idx="4">
                  <c:v>8</c:v>
                </c:pt>
                <c:pt idx="5">
                  <c:v>10</c:v>
                </c:pt>
                <c:pt idx="6">
                  <c:v>12</c:v>
                </c:pt>
                <c:pt idx="7">
                  <c:v>14</c:v>
                </c:pt>
                <c:pt idx="8">
                  <c:v>16</c:v>
                </c:pt>
                <c:pt idx="9">
                  <c:v>18</c:v>
                </c:pt>
                <c:pt idx="10">
                  <c:v>20</c:v>
                </c:pt>
                <c:pt idx="11">
                  <c:v>22</c:v>
                </c:pt>
                <c:pt idx="12">
                  <c:v>24</c:v>
                </c:pt>
                <c:pt idx="13">
                  <c:v>26</c:v>
                </c:pt>
                <c:pt idx="14">
                  <c:v>28</c:v>
                </c:pt>
                <c:pt idx="15">
                  <c:v>30</c:v>
                </c:pt>
              </c:numCache>
            </c:numRef>
          </c:xVal>
          <c:yVal>
            <c:numRef>
              <c:f>'-'!$C$17:$R$17</c:f>
              <c:numCache>
                <c:formatCode>General</c:formatCode>
                <c:ptCount val="16"/>
                <c:pt idx="0">
                  <c:v>5</c:v>
                </c:pt>
                <c:pt idx="1">
                  <c:v>5.018415841584158</c:v>
                </c:pt>
                <c:pt idx="2">
                  <c:v>5.0368316831683169</c:v>
                </c:pt>
                <c:pt idx="3">
                  <c:v>5.0552475247524749</c:v>
                </c:pt>
                <c:pt idx="4">
                  <c:v>5.0736633663366328</c:v>
                </c:pt>
                <c:pt idx="5">
                  <c:v>5.0920792079207917</c:v>
                </c:pt>
                <c:pt idx="6">
                  <c:v>5.1104950495049506</c:v>
                </c:pt>
                <c:pt idx="7">
                  <c:v>5.1289108910891086</c:v>
                </c:pt>
                <c:pt idx="8">
                  <c:v>5.1473267326732666</c:v>
                </c:pt>
                <c:pt idx="9">
                  <c:v>5.1657425742574254</c:v>
                </c:pt>
                <c:pt idx="10">
                  <c:v>5.1841584158415843</c:v>
                </c:pt>
                <c:pt idx="11">
                  <c:v>5.2025742574257423</c:v>
                </c:pt>
                <c:pt idx="12">
                  <c:v>5.2209900990099012</c:v>
                </c:pt>
                <c:pt idx="13">
                  <c:v>5.2394059405940601</c:v>
                </c:pt>
                <c:pt idx="14">
                  <c:v>5.2578217821782172</c:v>
                </c:pt>
                <c:pt idx="15">
                  <c:v>5.276237623762376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35-D513-4D87-A894-1BBC2983A0AB}"/>
            </c:ext>
          </c:extLst>
        </c:ser>
        <c:ser>
          <c:idx val="8"/>
          <c:order val="54"/>
          <c:spPr>
            <a:ln w="3175">
              <a:solidFill>
                <a:srgbClr val="000000"/>
              </a:solidFill>
              <a:prstDash val="solid"/>
            </a:ln>
          </c:spPr>
          <c:marker>
            <c:symbol val="none"/>
          </c:marker>
          <c:xVal>
            <c:numRef>
              <c:f>'-'!$C$6:$R$6</c:f>
              <c:numCache>
                <c:formatCode>General</c:formatCode>
                <c:ptCount val="16"/>
                <c:pt idx="0">
                  <c:v>0</c:v>
                </c:pt>
                <c:pt idx="1">
                  <c:v>2</c:v>
                </c:pt>
                <c:pt idx="2">
                  <c:v>4</c:v>
                </c:pt>
                <c:pt idx="3">
                  <c:v>6</c:v>
                </c:pt>
                <c:pt idx="4">
                  <c:v>8</c:v>
                </c:pt>
                <c:pt idx="5">
                  <c:v>10</c:v>
                </c:pt>
                <c:pt idx="6">
                  <c:v>12</c:v>
                </c:pt>
                <c:pt idx="7">
                  <c:v>14</c:v>
                </c:pt>
                <c:pt idx="8">
                  <c:v>16</c:v>
                </c:pt>
                <c:pt idx="9">
                  <c:v>18</c:v>
                </c:pt>
                <c:pt idx="10">
                  <c:v>20</c:v>
                </c:pt>
                <c:pt idx="11">
                  <c:v>22</c:v>
                </c:pt>
                <c:pt idx="12">
                  <c:v>24</c:v>
                </c:pt>
                <c:pt idx="13">
                  <c:v>26</c:v>
                </c:pt>
                <c:pt idx="14">
                  <c:v>28</c:v>
                </c:pt>
                <c:pt idx="15">
                  <c:v>30</c:v>
                </c:pt>
              </c:numCache>
            </c:numRef>
          </c:xVal>
          <c:yVal>
            <c:numRef>
              <c:f>'-'!$C$16:$R$16</c:f>
              <c:numCache>
                <c:formatCode>General</c:formatCode>
                <c:ptCount val="16"/>
                <c:pt idx="0">
                  <c:v>10</c:v>
                </c:pt>
                <c:pt idx="1">
                  <c:v>10.036831683168316</c:v>
                </c:pt>
                <c:pt idx="2">
                  <c:v>10.073663366336634</c:v>
                </c:pt>
                <c:pt idx="3">
                  <c:v>10.11049504950495</c:v>
                </c:pt>
                <c:pt idx="4">
                  <c:v>10.147326732673266</c:v>
                </c:pt>
                <c:pt idx="5">
                  <c:v>10.184158415841583</c:v>
                </c:pt>
                <c:pt idx="6">
                  <c:v>10.220990099009901</c:v>
                </c:pt>
                <c:pt idx="7">
                  <c:v>10.257821782178217</c:v>
                </c:pt>
                <c:pt idx="8">
                  <c:v>10.294653465346533</c:v>
                </c:pt>
                <c:pt idx="9">
                  <c:v>10.331485148514851</c:v>
                </c:pt>
                <c:pt idx="10">
                  <c:v>10.368316831683169</c:v>
                </c:pt>
                <c:pt idx="11">
                  <c:v>10.405148514851485</c:v>
                </c:pt>
                <c:pt idx="12">
                  <c:v>10.441980198019802</c:v>
                </c:pt>
                <c:pt idx="13">
                  <c:v>10.47881188118812</c:v>
                </c:pt>
                <c:pt idx="14">
                  <c:v>10.515643564356434</c:v>
                </c:pt>
                <c:pt idx="15">
                  <c:v>10.552475247524752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36-D513-4D87-A894-1BBC2983A0AB}"/>
            </c:ext>
          </c:extLst>
        </c:ser>
        <c:ser>
          <c:idx val="7"/>
          <c:order val="55"/>
          <c:spPr>
            <a:ln w="3175">
              <a:solidFill>
                <a:srgbClr val="000000"/>
              </a:solidFill>
              <a:prstDash val="solid"/>
            </a:ln>
          </c:spPr>
          <c:marker>
            <c:symbol val="none"/>
          </c:marker>
          <c:xVal>
            <c:numRef>
              <c:f>'-'!$C$6:$R$6</c:f>
              <c:numCache>
                <c:formatCode>General</c:formatCode>
                <c:ptCount val="16"/>
                <c:pt idx="0">
                  <c:v>0</c:v>
                </c:pt>
                <c:pt idx="1">
                  <c:v>2</c:v>
                </c:pt>
                <c:pt idx="2">
                  <c:v>4</c:v>
                </c:pt>
                <c:pt idx="3">
                  <c:v>6</c:v>
                </c:pt>
                <c:pt idx="4">
                  <c:v>8</c:v>
                </c:pt>
                <c:pt idx="5">
                  <c:v>10</c:v>
                </c:pt>
                <c:pt idx="6">
                  <c:v>12</c:v>
                </c:pt>
                <c:pt idx="7">
                  <c:v>14</c:v>
                </c:pt>
                <c:pt idx="8">
                  <c:v>16</c:v>
                </c:pt>
                <c:pt idx="9">
                  <c:v>18</c:v>
                </c:pt>
                <c:pt idx="10">
                  <c:v>20</c:v>
                </c:pt>
                <c:pt idx="11">
                  <c:v>22</c:v>
                </c:pt>
                <c:pt idx="12">
                  <c:v>24</c:v>
                </c:pt>
                <c:pt idx="13">
                  <c:v>26</c:v>
                </c:pt>
                <c:pt idx="14">
                  <c:v>28</c:v>
                </c:pt>
                <c:pt idx="15">
                  <c:v>30</c:v>
                </c:pt>
              </c:numCache>
            </c:numRef>
          </c:xVal>
          <c:yVal>
            <c:numRef>
              <c:f>'-'!$C$15:$R$15</c:f>
              <c:numCache>
                <c:formatCode>General</c:formatCode>
                <c:ptCount val="16"/>
                <c:pt idx="0">
                  <c:v>15</c:v>
                </c:pt>
                <c:pt idx="1">
                  <c:v>15.055247524752476</c:v>
                </c:pt>
                <c:pt idx="2">
                  <c:v>15.11049504950495</c:v>
                </c:pt>
                <c:pt idx="3">
                  <c:v>15.165742574257427</c:v>
                </c:pt>
                <c:pt idx="4">
                  <c:v>15.220990099009901</c:v>
                </c:pt>
                <c:pt idx="5">
                  <c:v>15.276237623762377</c:v>
                </c:pt>
                <c:pt idx="6">
                  <c:v>15.331485148514851</c:v>
                </c:pt>
                <c:pt idx="7">
                  <c:v>15.386732673267327</c:v>
                </c:pt>
                <c:pt idx="8">
                  <c:v>15.441980198019802</c:v>
                </c:pt>
                <c:pt idx="9">
                  <c:v>15.497227722772278</c:v>
                </c:pt>
                <c:pt idx="10">
                  <c:v>15.552475247524752</c:v>
                </c:pt>
                <c:pt idx="11">
                  <c:v>15.607722772277228</c:v>
                </c:pt>
                <c:pt idx="12">
                  <c:v>15.662970297029704</c:v>
                </c:pt>
                <c:pt idx="13">
                  <c:v>15.718217821782179</c:v>
                </c:pt>
                <c:pt idx="14">
                  <c:v>15.773465346534653</c:v>
                </c:pt>
                <c:pt idx="15">
                  <c:v>15.828712871287129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37-D513-4D87-A894-1BBC2983A0AB}"/>
            </c:ext>
          </c:extLst>
        </c:ser>
        <c:ser>
          <c:idx val="6"/>
          <c:order val="56"/>
          <c:spPr>
            <a:ln w="3175">
              <a:solidFill>
                <a:srgbClr val="000000"/>
              </a:solidFill>
              <a:prstDash val="solid"/>
            </a:ln>
          </c:spPr>
          <c:marker>
            <c:symbol val="none"/>
          </c:marker>
          <c:xVal>
            <c:numRef>
              <c:f>'-'!$C$6:$R$6</c:f>
              <c:numCache>
                <c:formatCode>General</c:formatCode>
                <c:ptCount val="16"/>
                <c:pt idx="0">
                  <c:v>0</c:v>
                </c:pt>
                <c:pt idx="1">
                  <c:v>2</c:v>
                </c:pt>
                <c:pt idx="2">
                  <c:v>4</c:v>
                </c:pt>
                <c:pt idx="3">
                  <c:v>6</c:v>
                </c:pt>
                <c:pt idx="4">
                  <c:v>8</c:v>
                </c:pt>
                <c:pt idx="5">
                  <c:v>10</c:v>
                </c:pt>
                <c:pt idx="6">
                  <c:v>12</c:v>
                </c:pt>
                <c:pt idx="7">
                  <c:v>14</c:v>
                </c:pt>
                <c:pt idx="8">
                  <c:v>16</c:v>
                </c:pt>
                <c:pt idx="9">
                  <c:v>18</c:v>
                </c:pt>
                <c:pt idx="10">
                  <c:v>20</c:v>
                </c:pt>
                <c:pt idx="11">
                  <c:v>22</c:v>
                </c:pt>
                <c:pt idx="12">
                  <c:v>24</c:v>
                </c:pt>
                <c:pt idx="13">
                  <c:v>26</c:v>
                </c:pt>
                <c:pt idx="14">
                  <c:v>28</c:v>
                </c:pt>
                <c:pt idx="15">
                  <c:v>30</c:v>
                </c:pt>
              </c:numCache>
            </c:numRef>
          </c:xVal>
          <c:yVal>
            <c:numRef>
              <c:f>'-'!$C$14:$R$14</c:f>
              <c:numCache>
                <c:formatCode>General</c:formatCode>
                <c:ptCount val="16"/>
                <c:pt idx="0">
                  <c:v>20</c:v>
                </c:pt>
                <c:pt idx="1">
                  <c:v>20.073663366336632</c:v>
                </c:pt>
                <c:pt idx="2">
                  <c:v>20.147326732673267</c:v>
                </c:pt>
                <c:pt idx="3">
                  <c:v>20.220990099009899</c:v>
                </c:pt>
                <c:pt idx="4">
                  <c:v>20.294653465346531</c:v>
                </c:pt>
                <c:pt idx="5">
                  <c:v>20.368316831683167</c:v>
                </c:pt>
                <c:pt idx="6">
                  <c:v>20.441980198019802</c:v>
                </c:pt>
                <c:pt idx="7">
                  <c:v>20.515643564356434</c:v>
                </c:pt>
                <c:pt idx="8">
                  <c:v>20.589306930693066</c:v>
                </c:pt>
                <c:pt idx="9">
                  <c:v>20.662970297029702</c:v>
                </c:pt>
                <c:pt idx="10">
                  <c:v>20.736633663366337</c:v>
                </c:pt>
                <c:pt idx="11">
                  <c:v>20.810297029702969</c:v>
                </c:pt>
                <c:pt idx="12">
                  <c:v>20.883960396039605</c:v>
                </c:pt>
                <c:pt idx="13">
                  <c:v>20.95762376237624</c:v>
                </c:pt>
                <c:pt idx="14">
                  <c:v>21.031287128712869</c:v>
                </c:pt>
                <c:pt idx="15">
                  <c:v>21.104950495049504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38-D513-4D87-A894-1BBC2983A0AB}"/>
            </c:ext>
          </c:extLst>
        </c:ser>
        <c:ser>
          <c:idx val="5"/>
          <c:order val="57"/>
          <c:spPr>
            <a:ln w="3175">
              <a:solidFill>
                <a:srgbClr val="000000"/>
              </a:solidFill>
              <a:prstDash val="solid"/>
            </a:ln>
          </c:spPr>
          <c:marker>
            <c:symbol val="none"/>
          </c:marker>
          <c:xVal>
            <c:numRef>
              <c:f>'-'!$C$6:$R$6</c:f>
              <c:numCache>
                <c:formatCode>General</c:formatCode>
                <c:ptCount val="16"/>
                <c:pt idx="0">
                  <c:v>0</c:v>
                </c:pt>
                <c:pt idx="1">
                  <c:v>2</c:v>
                </c:pt>
                <c:pt idx="2">
                  <c:v>4</c:v>
                </c:pt>
                <c:pt idx="3">
                  <c:v>6</c:v>
                </c:pt>
                <c:pt idx="4">
                  <c:v>8</c:v>
                </c:pt>
                <c:pt idx="5">
                  <c:v>10</c:v>
                </c:pt>
                <c:pt idx="6">
                  <c:v>12</c:v>
                </c:pt>
                <c:pt idx="7">
                  <c:v>14</c:v>
                </c:pt>
                <c:pt idx="8">
                  <c:v>16</c:v>
                </c:pt>
                <c:pt idx="9">
                  <c:v>18</c:v>
                </c:pt>
                <c:pt idx="10">
                  <c:v>20</c:v>
                </c:pt>
                <c:pt idx="11">
                  <c:v>22</c:v>
                </c:pt>
                <c:pt idx="12">
                  <c:v>24</c:v>
                </c:pt>
                <c:pt idx="13">
                  <c:v>26</c:v>
                </c:pt>
                <c:pt idx="14">
                  <c:v>28</c:v>
                </c:pt>
                <c:pt idx="15">
                  <c:v>30</c:v>
                </c:pt>
              </c:numCache>
            </c:numRef>
          </c:xVal>
          <c:yVal>
            <c:numRef>
              <c:f>'-'!$C$13:$R$13</c:f>
              <c:numCache>
                <c:formatCode>General</c:formatCode>
                <c:ptCount val="16"/>
                <c:pt idx="0">
                  <c:v>25</c:v>
                </c:pt>
                <c:pt idx="1">
                  <c:v>25.092079207920793</c:v>
                </c:pt>
                <c:pt idx="2">
                  <c:v>25.184158415841583</c:v>
                </c:pt>
                <c:pt idx="3">
                  <c:v>25.276237623762377</c:v>
                </c:pt>
                <c:pt idx="4">
                  <c:v>25.368316831683167</c:v>
                </c:pt>
                <c:pt idx="5">
                  <c:v>25.46039603960396</c:v>
                </c:pt>
                <c:pt idx="6">
                  <c:v>25.552475247524754</c:v>
                </c:pt>
                <c:pt idx="7">
                  <c:v>25.644554455445544</c:v>
                </c:pt>
                <c:pt idx="8">
                  <c:v>25.736633663366337</c:v>
                </c:pt>
                <c:pt idx="9">
                  <c:v>25.828712871287127</c:v>
                </c:pt>
                <c:pt idx="10">
                  <c:v>25.920792079207921</c:v>
                </c:pt>
                <c:pt idx="11">
                  <c:v>26.012871287128711</c:v>
                </c:pt>
                <c:pt idx="12">
                  <c:v>26.104950495049504</c:v>
                </c:pt>
                <c:pt idx="13">
                  <c:v>26.197029702970298</c:v>
                </c:pt>
                <c:pt idx="14">
                  <c:v>26.289108910891088</c:v>
                </c:pt>
                <c:pt idx="15">
                  <c:v>26.381188118811881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9-D513-4D87-A894-1BBC2983A0AB}"/>
            </c:ext>
          </c:extLst>
        </c:ser>
        <c:ser>
          <c:idx val="4"/>
          <c:order val="58"/>
          <c:spPr>
            <a:ln w="3175">
              <a:solidFill>
                <a:srgbClr val="000000"/>
              </a:solidFill>
              <a:prstDash val="solid"/>
            </a:ln>
          </c:spPr>
          <c:marker>
            <c:symbol val="none"/>
          </c:marker>
          <c:xVal>
            <c:numRef>
              <c:f>'-'!$C$6:$R$6</c:f>
              <c:numCache>
                <c:formatCode>General</c:formatCode>
                <c:ptCount val="16"/>
                <c:pt idx="0">
                  <c:v>0</c:v>
                </c:pt>
                <c:pt idx="1">
                  <c:v>2</c:v>
                </c:pt>
                <c:pt idx="2">
                  <c:v>4</c:v>
                </c:pt>
                <c:pt idx="3">
                  <c:v>6</c:v>
                </c:pt>
                <c:pt idx="4">
                  <c:v>8</c:v>
                </c:pt>
                <c:pt idx="5">
                  <c:v>10</c:v>
                </c:pt>
                <c:pt idx="6">
                  <c:v>12</c:v>
                </c:pt>
                <c:pt idx="7">
                  <c:v>14</c:v>
                </c:pt>
                <c:pt idx="8">
                  <c:v>16</c:v>
                </c:pt>
                <c:pt idx="9">
                  <c:v>18</c:v>
                </c:pt>
                <c:pt idx="10">
                  <c:v>20</c:v>
                </c:pt>
                <c:pt idx="11">
                  <c:v>22</c:v>
                </c:pt>
                <c:pt idx="12">
                  <c:v>24</c:v>
                </c:pt>
                <c:pt idx="13">
                  <c:v>26</c:v>
                </c:pt>
                <c:pt idx="14">
                  <c:v>28</c:v>
                </c:pt>
                <c:pt idx="15">
                  <c:v>30</c:v>
                </c:pt>
              </c:numCache>
            </c:numRef>
          </c:xVal>
          <c:yVal>
            <c:numRef>
              <c:f>'-'!$C$12:$R$12</c:f>
              <c:numCache>
                <c:formatCode>General</c:formatCode>
                <c:ptCount val="16"/>
                <c:pt idx="0">
                  <c:v>30</c:v>
                </c:pt>
                <c:pt idx="1">
                  <c:v>30.110495049504951</c:v>
                </c:pt>
                <c:pt idx="2">
                  <c:v>30.220990099009899</c:v>
                </c:pt>
                <c:pt idx="3">
                  <c:v>30.331485148514854</c:v>
                </c:pt>
                <c:pt idx="4">
                  <c:v>30.441980198019802</c:v>
                </c:pt>
                <c:pt idx="5">
                  <c:v>30.552475247524754</c:v>
                </c:pt>
                <c:pt idx="6">
                  <c:v>30.662970297029702</c:v>
                </c:pt>
                <c:pt idx="7">
                  <c:v>30.773465346534653</c:v>
                </c:pt>
                <c:pt idx="8">
                  <c:v>30.883960396039605</c:v>
                </c:pt>
                <c:pt idx="9">
                  <c:v>30.994455445544556</c:v>
                </c:pt>
                <c:pt idx="10">
                  <c:v>31.104950495049504</c:v>
                </c:pt>
                <c:pt idx="11">
                  <c:v>31.215445544554456</c:v>
                </c:pt>
                <c:pt idx="12">
                  <c:v>31.325940594059407</c:v>
                </c:pt>
                <c:pt idx="13">
                  <c:v>31.436435643564359</c:v>
                </c:pt>
                <c:pt idx="14">
                  <c:v>31.546930693069307</c:v>
                </c:pt>
                <c:pt idx="15">
                  <c:v>31.657425742574258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A-D513-4D87-A894-1BBC2983A0AB}"/>
            </c:ext>
          </c:extLst>
        </c:ser>
        <c:ser>
          <c:idx val="3"/>
          <c:order val="59"/>
          <c:spPr>
            <a:ln w="3175">
              <a:solidFill>
                <a:srgbClr val="000000"/>
              </a:solidFill>
              <a:prstDash val="solid"/>
            </a:ln>
          </c:spPr>
          <c:marker>
            <c:symbol val="none"/>
          </c:marker>
          <c:xVal>
            <c:numRef>
              <c:f>'-'!$C$6:$R$6</c:f>
              <c:numCache>
                <c:formatCode>General</c:formatCode>
                <c:ptCount val="16"/>
                <c:pt idx="0">
                  <c:v>0</c:v>
                </c:pt>
                <c:pt idx="1">
                  <c:v>2</c:v>
                </c:pt>
                <c:pt idx="2">
                  <c:v>4</c:v>
                </c:pt>
                <c:pt idx="3">
                  <c:v>6</c:v>
                </c:pt>
                <c:pt idx="4">
                  <c:v>8</c:v>
                </c:pt>
                <c:pt idx="5">
                  <c:v>10</c:v>
                </c:pt>
                <c:pt idx="6">
                  <c:v>12</c:v>
                </c:pt>
                <c:pt idx="7">
                  <c:v>14</c:v>
                </c:pt>
                <c:pt idx="8">
                  <c:v>16</c:v>
                </c:pt>
                <c:pt idx="9">
                  <c:v>18</c:v>
                </c:pt>
                <c:pt idx="10">
                  <c:v>20</c:v>
                </c:pt>
                <c:pt idx="11">
                  <c:v>22</c:v>
                </c:pt>
                <c:pt idx="12">
                  <c:v>24</c:v>
                </c:pt>
                <c:pt idx="13">
                  <c:v>26</c:v>
                </c:pt>
                <c:pt idx="14">
                  <c:v>28</c:v>
                </c:pt>
                <c:pt idx="15">
                  <c:v>30</c:v>
                </c:pt>
              </c:numCache>
            </c:numRef>
          </c:xVal>
          <c:yVal>
            <c:numRef>
              <c:f>'-'!$C$11:$R$11</c:f>
              <c:numCache>
                <c:formatCode>General</c:formatCode>
                <c:ptCount val="16"/>
                <c:pt idx="0">
                  <c:v>35</c:v>
                </c:pt>
                <c:pt idx="1">
                  <c:v>35.128910891089113</c:v>
                </c:pt>
                <c:pt idx="2">
                  <c:v>35.257821782178219</c:v>
                </c:pt>
                <c:pt idx="3">
                  <c:v>35.386732673267325</c:v>
                </c:pt>
                <c:pt idx="4">
                  <c:v>35.515643564356438</c:v>
                </c:pt>
                <c:pt idx="5">
                  <c:v>35.644554455445551</c:v>
                </c:pt>
                <c:pt idx="6">
                  <c:v>35.77346534653465</c:v>
                </c:pt>
                <c:pt idx="7">
                  <c:v>35.902376237623763</c:v>
                </c:pt>
                <c:pt idx="8">
                  <c:v>36.031287128712876</c:v>
                </c:pt>
                <c:pt idx="9">
                  <c:v>36.160198019801982</c:v>
                </c:pt>
                <c:pt idx="10">
                  <c:v>36.289108910891088</c:v>
                </c:pt>
                <c:pt idx="11">
                  <c:v>36.418019801980201</c:v>
                </c:pt>
                <c:pt idx="12">
                  <c:v>36.546930693069314</c:v>
                </c:pt>
                <c:pt idx="13">
                  <c:v>36.675841584158412</c:v>
                </c:pt>
                <c:pt idx="14">
                  <c:v>36.804752475247525</c:v>
                </c:pt>
                <c:pt idx="15">
                  <c:v>36.933663366336638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B-D513-4D87-A894-1BBC2983A0AB}"/>
            </c:ext>
          </c:extLst>
        </c:ser>
        <c:ser>
          <c:idx val="2"/>
          <c:order val="60"/>
          <c:spPr>
            <a:ln w="3175">
              <a:solidFill>
                <a:srgbClr val="000000"/>
              </a:solidFill>
              <a:prstDash val="solid"/>
            </a:ln>
          </c:spPr>
          <c:marker>
            <c:symbol val="none"/>
          </c:marker>
          <c:xVal>
            <c:numRef>
              <c:f>'-'!$C$6:$R$6</c:f>
              <c:numCache>
                <c:formatCode>General</c:formatCode>
                <c:ptCount val="16"/>
                <c:pt idx="0">
                  <c:v>0</c:v>
                </c:pt>
                <c:pt idx="1">
                  <c:v>2</c:v>
                </c:pt>
                <c:pt idx="2">
                  <c:v>4</c:v>
                </c:pt>
                <c:pt idx="3">
                  <c:v>6</c:v>
                </c:pt>
                <c:pt idx="4">
                  <c:v>8</c:v>
                </c:pt>
                <c:pt idx="5">
                  <c:v>10</c:v>
                </c:pt>
                <c:pt idx="6">
                  <c:v>12</c:v>
                </c:pt>
                <c:pt idx="7">
                  <c:v>14</c:v>
                </c:pt>
                <c:pt idx="8">
                  <c:v>16</c:v>
                </c:pt>
                <c:pt idx="9">
                  <c:v>18</c:v>
                </c:pt>
                <c:pt idx="10">
                  <c:v>20</c:v>
                </c:pt>
                <c:pt idx="11">
                  <c:v>22</c:v>
                </c:pt>
                <c:pt idx="12">
                  <c:v>24</c:v>
                </c:pt>
                <c:pt idx="13">
                  <c:v>26</c:v>
                </c:pt>
                <c:pt idx="14">
                  <c:v>28</c:v>
                </c:pt>
                <c:pt idx="15">
                  <c:v>30</c:v>
                </c:pt>
              </c:numCache>
            </c:numRef>
          </c:xVal>
          <c:yVal>
            <c:numRef>
              <c:f>'-'!$C$10:$R$10</c:f>
              <c:numCache>
                <c:formatCode>General</c:formatCode>
                <c:ptCount val="16"/>
                <c:pt idx="0">
                  <c:v>40</c:v>
                </c:pt>
                <c:pt idx="1">
                  <c:v>40.147326732673264</c:v>
                </c:pt>
                <c:pt idx="2">
                  <c:v>40.294653465346535</c:v>
                </c:pt>
                <c:pt idx="3">
                  <c:v>40.441980198019799</c:v>
                </c:pt>
                <c:pt idx="4">
                  <c:v>40.589306930693063</c:v>
                </c:pt>
                <c:pt idx="5">
                  <c:v>40.736633663366334</c:v>
                </c:pt>
                <c:pt idx="6">
                  <c:v>40.883960396039605</c:v>
                </c:pt>
                <c:pt idx="7">
                  <c:v>41.031287128712869</c:v>
                </c:pt>
                <c:pt idx="8">
                  <c:v>41.178613861386133</c:v>
                </c:pt>
                <c:pt idx="9">
                  <c:v>41.325940594059404</c:v>
                </c:pt>
                <c:pt idx="10">
                  <c:v>41.473267326732675</c:v>
                </c:pt>
                <c:pt idx="11">
                  <c:v>41.620594059405938</c:v>
                </c:pt>
                <c:pt idx="12">
                  <c:v>41.767920792079209</c:v>
                </c:pt>
                <c:pt idx="13">
                  <c:v>41.915247524752481</c:v>
                </c:pt>
                <c:pt idx="14">
                  <c:v>42.062574257425737</c:v>
                </c:pt>
                <c:pt idx="15">
                  <c:v>42.209900990099008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C-D513-4D87-A894-1BBC2983A0AB}"/>
            </c:ext>
          </c:extLst>
        </c:ser>
        <c:ser>
          <c:idx val="1"/>
          <c:order val="61"/>
          <c:spPr>
            <a:ln w="3175">
              <a:solidFill>
                <a:srgbClr val="000000"/>
              </a:solidFill>
              <a:prstDash val="solid"/>
            </a:ln>
          </c:spPr>
          <c:marker>
            <c:symbol val="none"/>
          </c:marker>
          <c:xVal>
            <c:numRef>
              <c:f>'-'!$C$6:$R$6</c:f>
              <c:numCache>
                <c:formatCode>General</c:formatCode>
                <c:ptCount val="16"/>
                <c:pt idx="0">
                  <c:v>0</c:v>
                </c:pt>
                <c:pt idx="1">
                  <c:v>2</c:v>
                </c:pt>
                <c:pt idx="2">
                  <c:v>4</c:v>
                </c:pt>
                <c:pt idx="3">
                  <c:v>6</c:v>
                </c:pt>
                <c:pt idx="4">
                  <c:v>8</c:v>
                </c:pt>
                <c:pt idx="5">
                  <c:v>10</c:v>
                </c:pt>
                <c:pt idx="6">
                  <c:v>12</c:v>
                </c:pt>
                <c:pt idx="7">
                  <c:v>14</c:v>
                </c:pt>
                <c:pt idx="8">
                  <c:v>16</c:v>
                </c:pt>
                <c:pt idx="9">
                  <c:v>18</c:v>
                </c:pt>
                <c:pt idx="10">
                  <c:v>20</c:v>
                </c:pt>
                <c:pt idx="11">
                  <c:v>22</c:v>
                </c:pt>
                <c:pt idx="12">
                  <c:v>24</c:v>
                </c:pt>
                <c:pt idx="13">
                  <c:v>26</c:v>
                </c:pt>
                <c:pt idx="14">
                  <c:v>28</c:v>
                </c:pt>
                <c:pt idx="15">
                  <c:v>30</c:v>
                </c:pt>
              </c:numCache>
            </c:numRef>
          </c:xVal>
          <c:yVal>
            <c:numRef>
              <c:f>'-'!$C$9:$R$9</c:f>
              <c:numCache>
                <c:formatCode>General</c:formatCode>
                <c:ptCount val="16"/>
                <c:pt idx="0">
                  <c:v>45</c:v>
                </c:pt>
                <c:pt idx="1">
                  <c:v>45.165742574257429</c:v>
                </c:pt>
                <c:pt idx="2">
                  <c:v>45.331485148514858</c:v>
                </c:pt>
                <c:pt idx="3">
                  <c:v>45.49722772277228</c:v>
                </c:pt>
                <c:pt idx="4">
                  <c:v>45.662970297029709</c:v>
                </c:pt>
                <c:pt idx="5">
                  <c:v>45.828712871287138</c:v>
                </c:pt>
                <c:pt idx="6">
                  <c:v>45.994455445544553</c:v>
                </c:pt>
                <c:pt idx="7">
                  <c:v>46.160198019801982</c:v>
                </c:pt>
                <c:pt idx="8">
                  <c:v>46.325940594059404</c:v>
                </c:pt>
                <c:pt idx="9">
                  <c:v>46.491683168316833</c:v>
                </c:pt>
                <c:pt idx="10">
                  <c:v>46.657425742574262</c:v>
                </c:pt>
                <c:pt idx="11">
                  <c:v>46.823168316831683</c:v>
                </c:pt>
                <c:pt idx="12">
                  <c:v>46.988910891089112</c:v>
                </c:pt>
                <c:pt idx="13">
                  <c:v>47.154653465346541</c:v>
                </c:pt>
                <c:pt idx="14">
                  <c:v>47.320396039603963</c:v>
                </c:pt>
                <c:pt idx="15">
                  <c:v>47.486138613861392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D-D513-4D87-A894-1BBC2983A0AB}"/>
            </c:ext>
          </c:extLst>
        </c:ser>
        <c:ser>
          <c:idx val="0"/>
          <c:order val="62"/>
          <c:spPr>
            <a:ln w="3175">
              <a:solidFill>
                <a:srgbClr val="000000"/>
              </a:solidFill>
              <a:prstDash val="solid"/>
            </a:ln>
          </c:spPr>
          <c:marker>
            <c:symbol val="none"/>
          </c:marker>
          <c:xVal>
            <c:numRef>
              <c:f>'-'!$C$6:$R$6</c:f>
              <c:numCache>
                <c:formatCode>General</c:formatCode>
                <c:ptCount val="16"/>
                <c:pt idx="0">
                  <c:v>0</c:v>
                </c:pt>
                <c:pt idx="1">
                  <c:v>2</c:v>
                </c:pt>
                <c:pt idx="2">
                  <c:v>4</c:v>
                </c:pt>
                <c:pt idx="3">
                  <c:v>6</c:v>
                </c:pt>
                <c:pt idx="4">
                  <c:v>8</c:v>
                </c:pt>
                <c:pt idx="5">
                  <c:v>10</c:v>
                </c:pt>
                <c:pt idx="6">
                  <c:v>12</c:v>
                </c:pt>
                <c:pt idx="7">
                  <c:v>14</c:v>
                </c:pt>
                <c:pt idx="8">
                  <c:v>16</c:v>
                </c:pt>
                <c:pt idx="9">
                  <c:v>18</c:v>
                </c:pt>
                <c:pt idx="10">
                  <c:v>20</c:v>
                </c:pt>
                <c:pt idx="11">
                  <c:v>22</c:v>
                </c:pt>
                <c:pt idx="12">
                  <c:v>24</c:v>
                </c:pt>
                <c:pt idx="13">
                  <c:v>26</c:v>
                </c:pt>
                <c:pt idx="14">
                  <c:v>28</c:v>
                </c:pt>
                <c:pt idx="15">
                  <c:v>30</c:v>
                </c:pt>
              </c:numCache>
            </c:numRef>
          </c:xVal>
          <c:yVal>
            <c:numRef>
              <c:f>'-'!$C$8:$R$8</c:f>
              <c:numCache>
                <c:formatCode>General</c:formatCode>
                <c:ptCount val="16"/>
                <c:pt idx="0">
                  <c:v>50</c:v>
                </c:pt>
                <c:pt idx="1">
                  <c:v>50.184158415841587</c:v>
                </c:pt>
                <c:pt idx="2">
                  <c:v>50.368316831683167</c:v>
                </c:pt>
                <c:pt idx="3">
                  <c:v>50.552475247524754</c:v>
                </c:pt>
                <c:pt idx="4">
                  <c:v>50.736633663366334</c:v>
                </c:pt>
                <c:pt idx="5">
                  <c:v>50.920792079207921</c:v>
                </c:pt>
                <c:pt idx="6">
                  <c:v>51.104950495049508</c:v>
                </c:pt>
                <c:pt idx="7">
                  <c:v>51.289108910891088</c:v>
                </c:pt>
                <c:pt idx="8">
                  <c:v>51.473267326732675</c:v>
                </c:pt>
                <c:pt idx="9">
                  <c:v>51.657425742574254</c:v>
                </c:pt>
                <c:pt idx="10">
                  <c:v>51.841584158415841</c:v>
                </c:pt>
                <c:pt idx="11">
                  <c:v>52.025742574257421</c:v>
                </c:pt>
                <c:pt idx="12">
                  <c:v>52.209900990099008</c:v>
                </c:pt>
                <c:pt idx="13">
                  <c:v>52.394059405940595</c:v>
                </c:pt>
                <c:pt idx="14">
                  <c:v>52.578217821782175</c:v>
                </c:pt>
                <c:pt idx="15">
                  <c:v>52.762376237623762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3E-D513-4D87-A894-1BBC2983A0A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154574832"/>
        <c:axId val="1"/>
      </c:scatterChart>
      <c:valAx>
        <c:axId val="1154574832"/>
        <c:scaling>
          <c:orientation val="minMax"/>
          <c:max val="25"/>
          <c:min val="0"/>
        </c:scaling>
        <c:delete val="0"/>
        <c:axPos val="b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i [g/kg s.v.]</a:t>
                </a:r>
              </a:p>
            </c:rich>
          </c:tx>
          <c:layout>
            <c:manualLayout>
              <c:xMode val="edge"/>
              <c:yMode val="edge"/>
              <c:x val="0.43478326789532779"/>
              <c:y val="0.96437407456989044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out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/>
            </a:pPr>
            <a:endParaRPr lang="ru-RU"/>
          </a:p>
        </c:txPr>
        <c:crossAx val="1"/>
        <c:crossesAt val="-20"/>
        <c:crossBetween val="midCat"/>
        <c:majorUnit val="1"/>
        <c:minorUnit val="0.2"/>
      </c:valAx>
      <c:valAx>
        <c:axId val="1"/>
        <c:scaling>
          <c:orientation val="minMax"/>
          <c:max val="55"/>
          <c:min val="-20"/>
        </c:scaling>
        <c:delete val="0"/>
        <c:axPos val="l"/>
        <c:numFmt formatCode="General" sourceLinked="1"/>
        <c:majorTickMark val="out"/>
        <c:minorTickMark val="out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/>
            </a:pPr>
            <a:endParaRPr lang="ru-RU"/>
          </a:p>
        </c:txPr>
        <c:crossAx val="1154574832"/>
        <c:crossesAt val="0"/>
        <c:crossBetween val="midCat"/>
        <c:majorUnit val="5"/>
        <c:minorUnit val="1"/>
      </c:valAx>
      <c:spPr>
        <a:noFill/>
        <a:ln w="12700">
          <a:solidFill>
            <a:srgbClr val="000000"/>
          </a:solidFill>
          <a:prstDash val="solid"/>
        </a:ln>
      </c:spPr>
    </c:plotArea>
    <c:plotVisOnly val="1"/>
    <c:dispBlanksAs val="gap"/>
    <c:showDLblsOverMax val="0"/>
  </c:chart>
  <c:spPr>
    <a:solidFill>
      <a:schemeClr val="bg1"/>
    </a:solidFill>
    <a:ln w="6350">
      <a:noFill/>
    </a:ln>
  </c:spPr>
  <c:txPr>
    <a:bodyPr/>
    <a:lstStyle/>
    <a:p>
      <a:pPr>
        <a:defRPr sz="1000" b="1" i="0" u="none" strike="noStrike" baseline="0">
          <a:solidFill>
            <a:srgbClr val="000000"/>
          </a:solidFill>
          <a:latin typeface="Verdana" panose="020B0604030504040204" pitchFamily="34" charset="0"/>
          <a:ea typeface="Arial"/>
          <a:cs typeface="Arial"/>
        </a:defRPr>
      </a:pPr>
      <a:endParaRPr lang="ru-RU"/>
    </a:p>
  </c:txPr>
  <c:printSettings>
    <c:headerFooter alignWithMargins="0"/>
    <c:pageMargins b="0.39370078740157483" l="0.78740157480314965" r="0.39370078740157483" t="0.39370078740157483" header="0" footer="0"/>
    <c:pageSetup orientation="portrait" horizontalDpi="300" verticalDpi="300"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AHU </a:t>
            </a:r>
            <a:r>
              <a:rPr lang="ru-RU"/>
              <a:t>Расчет</a:t>
            </a:r>
          </a:p>
        </c:rich>
      </c:tx>
      <c:layout/>
      <c:overlay val="0"/>
    </c:title>
    <c:autoTitleDeleted val="0"/>
    <c:plotArea>
      <c:layout>
        <c:manualLayout>
          <c:layoutTarget val="inner"/>
          <c:xMode val="edge"/>
          <c:yMode val="edge"/>
          <c:x val="4.9919563203821966E-2"/>
          <c:y val="4.1769066824388405E-2"/>
          <c:w val="0.87278720182166147"/>
          <c:h val="0.88943542296638833"/>
        </c:manualLayout>
      </c:layout>
      <c:scatterChart>
        <c:scatterStyle val="lineMarker"/>
        <c:varyColors val="0"/>
        <c:ser>
          <c:idx val="52"/>
          <c:order val="0"/>
          <c:spPr>
            <a:ln w="3175">
              <a:solidFill>
                <a:srgbClr val="000000"/>
              </a:solidFill>
              <a:prstDash val="solid"/>
            </a:ln>
          </c:spPr>
          <c:marker>
            <c:symbol val="none"/>
          </c:marker>
          <c:xVal>
            <c:numRef>
              <c:f>'-'!$C$26:$D$26</c:f>
              <c:numCache>
                <c:formatCode>General</c:formatCode>
                <c:ptCount val="2"/>
                <c:pt idx="0">
                  <c:v>0</c:v>
                </c:pt>
                <c:pt idx="1">
                  <c:v>25</c:v>
                </c:pt>
              </c:numCache>
            </c:numRef>
          </c:xVal>
          <c:yVal>
            <c:numRef>
              <c:f>'-'!$C$55:$D$55</c:f>
              <c:numCache>
                <c:formatCode>General</c:formatCode>
                <c:ptCount val="2"/>
                <c:pt idx="0">
                  <c:v>-19.801980198019802</c:v>
                </c:pt>
                <c:pt idx="1">
                  <c:v>-81.707920792079207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8AE2-426E-86C6-2EDF886B1E8D}"/>
            </c:ext>
          </c:extLst>
        </c:ser>
        <c:ser>
          <c:idx val="51"/>
          <c:order val="1"/>
          <c:spPr>
            <a:ln w="3175">
              <a:solidFill>
                <a:srgbClr val="000000"/>
              </a:solidFill>
              <a:prstDash val="solid"/>
            </a:ln>
          </c:spPr>
          <c:marker>
            <c:symbol val="none"/>
          </c:marker>
          <c:xVal>
            <c:numRef>
              <c:f>'-'!$C$26:$D$26</c:f>
              <c:numCache>
                <c:formatCode>General</c:formatCode>
                <c:ptCount val="2"/>
                <c:pt idx="0">
                  <c:v>0</c:v>
                </c:pt>
                <c:pt idx="1">
                  <c:v>25</c:v>
                </c:pt>
              </c:numCache>
            </c:numRef>
          </c:xVal>
          <c:yVal>
            <c:numRef>
              <c:f>'-'!$C$54:$D$54</c:f>
              <c:numCache>
                <c:formatCode>General</c:formatCode>
                <c:ptCount val="2"/>
                <c:pt idx="0">
                  <c:v>-14.851485148514852</c:v>
                </c:pt>
                <c:pt idx="1">
                  <c:v>-76.757425742574256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8AE2-426E-86C6-2EDF886B1E8D}"/>
            </c:ext>
          </c:extLst>
        </c:ser>
        <c:ser>
          <c:idx val="50"/>
          <c:order val="2"/>
          <c:spPr>
            <a:ln w="3175">
              <a:solidFill>
                <a:srgbClr val="000000"/>
              </a:solidFill>
              <a:prstDash val="solid"/>
            </a:ln>
          </c:spPr>
          <c:marker>
            <c:symbol val="none"/>
          </c:marker>
          <c:xVal>
            <c:numRef>
              <c:f>'-'!$C$26:$D$26</c:f>
              <c:numCache>
                <c:formatCode>General</c:formatCode>
                <c:ptCount val="2"/>
                <c:pt idx="0">
                  <c:v>0</c:v>
                </c:pt>
                <c:pt idx="1">
                  <c:v>25</c:v>
                </c:pt>
              </c:numCache>
            </c:numRef>
          </c:xVal>
          <c:yVal>
            <c:numRef>
              <c:f>'-'!$C$53:$D$53</c:f>
              <c:numCache>
                <c:formatCode>General</c:formatCode>
                <c:ptCount val="2"/>
                <c:pt idx="0">
                  <c:v>-9.9009900990099009</c:v>
                </c:pt>
                <c:pt idx="1">
                  <c:v>-71.806930693069319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8AE2-426E-86C6-2EDF886B1E8D}"/>
            </c:ext>
          </c:extLst>
        </c:ser>
        <c:ser>
          <c:idx val="49"/>
          <c:order val="3"/>
          <c:spPr>
            <a:ln w="3175">
              <a:solidFill>
                <a:srgbClr val="000000"/>
              </a:solidFill>
              <a:prstDash val="solid"/>
            </a:ln>
          </c:spPr>
          <c:marker>
            <c:symbol val="none"/>
          </c:marker>
          <c:xVal>
            <c:numRef>
              <c:f>'-'!$C$26:$D$26</c:f>
              <c:numCache>
                <c:formatCode>General</c:formatCode>
                <c:ptCount val="2"/>
                <c:pt idx="0">
                  <c:v>0</c:v>
                </c:pt>
                <c:pt idx="1">
                  <c:v>25</c:v>
                </c:pt>
              </c:numCache>
            </c:numRef>
          </c:xVal>
          <c:yVal>
            <c:numRef>
              <c:f>'-'!$C$52:$D$52</c:f>
              <c:numCache>
                <c:formatCode>General</c:formatCode>
                <c:ptCount val="2"/>
                <c:pt idx="0">
                  <c:v>-4.9504950495049505</c:v>
                </c:pt>
                <c:pt idx="1">
                  <c:v>-66.856435643564367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8AE2-426E-86C6-2EDF886B1E8D}"/>
            </c:ext>
          </c:extLst>
        </c:ser>
        <c:ser>
          <c:idx val="38"/>
          <c:order val="4"/>
          <c:spPr>
            <a:ln w="3175">
              <a:solidFill>
                <a:srgbClr val="000000"/>
              </a:solidFill>
              <a:prstDash val="solid"/>
            </a:ln>
          </c:spPr>
          <c:marker>
            <c:symbol val="none"/>
          </c:marker>
          <c:xVal>
            <c:numRef>
              <c:f>'-'!$C$26:$D$26</c:f>
              <c:numCache>
                <c:formatCode>General</c:formatCode>
                <c:ptCount val="2"/>
                <c:pt idx="0">
                  <c:v>0</c:v>
                </c:pt>
                <c:pt idx="1">
                  <c:v>25</c:v>
                </c:pt>
              </c:numCache>
            </c:numRef>
          </c:xVal>
          <c:yVal>
            <c:numRef>
              <c:f>'-'!$C$51:$D$51</c:f>
              <c:numCache>
                <c:formatCode>General</c:formatCode>
                <c:ptCount val="2"/>
                <c:pt idx="0">
                  <c:v>0</c:v>
                </c:pt>
                <c:pt idx="1">
                  <c:v>-61.905940594059402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8AE2-426E-86C6-2EDF886B1E8D}"/>
            </c:ext>
          </c:extLst>
        </c:ser>
        <c:ser>
          <c:idx val="37"/>
          <c:order val="5"/>
          <c:spPr>
            <a:ln w="3175">
              <a:solidFill>
                <a:srgbClr val="000000"/>
              </a:solidFill>
              <a:prstDash val="solid"/>
            </a:ln>
          </c:spPr>
          <c:marker>
            <c:symbol val="none"/>
          </c:marker>
          <c:xVal>
            <c:numRef>
              <c:f>'-'!$C$26:$G$26</c:f>
              <c:numCache>
                <c:formatCode>General</c:formatCode>
                <c:ptCount val="5"/>
                <c:pt idx="0">
                  <c:v>0</c:v>
                </c:pt>
                <c:pt idx="1">
                  <c:v>25</c:v>
                </c:pt>
              </c:numCache>
            </c:numRef>
          </c:xVal>
          <c:yVal>
            <c:numRef>
              <c:f>'-'!$C$50:$F$50</c:f>
              <c:numCache>
                <c:formatCode>General</c:formatCode>
                <c:ptCount val="4"/>
                <c:pt idx="0">
                  <c:v>4.9504950495049505</c:v>
                </c:pt>
                <c:pt idx="1">
                  <c:v>-56.955445544554451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5-8AE2-426E-86C6-2EDF886B1E8D}"/>
            </c:ext>
          </c:extLst>
        </c:ser>
        <c:ser>
          <c:idx val="36"/>
          <c:order val="6"/>
          <c:spPr>
            <a:ln w="3175">
              <a:solidFill>
                <a:srgbClr val="000000"/>
              </a:solidFill>
              <a:prstDash val="solid"/>
            </a:ln>
          </c:spPr>
          <c:marker>
            <c:symbol val="none"/>
          </c:marker>
          <c:xVal>
            <c:numRef>
              <c:f>'-'!$C$26:$G$26</c:f>
              <c:numCache>
                <c:formatCode>General</c:formatCode>
                <c:ptCount val="5"/>
                <c:pt idx="0">
                  <c:v>0</c:v>
                </c:pt>
                <c:pt idx="1">
                  <c:v>25</c:v>
                </c:pt>
              </c:numCache>
            </c:numRef>
          </c:xVal>
          <c:yVal>
            <c:numRef>
              <c:f>'-'!$C$49:$F$49</c:f>
              <c:numCache>
                <c:formatCode>General</c:formatCode>
                <c:ptCount val="4"/>
                <c:pt idx="0">
                  <c:v>9.9009900990099009</c:v>
                </c:pt>
                <c:pt idx="1">
                  <c:v>-52.004950495049506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6-8AE2-426E-86C6-2EDF886B1E8D}"/>
            </c:ext>
          </c:extLst>
        </c:ser>
        <c:ser>
          <c:idx val="35"/>
          <c:order val="7"/>
          <c:spPr>
            <a:ln w="3175">
              <a:solidFill>
                <a:srgbClr val="000000"/>
              </a:solidFill>
              <a:prstDash val="solid"/>
            </a:ln>
          </c:spPr>
          <c:marker>
            <c:symbol val="none"/>
          </c:marker>
          <c:xVal>
            <c:numRef>
              <c:f>'-'!$C$26:$G$26</c:f>
              <c:numCache>
                <c:formatCode>General</c:formatCode>
                <c:ptCount val="5"/>
                <c:pt idx="0">
                  <c:v>0</c:v>
                </c:pt>
                <c:pt idx="1">
                  <c:v>25</c:v>
                </c:pt>
              </c:numCache>
            </c:numRef>
          </c:xVal>
          <c:yVal>
            <c:numRef>
              <c:f>'-'!$C$48:$F$48</c:f>
              <c:numCache>
                <c:formatCode>General</c:formatCode>
                <c:ptCount val="4"/>
                <c:pt idx="0">
                  <c:v>14.851485148514852</c:v>
                </c:pt>
                <c:pt idx="1">
                  <c:v>-47.054455445544555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7-8AE2-426E-86C6-2EDF886B1E8D}"/>
            </c:ext>
          </c:extLst>
        </c:ser>
        <c:ser>
          <c:idx val="34"/>
          <c:order val="8"/>
          <c:spPr>
            <a:ln w="3175">
              <a:solidFill>
                <a:srgbClr val="000000"/>
              </a:solidFill>
              <a:prstDash val="solid"/>
            </a:ln>
          </c:spPr>
          <c:marker>
            <c:symbol val="none"/>
          </c:marker>
          <c:xVal>
            <c:numRef>
              <c:f>'-'!$C$26:$G$26</c:f>
              <c:numCache>
                <c:formatCode>General</c:formatCode>
                <c:ptCount val="5"/>
                <c:pt idx="0">
                  <c:v>0</c:v>
                </c:pt>
                <c:pt idx="1">
                  <c:v>25</c:v>
                </c:pt>
              </c:numCache>
            </c:numRef>
          </c:xVal>
          <c:yVal>
            <c:numRef>
              <c:f>'-'!$C$47:$F$47</c:f>
              <c:numCache>
                <c:formatCode>General</c:formatCode>
                <c:ptCount val="4"/>
                <c:pt idx="0">
                  <c:v>19.801980198019802</c:v>
                </c:pt>
                <c:pt idx="1">
                  <c:v>-42.103960396039604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8-8AE2-426E-86C6-2EDF886B1E8D}"/>
            </c:ext>
          </c:extLst>
        </c:ser>
        <c:ser>
          <c:idx val="33"/>
          <c:order val="9"/>
          <c:spPr>
            <a:ln w="3175">
              <a:solidFill>
                <a:srgbClr val="000000"/>
              </a:solidFill>
              <a:prstDash val="solid"/>
            </a:ln>
          </c:spPr>
          <c:marker>
            <c:symbol val="none"/>
          </c:marker>
          <c:xVal>
            <c:numRef>
              <c:f>'-'!$C$26:$G$26</c:f>
              <c:numCache>
                <c:formatCode>General</c:formatCode>
                <c:ptCount val="5"/>
                <c:pt idx="0">
                  <c:v>0</c:v>
                </c:pt>
                <c:pt idx="1">
                  <c:v>25</c:v>
                </c:pt>
              </c:numCache>
            </c:numRef>
          </c:xVal>
          <c:yVal>
            <c:numRef>
              <c:f>'-'!$C$46:$F$46</c:f>
              <c:numCache>
                <c:formatCode>General</c:formatCode>
                <c:ptCount val="4"/>
                <c:pt idx="0">
                  <c:v>24.752475247524753</c:v>
                </c:pt>
                <c:pt idx="1">
                  <c:v>-37.153465346534652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9-8AE2-426E-86C6-2EDF886B1E8D}"/>
            </c:ext>
          </c:extLst>
        </c:ser>
        <c:ser>
          <c:idx val="32"/>
          <c:order val="10"/>
          <c:spPr>
            <a:ln w="3175">
              <a:solidFill>
                <a:srgbClr val="000000"/>
              </a:solidFill>
              <a:prstDash val="solid"/>
            </a:ln>
          </c:spPr>
          <c:marker>
            <c:symbol val="none"/>
          </c:marker>
          <c:xVal>
            <c:numRef>
              <c:f>'-'!$C$26:$G$26</c:f>
              <c:numCache>
                <c:formatCode>General</c:formatCode>
                <c:ptCount val="5"/>
                <c:pt idx="0">
                  <c:v>0</c:v>
                </c:pt>
                <c:pt idx="1">
                  <c:v>25</c:v>
                </c:pt>
              </c:numCache>
            </c:numRef>
          </c:xVal>
          <c:yVal>
            <c:numRef>
              <c:f>'-'!$C$45:$F$45</c:f>
              <c:numCache>
                <c:formatCode>General</c:formatCode>
                <c:ptCount val="4"/>
                <c:pt idx="0">
                  <c:v>29.702970297029704</c:v>
                </c:pt>
                <c:pt idx="1">
                  <c:v>-32.202970297029701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A-8AE2-426E-86C6-2EDF886B1E8D}"/>
            </c:ext>
          </c:extLst>
        </c:ser>
        <c:ser>
          <c:idx val="31"/>
          <c:order val="11"/>
          <c:spPr>
            <a:ln w="3175">
              <a:solidFill>
                <a:srgbClr val="000000"/>
              </a:solidFill>
              <a:prstDash val="solid"/>
            </a:ln>
          </c:spPr>
          <c:marker>
            <c:symbol val="none"/>
          </c:marker>
          <c:xVal>
            <c:numRef>
              <c:f>'-'!$C$26:$G$26</c:f>
              <c:numCache>
                <c:formatCode>General</c:formatCode>
                <c:ptCount val="5"/>
                <c:pt idx="0">
                  <c:v>0</c:v>
                </c:pt>
                <c:pt idx="1">
                  <c:v>25</c:v>
                </c:pt>
              </c:numCache>
            </c:numRef>
          </c:xVal>
          <c:yVal>
            <c:numRef>
              <c:f>'-'!$C$44:$F$44</c:f>
              <c:numCache>
                <c:formatCode>General</c:formatCode>
                <c:ptCount val="4"/>
                <c:pt idx="0">
                  <c:v>34.653465346534652</c:v>
                </c:pt>
                <c:pt idx="1">
                  <c:v>-27.25247524752475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B-8AE2-426E-86C6-2EDF886B1E8D}"/>
            </c:ext>
          </c:extLst>
        </c:ser>
        <c:ser>
          <c:idx val="62"/>
          <c:order val="12"/>
          <c:tx>
            <c:v>10.bod</c:v>
          </c:tx>
          <c:spPr>
            <a:ln w="38100">
              <a:solidFill>
                <a:srgbClr val="FF0000"/>
              </a:solidFill>
              <a:prstDash val="solid"/>
            </a:ln>
          </c:spPr>
          <c:marker>
            <c:symbol val="diamond"/>
            <c:size val="6"/>
            <c:spPr>
              <a:solidFill>
                <a:srgbClr val="0000FF"/>
              </a:solidFill>
              <a:ln>
                <a:solidFill>
                  <a:srgbClr val="FF0000"/>
                </a:solidFill>
                <a:prstDash val="solid"/>
              </a:ln>
            </c:spPr>
          </c:marker>
          <c:xVal>
            <c:numRef>
              <c:f>'S02'!$E$180:$T$180</c:f>
              <c:numCache>
                <c:formatCode>General</c:formatCode>
                <c:ptCount val="16"/>
                <c:pt idx="8">
                  <c:v>5.4476215610197468E-6</c:v>
                </c:pt>
                <c:pt idx="9">
                  <c:v>5.4476215610197468E-6</c:v>
                </c:pt>
                <c:pt idx="10">
                  <c:v>5.4476215138005003E-8</c:v>
                </c:pt>
                <c:pt idx="11">
                  <c:v>5.447621513328308E-10</c:v>
                </c:pt>
                <c:pt idx="12">
                  <c:v>-1</c:v>
                </c:pt>
                <c:pt idx="13">
                  <c:v>-1</c:v>
                </c:pt>
                <c:pt idx="14">
                  <c:v>-1</c:v>
                </c:pt>
                <c:pt idx="15">
                  <c:v>-1</c:v>
                </c:pt>
              </c:numCache>
            </c:numRef>
          </c:xVal>
          <c:yVal>
            <c:numRef>
              <c:f>'S02'!$E$181:$T$181</c:f>
              <c:numCache>
                <c:formatCode>General</c:formatCode>
                <c:ptCount val="16"/>
                <c:pt idx="8">
                  <c:v>8.0000000802580278</c:v>
                </c:pt>
                <c:pt idx="9">
                  <c:v>8.0000000802580278</c:v>
                </c:pt>
                <c:pt idx="10">
                  <c:v>8.0000000008025811</c:v>
                </c:pt>
                <c:pt idx="11">
                  <c:v>8.0000000000080274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C-8AE2-426E-86C6-2EDF886B1E8D}"/>
            </c:ext>
          </c:extLst>
        </c:ser>
        <c:ser>
          <c:idx val="61"/>
          <c:order val="13"/>
          <c:tx>
            <c:v>9.bod</c:v>
          </c:tx>
          <c:spPr>
            <a:ln w="38100">
              <a:solidFill>
                <a:srgbClr val="FF0000"/>
              </a:solidFill>
              <a:prstDash val="solid"/>
            </a:ln>
          </c:spPr>
          <c:marker>
            <c:symbol val="diamond"/>
            <c:size val="6"/>
            <c:spPr>
              <a:solidFill>
                <a:srgbClr val="0000FF"/>
              </a:solidFill>
              <a:ln>
                <a:solidFill>
                  <a:srgbClr val="FF0000"/>
                </a:solidFill>
                <a:prstDash val="solid"/>
              </a:ln>
            </c:spPr>
          </c:marker>
          <c:xVal>
            <c:numRef>
              <c:f>'S02'!$E$178:$T$178</c:f>
              <c:numCache>
                <c:formatCode>General</c:formatCode>
                <c:ptCount val="16"/>
                <c:pt idx="7">
                  <c:v>5.4476262829484417E-4</c:v>
                </c:pt>
                <c:pt idx="8">
                  <c:v>5.4476262829484417E-4</c:v>
                </c:pt>
                <c:pt idx="9">
                  <c:v>5.4476262829484417E-4</c:v>
                </c:pt>
                <c:pt idx="10">
                  <c:v>5.4476262829484417E-4</c:v>
                </c:pt>
                <c:pt idx="11">
                  <c:v>5.4476262829484417E-4</c:v>
                </c:pt>
                <c:pt idx="12">
                  <c:v>5.4476262829484417E-4</c:v>
                </c:pt>
                <c:pt idx="13">
                  <c:v>5.4476262829484417E-4</c:v>
                </c:pt>
                <c:pt idx="14">
                  <c:v>5.4476262829484417E-4</c:v>
                </c:pt>
                <c:pt idx="15">
                  <c:v>5.4476262829484417E-4</c:v>
                </c:pt>
              </c:numCache>
            </c:numRef>
          </c:xVal>
          <c:yVal>
            <c:numRef>
              <c:f>'S02'!$E$179:$T$179</c:f>
              <c:numCache>
                <c:formatCode>General</c:formatCode>
                <c:ptCount val="16"/>
                <c:pt idx="7">
                  <c:v>8.0000080258098105</c:v>
                </c:pt>
                <c:pt idx="8">
                  <c:v>8.0000080258098105</c:v>
                </c:pt>
                <c:pt idx="9">
                  <c:v>8.0000080258098105</c:v>
                </c:pt>
                <c:pt idx="10">
                  <c:v>8.0000080258098105</c:v>
                </c:pt>
                <c:pt idx="11">
                  <c:v>8.0000080258098105</c:v>
                </c:pt>
                <c:pt idx="12">
                  <c:v>8.0000080258098105</c:v>
                </c:pt>
                <c:pt idx="13">
                  <c:v>8.0000080258098105</c:v>
                </c:pt>
                <c:pt idx="14">
                  <c:v>8.0000080258098105</c:v>
                </c:pt>
                <c:pt idx="15">
                  <c:v>8.0000080258098105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D-8AE2-426E-86C6-2EDF886B1E8D}"/>
            </c:ext>
          </c:extLst>
        </c:ser>
        <c:ser>
          <c:idx val="60"/>
          <c:order val="14"/>
          <c:tx>
            <c:v>8.bod</c:v>
          </c:tx>
          <c:spPr>
            <a:ln w="38100">
              <a:solidFill>
                <a:srgbClr val="FF0000"/>
              </a:solidFill>
              <a:prstDash val="solid"/>
            </a:ln>
          </c:spPr>
          <c:marker>
            <c:symbol val="diamond"/>
            <c:size val="6"/>
            <c:spPr>
              <a:solidFill>
                <a:srgbClr val="0000FF"/>
              </a:solidFill>
              <a:ln>
                <a:solidFill>
                  <a:srgbClr val="FF0000"/>
                </a:solidFill>
                <a:prstDash val="solid"/>
              </a:ln>
            </c:spPr>
          </c:marker>
          <c:xVal>
            <c:numRef>
              <c:f>'S02'!$E$176:$T$176</c:f>
              <c:numCache>
                <c:formatCode>General</c:formatCode>
                <c:ptCount val="16"/>
                <c:pt idx="6">
                  <c:v>5.4480985171597482E-2</c:v>
                </c:pt>
                <c:pt idx="7">
                  <c:v>5.4480985171597482E-2</c:v>
                </c:pt>
                <c:pt idx="8">
                  <c:v>5.4480985171597482E-2</c:v>
                </c:pt>
              </c:numCache>
            </c:numRef>
          </c:xVal>
          <c:yVal>
            <c:numRef>
              <c:f>'S02'!$E$177:$T$177</c:f>
              <c:numCache>
                <c:formatCode>General</c:formatCode>
                <c:ptCount val="16"/>
                <c:pt idx="6">
                  <c:v>4.277449722330025</c:v>
                </c:pt>
                <c:pt idx="7">
                  <c:v>8.0008026505538137</c:v>
                </c:pt>
                <c:pt idx="8">
                  <c:v>8.0008026505538137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E-8AE2-426E-86C6-2EDF886B1E8D}"/>
            </c:ext>
          </c:extLst>
        </c:ser>
        <c:ser>
          <c:idx val="59"/>
          <c:order val="15"/>
          <c:tx>
            <c:v>7.bod</c:v>
          </c:tx>
          <c:spPr>
            <a:ln w="38100">
              <a:solidFill>
                <a:srgbClr val="FF0000"/>
              </a:solidFill>
              <a:prstDash val="solid"/>
            </a:ln>
          </c:spPr>
          <c:marker>
            <c:symbol val="diamond"/>
            <c:size val="6"/>
            <c:spPr>
              <a:solidFill>
                <a:srgbClr val="000080"/>
              </a:solidFill>
              <a:ln>
                <a:solidFill>
                  <a:srgbClr val="FF0000"/>
                </a:solidFill>
                <a:prstDash val="solid"/>
              </a:ln>
            </c:spPr>
          </c:marker>
          <c:xVal>
            <c:numRef>
              <c:f>'S02'!$E$174:$T$174</c:f>
              <c:numCache>
                <c:formatCode>General</c:formatCode>
                <c:ptCount val="16"/>
                <c:pt idx="5">
                  <c:v>5.4480985171597482E-2</c:v>
                </c:pt>
                <c:pt idx="6">
                  <c:v>5.4480985171597482E-2</c:v>
                </c:pt>
                <c:pt idx="7">
                  <c:v>5.4480985171597482E-2</c:v>
                </c:pt>
              </c:numCache>
            </c:numRef>
          </c:xVal>
          <c:yVal>
            <c:numRef>
              <c:f>'S02'!$E$175:$T$175</c:f>
              <c:numCache>
                <c:formatCode>General</c:formatCode>
                <c:ptCount val="16"/>
                <c:pt idx="5">
                  <c:v>4.277449722330025</c:v>
                </c:pt>
                <c:pt idx="6">
                  <c:v>4.277449722330025</c:v>
                </c:pt>
                <c:pt idx="7">
                  <c:v>4.277449722330025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F-8AE2-426E-86C6-2EDF886B1E8D}"/>
            </c:ext>
          </c:extLst>
        </c:ser>
        <c:ser>
          <c:idx val="58"/>
          <c:order val="16"/>
          <c:tx>
            <c:v>6.bod</c:v>
          </c:tx>
          <c:spPr>
            <a:ln w="38100">
              <a:solidFill>
                <a:srgbClr val="FF0000"/>
              </a:solidFill>
              <a:prstDash val="solid"/>
            </a:ln>
          </c:spPr>
          <c:marker>
            <c:symbol val="diamond"/>
            <c:size val="6"/>
            <c:spPr>
              <a:solidFill>
                <a:srgbClr val="0000FF"/>
              </a:solidFill>
              <a:ln>
                <a:solidFill>
                  <a:srgbClr val="FF0000"/>
                </a:solidFill>
                <a:prstDash val="solid"/>
              </a:ln>
            </c:spPr>
          </c:marker>
          <c:xVal>
            <c:numRef>
              <c:f>'S02'!$E$172:$T$172</c:f>
              <c:numCache>
                <c:formatCode>General</c:formatCode>
                <c:ptCount val="16"/>
                <c:pt idx="4">
                  <c:v>9.3757233081908904</c:v>
                </c:pt>
                <c:pt idx="5">
                  <c:v>5.4957390094007232</c:v>
                </c:pt>
                <c:pt idx="6">
                  <c:v>8.3203757830561539E-2</c:v>
                </c:pt>
              </c:numCache>
            </c:numRef>
          </c:xVal>
          <c:yVal>
            <c:numRef>
              <c:f>'S02'!$E$173:$T$173</c:f>
              <c:numCache>
                <c:formatCode>General</c:formatCode>
                <c:ptCount val="16"/>
                <c:pt idx="4">
                  <c:v>20.345323670361086</c:v>
                </c:pt>
                <c:pt idx="5">
                  <c:v>4.3203077551807594</c:v>
                </c:pt>
                <c:pt idx="6">
                  <c:v>-25.003830668058537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0-8AE2-426E-86C6-2EDF886B1E8D}"/>
            </c:ext>
          </c:extLst>
        </c:ser>
        <c:ser>
          <c:idx val="57"/>
          <c:order val="17"/>
          <c:tx>
            <c:v>5.bod</c:v>
          </c:tx>
          <c:spPr>
            <a:ln w="38100">
              <a:solidFill>
                <a:srgbClr val="FF0000"/>
              </a:solidFill>
              <a:prstDash val="solid"/>
            </a:ln>
          </c:spPr>
          <c:marker>
            <c:symbol val="diamond"/>
            <c:size val="6"/>
            <c:spPr>
              <a:solidFill>
                <a:srgbClr val="0000FF"/>
              </a:solidFill>
              <a:ln>
                <a:solidFill>
                  <a:srgbClr val="FF0000"/>
                </a:solidFill>
                <a:prstDash val="solid"/>
              </a:ln>
            </c:spPr>
          </c:marker>
          <c:xVal>
            <c:numRef>
              <c:f>'S02'!$E$170:$T$170</c:f>
              <c:numCache>
                <c:formatCode>General</c:formatCode>
                <c:ptCount val="16"/>
                <c:pt idx="3">
                  <c:v>9.3757233081908904</c:v>
                </c:pt>
                <c:pt idx="4">
                  <c:v>9.3757233081908904</c:v>
                </c:pt>
                <c:pt idx="5">
                  <c:v>9.3757233081908904</c:v>
                </c:pt>
              </c:numCache>
            </c:numRef>
          </c:xVal>
          <c:yVal>
            <c:numRef>
              <c:f>'S02'!$E$171:$T$171</c:f>
              <c:numCache>
                <c:formatCode>General</c:formatCode>
                <c:ptCount val="16"/>
                <c:pt idx="3">
                  <c:v>20.345323670361086</c:v>
                </c:pt>
                <c:pt idx="4">
                  <c:v>20.345323670361086</c:v>
                </c:pt>
                <c:pt idx="5">
                  <c:v>20.345323670361086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1-8AE2-426E-86C6-2EDF886B1E8D}"/>
            </c:ext>
          </c:extLst>
        </c:ser>
        <c:ser>
          <c:idx val="56"/>
          <c:order val="18"/>
          <c:tx>
            <c:v>4.bod</c:v>
          </c:tx>
          <c:spPr>
            <a:ln w="38100">
              <a:solidFill>
                <a:srgbClr val="FF0000"/>
              </a:solidFill>
              <a:prstDash val="solid"/>
            </a:ln>
          </c:spPr>
          <c:marker>
            <c:symbol val="diamond"/>
            <c:size val="6"/>
            <c:spPr>
              <a:solidFill>
                <a:srgbClr val="0000FF"/>
              </a:solidFill>
              <a:ln>
                <a:solidFill>
                  <a:srgbClr val="FF0000"/>
                </a:solidFill>
                <a:prstDash val="solid"/>
              </a:ln>
            </c:spPr>
          </c:marker>
          <c:xVal>
            <c:numRef>
              <c:f>'S02'!$E$168:$T$168</c:f>
              <c:numCache>
                <c:formatCode>General</c:formatCode>
                <c:ptCount val="16"/>
                <c:pt idx="2">
                  <c:v>8.3203757830561539E-2</c:v>
                </c:pt>
                <c:pt idx="3">
                  <c:v>8.3203757830561539E-2</c:v>
                </c:pt>
                <c:pt idx="4">
                  <c:v>8.3203757830561539E-2</c:v>
                </c:pt>
              </c:numCache>
            </c:numRef>
          </c:xVal>
          <c:yVal>
            <c:numRef>
              <c:f>'S02'!$E$169:$T$169</c:f>
              <c:numCache>
                <c:formatCode>General</c:formatCode>
                <c:ptCount val="16"/>
                <c:pt idx="2">
                  <c:v>-25.003830668058537</c:v>
                </c:pt>
                <c:pt idx="3">
                  <c:v>-25.003830668058537</c:v>
                </c:pt>
                <c:pt idx="4">
                  <c:v>-25.003830668058537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2-8AE2-426E-86C6-2EDF886B1E8D}"/>
            </c:ext>
          </c:extLst>
        </c:ser>
        <c:ser>
          <c:idx val="55"/>
          <c:order val="19"/>
          <c:tx>
            <c:v>3.bod</c:v>
          </c:tx>
          <c:spPr>
            <a:ln w="38100">
              <a:solidFill>
                <a:srgbClr val="FF0000"/>
              </a:solidFill>
              <a:prstDash val="solid"/>
            </a:ln>
          </c:spPr>
          <c:marker>
            <c:symbol val="diamond"/>
            <c:size val="6"/>
            <c:spPr>
              <a:solidFill>
                <a:srgbClr val="0000FF"/>
              </a:solidFill>
              <a:ln>
                <a:solidFill>
                  <a:srgbClr val="FF0000"/>
                </a:solidFill>
                <a:prstDash val="solid"/>
              </a:ln>
            </c:spPr>
          </c:marker>
          <c:xVal>
            <c:numRef>
              <c:f>'S02'!$E$166:$T$166</c:f>
              <c:numCache>
                <c:formatCode>General</c:formatCode>
                <c:ptCount val="16"/>
                <c:pt idx="1">
                  <c:v>8.3203757830561539E-2</c:v>
                </c:pt>
                <c:pt idx="2">
                  <c:v>8.3203757830561539E-2</c:v>
                </c:pt>
                <c:pt idx="3">
                  <c:v>8.3203757830561539E-2</c:v>
                </c:pt>
              </c:numCache>
            </c:numRef>
          </c:xVal>
          <c:yVal>
            <c:numRef>
              <c:f>'S02'!$E$167:$T$167</c:f>
              <c:numCache>
                <c:formatCode>General</c:formatCode>
                <c:ptCount val="16"/>
                <c:pt idx="1">
                  <c:v>-25.003830668058537</c:v>
                </c:pt>
                <c:pt idx="2">
                  <c:v>-25.003830668058537</c:v>
                </c:pt>
                <c:pt idx="3">
                  <c:v>-25.003830668058537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3-8AE2-426E-86C6-2EDF886B1E8D}"/>
            </c:ext>
          </c:extLst>
        </c:ser>
        <c:ser>
          <c:idx val="54"/>
          <c:order val="20"/>
          <c:tx>
            <c:v>3.bod</c:v>
          </c:tx>
          <c:spPr>
            <a:ln w="38100">
              <a:solidFill>
                <a:srgbClr val="FF0000"/>
              </a:solidFill>
              <a:prstDash val="solid"/>
            </a:ln>
          </c:spPr>
          <c:marker>
            <c:symbol val="diamond"/>
            <c:size val="6"/>
            <c:spPr>
              <a:solidFill>
                <a:srgbClr val="0000FF"/>
              </a:solidFill>
              <a:ln>
                <a:solidFill>
                  <a:srgbClr val="FF0000"/>
                </a:solidFill>
                <a:prstDash val="solid"/>
              </a:ln>
            </c:spPr>
          </c:marker>
          <c:xVal>
            <c:numRef>
              <c:f>'S02'!$E$164:$T$164</c:f>
              <c:numCache>
                <c:formatCode>General</c:formatCode>
                <c:ptCount val="16"/>
                <c:pt idx="0">
                  <c:v>8.3203757830561539E-2</c:v>
                </c:pt>
                <c:pt idx="1">
                  <c:v>8.3203757830561539E-2</c:v>
                </c:pt>
              </c:numCache>
            </c:numRef>
          </c:xVal>
          <c:yVal>
            <c:numRef>
              <c:f>'S02'!$E$165:$T$165</c:f>
              <c:numCache>
                <c:formatCode>General</c:formatCode>
                <c:ptCount val="16"/>
                <c:pt idx="0">
                  <c:v>-25.003830668058537</c:v>
                </c:pt>
                <c:pt idx="1">
                  <c:v>-25.003830668058537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4-8AE2-426E-86C6-2EDF886B1E8D}"/>
            </c:ext>
          </c:extLst>
        </c:ser>
        <c:ser>
          <c:idx val="14"/>
          <c:order val="21"/>
          <c:tx>
            <c:v>2.bod</c:v>
          </c:tx>
          <c:spPr>
            <a:ln w="38100">
              <a:solidFill>
                <a:srgbClr val="FF0000"/>
              </a:solidFill>
              <a:prstDash val="solid"/>
            </a:ln>
          </c:spPr>
          <c:marker>
            <c:symbol val="diamond"/>
            <c:size val="6"/>
            <c:spPr>
              <a:solidFill>
                <a:srgbClr val="0000FF"/>
              </a:solidFill>
              <a:ln>
                <a:solidFill>
                  <a:srgbClr val="FF0000"/>
                </a:solidFill>
                <a:prstDash val="solid"/>
              </a:ln>
            </c:spPr>
          </c:marker>
          <c:xVal>
            <c:numRef>
              <c:f>'S02'!$E$164:$T$164</c:f>
              <c:numCache>
                <c:formatCode>General</c:formatCode>
                <c:ptCount val="16"/>
                <c:pt idx="0">
                  <c:v>8.3203757830561539E-2</c:v>
                </c:pt>
                <c:pt idx="1">
                  <c:v>8.3203757830561539E-2</c:v>
                </c:pt>
              </c:numCache>
            </c:numRef>
          </c:xVal>
          <c:yVal>
            <c:numRef>
              <c:f>'S02'!$E$165:$T$165</c:f>
              <c:numCache>
                <c:formatCode>General</c:formatCode>
                <c:ptCount val="16"/>
                <c:pt idx="0">
                  <c:v>-25.003830668058537</c:v>
                </c:pt>
                <c:pt idx="1">
                  <c:v>-25.003830668058537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5-8AE2-426E-86C6-2EDF886B1E8D}"/>
            </c:ext>
          </c:extLst>
        </c:ser>
        <c:ser>
          <c:idx val="53"/>
          <c:order val="22"/>
          <c:tx>
            <c:v>1.bod</c:v>
          </c:tx>
          <c:spPr>
            <a:ln w="38100">
              <a:solidFill>
                <a:srgbClr val="FF0000"/>
              </a:solidFill>
              <a:prstDash val="solid"/>
            </a:ln>
          </c:spPr>
          <c:marker>
            <c:symbol val="diamond"/>
            <c:size val="6"/>
            <c:spPr>
              <a:solidFill>
                <a:srgbClr val="0000FF"/>
              </a:solidFill>
              <a:ln>
                <a:solidFill>
                  <a:srgbClr val="FF0000"/>
                </a:solidFill>
                <a:prstDash val="solid"/>
              </a:ln>
            </c:spPr>
          </c:marker>
          <c:xVal>
            <c:numRef>
              <c:f>'S02'!$E$162:$T$162</c:f>
              <c:numCache>
                <c:formatCode>General</c:formatCode>
                <c:ptCount val="16"/>
                <c:pt idx="0">
                  <c:v>8.3203757830561539E-2</c:v>
                </c:pt>
              </c:numCache>
            </c:numRef>
          </c:xVal>
          <c:yVal>
            <c:numRef>
              <c:f>'S02'!$E$163:$T$163</c:f>
              <c:numCache>
                <c:formatCode>General</c:formatCode>
                <c:ptCount val="16"/>
                <c:pt idx="0">
                  <c:v>-25.003830668058537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6-8AE2-426E-86C6-2EDF886B1E8D}"/>
            </c:ext>
          </c:extLst>
        </c:ser>
        <c:ser>
          <c:idx val="48"/>
          <c:order val="23"/>
          <c:spPr>
            <a:ln w="3175">
              <a:solidFill>
                <a:srgbClr val="000000"/>
              </a:solidFill>
              <a:prstDash val="solid"/>
            </a:ln>
          </c:spPr>
          <c:marker>
            <c:symbol val="none"/>
          </c:marker>
          <c:xVal>
            <c:numRef>
              <c:f>'-'!$D$79:$T$79</c:f>
              <c:numCache>
                <c:formatCode>General</c:formatCode>
                <c:ptCount val="17"/>
                <c:pt idx="2">
                  <c:v>0.17101280627768012</c:v>
                </c:pt>
                <c:pt idx="3">
                  <c:v>0.26443999317586409</c:v>
                </c:pt>
                <c:pt idx="4">
                  <c:v>0.40111958118109542</c:v>
                </c:pt>
                <c:pt idx="5">
                  <c:v>0.57365941965561285</c:v>
                </c:pt>
                <c:pt idx="6">
                  <c:v>0.80856460613349224</c:v>
                </c:pt>
                <c:pt idx="7">
                  <c:v>1.1242211125591719</c:v>
                </c:pt>
                <c:pt idx="8">
                  <c:v>1.5432417243466023</c:v>
                </c:pt>
                <c:pt idx="9">
                  <c:v>2.093178554164365</c:v>
                </c:pt>
                <c:pt idx="10">
                  <c:v>2.8073255116868441</c:v>
                </c:pt>
                <c:pt idx="11">
                  <c:v>3.7256286077166139</c:v>
                </c:pt>
                <c:pt idx="12">
                  <c:v>4.89572992529573</c:v>
                </c:pt>
                <c:pt idx="13">
                  <c:v>6.3741820722374358</c:v>
                </c:pt>
                <c:pt idx="14">
                  <c:v>8.2278849367789046</c:v>
                </c:pt>
                <c:pt idx="15">
                  <c:v>10.53581702830612</c:v>
                </c:pt>
                <c:pt idx="16">
                  <c:v>13.391161696827741</c:v>
                </c:pt>
              </c:numCache>
            </c:numRef>
          </c:xVal>
          <c:yVal>
            <c:numRef>
              <c:f>'-'!$D$80:$T$80</c:f>
              <c:numCache>
                <c:formatCode>General</c:formatCode>
                <c:ptCount val="17"/>
                <c:pt idx="2">
                  <c:v>-10.003149344749273</c:v>
                </c:pt>
                <c:pt idx="3">
                  <c:v>-5.002434942511421</c:v>
                </c:pt>
                <c:pt idx="4">
                  <c:v>0</c:v>
                </c:pt>
                <c:pt idx="5">
                  <c:v>5.0052822104978194</c:v>
                </c:pt>
                <c:pt idx="6">
                  <c:v>10.014890397697112</c:v>
                </c:pt>
                <c:pt idx="7">
                  <c:v>15.031055216871684</c:v>
                </c:pt>
                <c:pt idx="8">
                  <c:v>20.05684019024326</c:v>
                </c:pt>
                <c:pt idx="9">
                  <c:v>25.096369111652123</c:v>
                </c:pt>
                <c:pt idx="10">
                  <c:v>30.155097785695176</c:v>
                </c:pt>
                <c:pt idx="11">
                  <c:v>35.240137051843917</c:v>
                </c:pt>
                <c:pt idx="12">
                  <c:v>40.36063594697228</c:v>
                </c:pt>
                <c:pt idx="13">
                  <c:v>45.528236672719089</c:v>
                </c:pt>
                <c:pt idx="14">
                  <c:v>50.757617127842018</c:v>
                </c:pt>
                <c:pt idx="15">
                  <c:v>56.067142655441302</c:v>
                </c:pt>
                <c:pt idx="16">
                  <c:v>61.47965707461978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7-8AE2-426E-86C6-2EDF886B1E8D}"/>
            </c:ext>
          </c:extLst>
        </c:ser>
        <c:ser>
          <c:idx val="47"/>
          <c:order val="24"/>
          <c:spPr>
            <a:ln w="3175">
              <a:solidFill>
                <a:srgbClr val="000000"/>
              </a:solidFill>
              <a:prstDash val="solid"/>
            </a:ln>
          </c:spPr>
          <c:marker>
            <c:symbol val="none"/>
          </c:marker>
          <c:xVal>
            <c:numRef>
              <c:f>'-'!$D$77:$T$77</c:f>
              <c:numCache>
                <c:formatCode>General</c:formatCode>
                <c:ptCount val="17"/>
                <c:pt idx="0">
                  <c:v>0.1358156797329006</c:v>
                </c:pt>
                <c:pt idx="1">
                  <c:v>0.21750328911584826</c:v>
                </c:pt>
                <c:pt idx="2">
                  <c:v>0.34211964476451118</c:v>
                </c:pt>
                <c:pt idx="3">
                  <c:v>0.52910486016338154</c:v>
                </c:pt>
                <c:pt idx="4">
                  <c:v>0.802756683134497</c:v>
                </c:pt>
                <c:pt idx="5">
                  <c:v>1.1483776269084569</c:v>
                </c:pt>
                <c:pt idx="6">
                  <c:v>1.6192334470055176</c:v>
                </c:pt>
                <c:pt idx="7">
                  <c:v>2.2525121732724562</c:v>
                </c:pt>
                <c:pt idx="8">
                  <c:v>3.0941578838395496</c:v>
                </c:pt>
                <c:pt idx="9">
                  <c:v>4.2004882106101</c:v>
                </c:pt>
                <c:pt idx="10">
                  <c:v>5.640098778418829</c:v>
                </c:pt>
                <c:pt idx="11">
                  <c:v>7.4961428539161545</c:v>
                </c:pt>
                <c:pt idx="12">
                  <c:v>9.8691141700684106</c:v>
                </c:pt>
                <c:pt idx="13">
                  <c:v>12.880317680384588</c:v>
                </c:pt>
                <c:pt idx="14">
                  <c:v>16.676294841620564</c:v>
                </c:pt>
                <c:pt idx="15">
                  <c:v>21.434589559138622</c:v>
                </c:pt>
                <c:pt idx="16">
                  <c:v>27.371418690269035</c:v>
                </c:pt>
              </c:numCache>
            </c:numRef>
          </c:xVal>
          <c:yVal>
            <c:numRef>
              <c:f>'-'!$D$78:$T$78</c:f>
              <c:numCache>
                <c:formatCode>General</c:formatCode>
                <c:ptCount val="17"/>
                <c:pt idx="0">
                  <c:v>-20.005002320085211</c:v>
                </c:pt>
                <c:pt idx="1">
                  <c:v>-15.006008259174585</c:v>
                </c:pt>
                <c:pt idx="2">
                  <c:v>-10.006300421180811</c:v>
                </c:pt>
                <c:pt idx="3">
                  <c:v>-5.0048719556430887</c:v>
                </c:pt>
                <c:pt idx="4">
                  <c:v>0</c:v>
                </c:pt>
                <c:pt idx="5">
                  <c:v>5.0105741702279687</c:v>
                </c:pt>
                <c:pt idx="6">
                  <c:v>10.029819546647824</c:v>
                </c:pt>
                <c:pt idx="7">
                  <c:v>15.062222861024061</c:v>
                </c:pt>
                <c:pt idx="8">
                  <c:v>20.113963042850326</c:v>
                </c:pt>
                <c:pt idx="9">
                  <c:v>25.193388813656799</c:v>
                </c:pt>
                <c:pt idx="10">
                  <c:v>30.311601496867098</c:v>
                </c:pt>
                <c:pt idx="11">
                  <c:v>35.483167227514798</c:v>
                </c:pt>
                <c:pt idx="12">
                  <c:v>40.726992172527808</c:v>
                </c:pt>
                <c:pt idx="13">
                  <c:v>46.067408504800191</c:v>
                </c:pt>
                <c:pt idx="14">
                  <c:v>51.535540020070016</c:v>
                </c:pt>
                <c:pt idx="15">
                  <c:v>57.171048031584036</c:v>
                </c:pt>
                <c:pt idx="16">
                  <c:v>63.024406263202003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8-8AE2-426E-86C6-2EDF886B1E8D}"/>
            </c:ext>
          </c:extLst>
        </c:ser>
        <c:ser>
          <c:idx val="46"/>
          <c:order val="25"/>
          <c:spPr>
            <a:ln w="3175">
              <a:solidFill>
                <a:srgbClr val="000000"/>
              </a:solidFill>
              <a:prstDash val="solid"/>
            </a:ln>
          </c:spPr>
          <c:marker>
            <c:symbol val="none"/>
          </c:marker>
          <c:xVal>
            <c:numRef>
              <c:f>'-'!$D$75:$T$75</c:f>
              <c:numCache>
                <c:formatCode>General</c:formatCode>
                <c:ptCount val="17"/>
                <c:pt idx="2">
                  <c:v>0.51332059303791133</c:v>
                </c:pt>
                <c:pt idx="3">
                  <c:v>0.79399488792599981</c:v>
                </c:pt>
                <c:pt idx="4">
                  <c:v>1.2049123080574862</c:v>
                </c:pt>
                <c:pt idx="5">
                  <c:v>1.7241575557293394</c:v>
                </c:pt>
                <c:pt idx="6">
                  <c:v>2.4320147475114751</c:v>
                </c:pt>
                <c:pt idx="7">
                  <c:v>3.3848953234906629</c:v>
                </c:pt>
                <c:pt idx="8">
                  <c:v>4.6528058678341644</c:v>
                </c:pt>
                <c:pt idx="9">
                  <c:v>6.3220725531589315</c:v>
                </c:pt>
                <c:pt idx="10">
                  <c:v>8.4986673926196445</c:v>
                </c:pt>
                <c:pt idx="11">
                  <c:v>11.312358814535846</c:v>
                </c:pt>
                <c:pt idx="12">
                  <c:v>14.922015091963811</c:v>
                </c:pt>
                <c:pt idx="13">
                  <c:v>19.522547083389735</c:v>
                </c:pt>
                <c:pt idx="14">
                  <c:v>25.354215953135277</c:v>
                </c:pt>
                <c:pt idx="15">
                  <c:v>32.715401866243447</c:v>
                </c:pt>
                <c:pt idx="16">
                  <c:v>41.980517887487068</c:v>
                </c:pt>
              </c:numCache>
            </c:numRef>
          </c:xVal>
          <c:yVal>
            <c:numRef>
              <c:f>'-'!$D$76:$T$76</c:f>
              <c:numCache>
                <c:formatCode>General</c:formatCode>
                <c:ptCount val="17"/>
                <c:pt idx="2">
                  <c:v>-10.009453230723272</c:v>
                </c:pt>
                <c:pt idx="3">
                  <c:v>-5.0073110420373377</c:v>
                </c:pt>
                <c:pt idx="4">
                  <c:v>0</c:v>
                </c:pt>
                <c:pt idx="5">
                  <c:v>5.0158759062062197</c:v>
                </c:pt>
                <c:pt idx="6">
                  <c:v>10.044787598320507</c:v>
                </c:pt>
                <c:pt idx="7">
                  <c:v>15.093503544084545</c:v>
                </c:pt>
                <c:pt idx="8">
                  <c:v>20.171370671567754</c:v>
                </c:pt>
                <c:pt idx="9">
                  <c:v>25.291065716556325</c:v>
                </c:pt>
                <c:pt idx="10">
                  <c:v>30.46953033713681</c:v>
                </c:pt>
                <c:pt idx="11">
                  <c:v>35.729143127550778</c:v>
                </c:pt>
                <c:pt idx="12">
                  <c:v>41.099205864200101</c:v>
                </c:pt>
                <c:pt idx="13">
                  <c:v>46.617858604831412</c:v>
                </c:pt>
                <c:pt idx="14">
                  <c:v>52.334596122417409</c:v>
                </c:pt>
                <c:pt idx="15">
                  <c:v>58.313649119719507</c:v>
                </c:pt>
                <c:pt idx="16">
                  <c:v>64.638639402221344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9-8AE2-426E-86C6-2EDF886B1E8D}"/>
            </c:ext>
          </c:extLst>
        </c:ser>
        <c:ser>
          <c:idx val="45"/>
          <c:order val="26"/>
          <c:spPr>
            <a:ln w="3175">
              <a:solidFill>
                <a:srgbClr val="000000"/>
              </a:solidFill>
              <a:prstDash val="solid"/>
            </a:ln>
          </c:spPr>
          <c:marker>
            <c:symbol val="none"/>
          </c:marker>
          <c:xVal>
            <c:numRef>
              <c:f>'-'!$D$73:$T$73</c:f>
              <c:numCache>
                <c:formatCode>General</c:formatCode>
                <c:ptCount val="17"/>
                <c:pt idx="0">
                  <c:v>0.27169066491795946</c:v>
                </c:pt>
                <c:pt idx="1">
                  <c:v>0.43515869724156031</c:v>
                </c:pt>
                <c:pt idx="2">
                  <c:v>0.6846157287606579</c:v>
                </c:pt>
                <c:pt idx="3">
                  <c:v>1.0591103639156361</c:v>
                </c:pt>
                <c:pt idx="4">
                  <c:v>1.6075874607367364</c:v>
                </c:pt>
                <c:pt idx="5">
                  <c:v>2.301002150939393</c:v>
                </c:pt>
                <c:pt idx="6">
                  <c:v>3.2469167754679309</c:v>
                </c:pt>
                <c:pt idx="7">
                  <c:v>4.5213928654610109</c:v>
                </c:pt>
                <c:pt idx="8">
                  <c:v>6.2192436393250885</c:v>
                </c:pt>
                <c:pt idx="9">
                  <c:v>8.4580771174857539</c:v>
                </c:pt>
                <c:pt idx="10">
                  <c:v>11.38338530604838</c:v>
                </c:pt>
                <c:pt idx="11">
                  <c:v>15.175112469151824</c:v>
                </c:pt>
                <c:pt idx="12">
                  <c:v>20.056355080942424</c:v>
                </c:pt>
                <c:pt idx="13">
                  <c:v>26.305185580831161</c:v>
                </c:pt>
                <c:pt idx="14">
                  <c:v>34.271129477061152</c:v>
                </c:pt>
                <c:pt idx="15">
                  <c:v>44.398700031379001</c:v>
                </c:pt>
                <c:pt idx="16">
                  <c:v>57.261864154498319</c:v>
                </c:pt>
              </c:numCache>
            </c:numRef>
          </c:xVal>
          <c:yVal>
            <c:numRef>
              <c:f>'-'!$D$74:$T$74</c:f>
              <c:numCache>
                <c:formatCode>General</c:formatCode>
                <c:ptCount val="17"/>
                <c:pt idx="0">
                  <c:v>-20.010006824490048</c:v>
                </c:pt>
                <c:pt idx="1">
                  <c:v>-15.012020720448554</c:v>
                </c:pt>
                <c:pt idx="2">
                  <c:v>-10.012607774806879</c:v>
                </c:pt>
                <c:pt idx="3">
                  <c:v>-5.0097522043410052</c:v>
                </c:pt>
                <c:pt idx="4">
                  <c:v>0</c:v>
                </c:pt>
                <c:pt idx="5">
                  <c:v>5.0211874455482537</c:v>
                </c:pt>
                <c:pt idx="6">
                  <c:v>10.059794704973962</c:v>
                </c:pt>
                <c:pt idx="7">
                  <c:v>15.124897882125111</c:v>
                </c:pt>
                <c:pt idx="8">
                  <c:v>20.229065211270193</c:v>
                </c:pt>
                <c:pt idx="9">
                  <c:v>25.389406520755532</c:v>
                </c:pt>
                <c:pt idx="10">
                  <c:v>30.62890386146287</c:v>
                </c:pt>
                <c:pt idx="11">
                  <c:v>35.978118635387908</c:v>
                </c:pt>
                <c:pt idx="12">
                  <c:v>41.477418631705063</c:v>
                </c:pt>
                <c:pt idx="13">
                  <c:v>47.179944587243135</c:v>
                </c:pt>
                <c:pt idx="14">
                  <c:v>53.155658456798697</c:v>
                </c:pt>
                <c:pt idx="15">
                  <c:v>59.497016844762449</c:v>
                </c:pt>
                <c:pt idx="16">
                  <c:v>66.327152514497044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A-8AE2-426E-86C6-2EDF886B1E8D}"/>
            </c:ext>
          </c:extLst>
        </c:ser>
        <c:ser>
          <c:idx val="44"/>
          <c:order val="27"/>
          <c:spPr>
            <a:ln w="12700">
              <a:solidFill>
                <a:srgbClr val="000000"/>
              </a:solidFill>
              <a:prstDash val="solid"/>
            </a:ln>
          </c:spPr>
          <c:marker>
            <c:symbol val="none"/>
          </c:marker>
          <c:xVal>
            <c:numRef>
              <c:f>'-'!$D$71:$T$71</c:f>
              <c:numCache>
                <c:formatCode>General</c:formatCode>
                <c:ptCount val="17"/>
                <c:pt idx="2">
                  <c:v>0.85600512968100539</c:v>
                </c:pt>
                <c:pt idx="3">
                  <c:v>1.3244515760737172</c:v>
                </c:pt>
                <c:pt idx="4">
                  <c:v>2.0107831485566803</c:v>
                </c:pt>
                <c:pt idx="5">
                  <c:v>2.8789143682602814</c:v>
                </c:pt>
                <c:pt idx="6">
                  <c:v>4.0639478418929604</c:v>
                </c:pt>
                <c:pt idx="7">
                  <c:v>5.6620272637912876</c:v>
                </c:pt>
                <c:pt idx="8">
                  <c:v>7.7935297421315459</c:v>
                </c:pt>
                <c:pt idx="9">
                  <c:v>10.608649424398145</c:v>
                </c:pt>
                <c:pt idx="10">
                  <c:v>14.294612975900844</c:v>
                </c:pt>
                <c:pt idx="11">
                  <c:v>19.085260311500072</c:v>
                </c:pt>
                <c:pt idx="12">
                  <c:v>25.274118997826371</c:v>
                </c:pt>
                <c:pt idx="13">
                  <c:v>33.2327328621272</c:v>
                </c:pt>
                <c:pt idx="14">
                  <c:v>43.437046140924913</c:v>
                </c:pt>
                <c:pt idx="15">
                  <c:v>56.506415619805608</c:v>
                </c:pt>
                <c:pt idx="16">
                  <c:v>73.262951034366679</c:v>
                </c:pt>
              </c:numCache>
            </c:numRef>
          </c:xVal>
          <c:yVal>
            <c:numRef>
              <c:f>'-'!$D$72:$T$72</c:f>
              <c:numCache>
                <c:formatCode>General</c:formatCode>
                <c:ptCount val="17"/>
                <c:pt idx="2">
                  <c:v>-10.015764054863432</c:v>
                </c:pt>
                <c:pt idx="3">
                  <c:v>-5.0121954452054309</c:v>
                </c:pt>
                <c:pt idx="4">
                  <c:v>0</c:v>
                </c:pt>
                <c:pt idx="5">
                  <c:v>5.0265088154701196</c:v>
                </c:pt>
                <c:pt idx="6">
                  <c:v>10.074841019662582</c:v>
                </c:pt>
                <c:pt idx="7">
                  <c:v>15.15640649570275</c:v>
                </c:pt>
                <c:pt idx="8">
                  <c:v>20.287048818225042</c:v>
                </c:pt>
                <c:pt idx="9">
                  <c:v>25.488418018053974</c:v>
                </c:pt>
                <c:pt idx="10">
                  <c:v>30.789741984213137</c:v>
                </c:pt>
                <c:pt idx="11">
                  <c:v>36.230148956711538</c:v>
                </c:pt>
                <c:pt idx="12">
                  <c:v>41.861776686572554</c:v>
                </c:pt>
                <c:pt idx="13">
                  <c:v>47.754039347089162</c:v>
                </c:pt>
                <c:pt idx="14">
                  <c:v>53.999648803075267</c:v>
                </c:pt>
                <c:pt idx="15">
                  <c:v>60.723372591986248</c:v>
                </c:pt>
                <c:pt idx="16">
                  <c:v>68.095193401421113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B-8AE2-426E-86C6-2EDF886B1E8D}"/>
            </c:ext>
          </c:extLst>
        </c:ser>
        <c:ser>
          <c:idx val="43"/>
          <c:order val="28"/>
          <c:spPr>
            <a:ln w="3175">
              <a:solidFill>
                <a:srgbClr val="000000"/>
              </a:solidFill>
              <a:prstDash val="solid"/>
            </a:ln>
          </c:spPr>
          <c:marker>
            <c:symbol val="none"/>
          </c:marker>
          <c:xVal>
            <c:numRef>
              <c:f>'-'!$D$69:$T$69</c:f>
              <c:numCache>
                <c:formatCode>General</c:formatCode>
                <c:ptCount val="17"/>
                <c:pt idx="0">
                  <c:v>0.40762499440825367</c:v>
                </c:pt>
                <c:pt idx="1">
                  <c:v>0.6529663840180876</c:v>
                </c:pt>
                <c:pt idx="2">
                  <c:v>1.0274888736328025</c:v>
                </c:pt>
                <c:pt idx="3">
                  <c:v>1.5900188128322221</c:v>
                </c:pt>
                <c:pt idx="4">
                  <c:v>2.4145003815079136</c:v>
                </c:pt>
                <c:pt idx="5">
                  <c:v>3.4578971743646818</c:v>
                </c:pt>
                <c:pt idx="6">
                  <c:v>4.8831163012886956</c:v>
                </c:pt>
                <c:pt idx="7">
                  <c:v>6.8068211469300222</c:v>
                </c:pt>
                <c:pt idx="8">
                  <c:v>9.3757233081908922</c:v>
                </c:pt>
                <c:pt idx="9">
                  <c:v>12.773939013799161</c:v>
                </c:pt>
                <c:pt idx="10">
                  <c:v>17.232717514957368</c:v>
                </c:pt>
                <c:pt idx="11">
                  <c:v>23.043679982608502</c:v>
                </c:pt>
                <c:pt idx="12">
                  <c:v>30.577356732686056</c:v>
                </c:pt>
                <c:pt idx="13">
                  <c:v>40.309882961444735</c:v>
                </c:pt>
                <c:pt idx="14">
                  <c:v>52.862543684490774</c:v>
                </c:pt>
                <c:pt idx="15">
                  <c:v>69.06210308333759</c:v>
                </c:pt>
                <c:pt idx="16">
                  <c:v>90.035853792752661</c:v>
                </c:pt>
              </c:numCache>
            </c:numRef>
          </c:xVal>
          <c:yVal>
            <c:numRef>
              <c:f>'-'!$D$70:$T$70</c:f>
              <c:numCache>
                <c:formatCode>General</c:formatCode>
                <c:ptCount val="17"/>
                <c:pt idx="0">
                  <c:v>-20.015013514645531</c:v>
                </c:pt>
                <c:pt idx="1">
                  <c:v>-15.018037388231788</c:v>
                </c:pt>
                <c:pt idx="2">
                  <c:v>-10.018922072326307</c:v>
                </c:pt>
                <c:pt idx="3">
                  <c:v>-5.0146407672864743</c:v>
                </c:pt>
                <c:pt idx="4">
                  <c:v>0</c:v>
                </c:pt>
                <c:pt idx="5">
                  <c:v>5.0318400432887049</c:v>
                </c:pt>
                <c:pt idx="6">
                  <c:v>10.089926696241555</c:v>
                </c:pt>
                <c:pt idx="7">
                  <c:v>15.188030009900345</c:v>
                </c:pt>
                <c:pt idx="8">
                  <c:v>20.345323670361086</c:v>
                </c:pt>
                <c:pt idx="9">
                  <c:v>25.588107093209565</c:v>
                </c:pt>
                <c:pt idx="10">
                  <c:v>30.952064987460023</c:v>
                </c:pt>
                <c:pt idx="11">
                  <c:v>36.485290660265164</c:v>
                </c:pt>
                <c:pt idx="12">
                  <c:v>42.252431030605784</c:v>
                </c:pt>
                <c:pt idx="13">
                  <c:v>48.340531885022699</c:v>
                </c:pt>
                <c:pt idx="14">
                  <c:v>54.867541151146177</c:v>
                </c:pt>
                <c:pt idx="15">
                  <c:v>61.995102124183596</c:v>
                </c:pt>
                <c:pt idx="16">
                  <c:v>69.948516122050691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C-8AE2-426E-86C6-2EDF886B1E8D}"/>
            </c:ext>
          </c:extLst>
        </c:ser>
        <c:ser>
          <c:idx val="42"/>
          <c:order val="29"/>
          <c:spPr>
            <a:ln w="3175">
              <a:solidFill>
                <a:srgbClr val="000000"/>
              </a:solidFill>
              <a:prstDash val="solid"/>
            </a:ln>
          </c:spPr>
          <c:marker>
            <c:symbol val="none"/>
          </c:marker>
          <c:xVal>
            <c:numRef>
              <c:f>'-'!$D$67:$T$67</c:f>
              <c:numCache>
                <c:formatCode>General</c:formatCode>
                <c:ptCount val="17"/>
                <c:pt idx="2">
                  <c:v>1.199067038535611</c:v>
                </c:pt>
                <c:pt idx="3">
                  <c:v>1.8558123631147272</c:v>
                </c:pt>
                <c:pt idx="4">
                  <c:v>2.8187401721956244</c:v>
                </c:pt>
                <c:pt idx="5">
                  <c:v>4.037953546927052</c:v>
                </c:pt>
                <c:pt idx="6">
                  <c:v>5.7044305519260865</c:v>
                </c:pt>
                <c:pt idx="7">
                  <c:v>7.9557973086628939</c:v>
                </c:pt>
                <c:pt idx="8">
                  <c:v>10.965884064962339</c:v>
                </c:pt>
                <c:pt idx="9">
                  <c:v>14.954097479349752</c:v>
                </c:pt>
                <c:pt idx="10">
                  <c:v>20.198072845908442</c:v>
                </c:pt>
                <c:pt idx="11">
                  <c:v>27.051270927523234</c:v>
                </c:pt>
                <c:pt idx="12">
                  <c:v>35.968185889994302</c:v>
                </c:pt>
                <c:pt idx="13">
                  <c:v>47.541534864586765</c:v>
                </c:pt>
                <c:pt idx="14">
                  <c:v>62.558807581174477</c:v>
                </c:pt>
                <c:pt idx="15">
                  <c:v>82.091092702128677</c:v>
                </c:pt>
                <c:pt idx="16">
                  <c:v>107.63779557316913</c:v>
                </c:pt>
              </c:numCache>
            </c:numRef>
          </c:xVal>
          <c:yVal>
            <c:numRef>
              <c:f>'-'!$D$68:$T$68</c:f>
              <c:numCache>
                <c:formatCode>General</c:formatCode>
                <c:ptCount val="17"/>
                <c:pt idx="2">
                  <c:v>-10.022081828630457</c:v>
                </c:pt>
                <c:pt idx="3">
                  <c:v>-5.0170881732445221</c:v>
                </c:pt>
                <c:pt idx="4">
                  <c:v>0</c:v>
                </c:pt>
                <c:pt idx="5">
                  <c:v>5.0371811564221991</c:v>
                </c:pt>
                <c:pt idx="6">
                  <c:v>10.105051889372103</c:v>
                </c:pt>
                <c:pt idx="7">
                  <c:v>15.219769054368015</c:v>
                </c:pt>
                <c:pt idx="8">
                  <c:v>20.403891967541185</c:v>
                </c:pt>
                <c:pt idx="9">
                  <c:v>25.688480725534422</c:v>
                </c:pt>
                <c:pt idx="10">
                  <c:v>31.115893529506625</c:v>
                </c:pt>
                <c:pt idx="11">
                  <c:v>36.743601720179967</c:v>
                </c:pt>
                <c:pt idx="12">
                  <c:v>42.649537653678792</c:v>
                </c:pt>
                <c:pt idx="13">
                  <c:v>48.939828186302883</c:v>
                </c:pt>
                <c:pt idx="14">
                  <c:v>55.760365450543794</c:v>
                </c:pt>
                <c:pt idx="15">
                  <c:v>63.314771072700751</c:v>
                </c:pt>
                <c:pt idx="16">
                  <c:v>71.893443550461072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D-8AE2-426E-86C6-2EDF886B1E8D}"/>
            </c:ext>
          </c:extLst>
        </c:ser>
        <c:ser>
          <c:idx val="41"/>
          <c:order val="30"/>
          <c:spPr>
            <a:ln w="3175">
              <a:solidFill>
                <a:srgbClr val="000000"/>
              </a:solidFill>
              <a:prstDash val="solid"/>
            </a:ln>
          </c:spPr>
          <c:marker>
            <c:symbol val="none"/>
          </c:marker>
          <c:xVal>
            <c:numRef>
              <c:f>'-'!$D$65:$T$65</c:f>
              <c:numCache>
                <c:formatCode>General</c:formatCode>
                <c:ptCount val="17"/>
                <c:pt idx="0">
                  <c:v>0.54361870709080673</c:v>
                </c:pt>
                <c:pt idx="1">
                  <c:v>0.87092650930983906</c:v>
                </c:pt>
                <c:pt idx="2">
                  <c:v>1.3707397023948227</c:v>
                </c:pt>
                <c:pt idx="3">
                  <c:v>2.1218325163374527</c:v>
                </c:pt>
                <c:pt idx="4">
                  <c:v>3.2235035358480615</c:v>
                </c:pt>
                <c:pt idx="5">
                  <c:v>4.6190864746746723</c:v>
                </c:pt>
                <c:pt idx="6">
                  <c:v>6.5278990361319016</c:v>
                </c:pt>
                <c:pt idx="7">
                  <c:v>9.1089787096255499</c:v>
                </c:pt>
                <c:pt idx="8">
                  <c:v>12.56407234294279</c:v>
                </c:pt>
                <c:pt idx="9">
                  <c:v>17.149278503847722</c:v>
                </c:pt>
                <c:pt idx="10">
                  <c:v>23.19105985999445</c:v>
                </c:pt>
                <c:pt idx="11">
                  <c:v>31.108955076661282</c:v>
                </c:pt>
                <c:pt idx="12">
                  <c:v>41.448794607937302</c:v>
                </c:pt>
                <c:pt idx="13">
                  <c:v>54.932803818225828</c:v>
                </c:pt>
                <c:pt idx="14">
                  <c:v>72.537675320012951</c:v>
                </c:pt>
                <c:pt idx="15">
                  <c:v>95.620661154705758</c:v>
                </c:pt>
                <c:pt idx="16">
                  <c:v>126.13179963008344</c:v>
                </c:pt>
              </c:numCache>
            </c:numRef>
          </c:xVal>
          <c:yVal>
            <c:numRef>
              <c:f>'-'!$D$66:$T$66</c:f>
              <c:numCache>
                <c:formatCode>General</c:formatCode>
                <c:ptCount val="17"/>
                <c:pt idx="0">
                  <c:v>-20.020022391983936</c:v>
                </c:pt>
                <c:pt idx="1">
                  <c:v>-15.02405826694034</c:v>
                </c:pt>
                <c:pt idx="2">
                  <c:v>-10.025243325212418</c:v>
                </c:pt>
                <c:pt idx="3">
                  <c:v>-5.019537665744493</c:v>
                </c:pt>
                <c:pt idx="4">
                  <c:v>0</c:v>
                </c:pt>
                <c:pt idx="5">
                  <c:v>5.042532182390568</c:v>
                </c:pt>
                <c:pt idx="6">
                  <c:v>10.120216754526785</c:v>
                </c:pt>
                <c:pt idx="7">
                  <c:v>15.251624263364905</c:v>
                </c:pt>
                <c:pt idx="8">
                  <c:v>20.46275593183908</c:v>
                </c:pt>
                <c:pt idx="9">
                  <c:v>25.789545990523681</c:v>
                </c:pt>
                <c:pt idx="10">
                  <c:v>31.281248653651179</c:v>
                </c:pt>
                <c:pt idx="11">
                  <c:v>37.005141559891733</c:v>
                </c:pt>
                <c:pt idx="12">
                  <c:v>43.053257741416374</c:v>
                </c:pt>
                <c:pt idx="13">
                  <c:v>49.552352158005448</c:v>
                </c:pt>
                <c:pt idx="14">
                  <c:v>56.679211687882379</c:v>
                </c:pt>
                <c:pt idx="15">
                  <c:v>64.685142213986538</c:v>
                </c:pt>
                <c:pt idx="16">
                  <c:v>73.936939444274572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E-8AE2-426E-86C6-2EDF886B1E8D}"/>
            </c:ext>
          </c:extLst>
        </c:ser>
        <c:ser>
          <c:idx val="40"/>
          <c:order val="31"/>
          <c:spPr>
            <a:ln w="3175">
              <a:solidFill>
                <a:srgbClr val="000000"/>
              </a:solidFill>
              <a:prstDash val="solid"/>
            </a:ln>
          </c:spPr>
          <c:marker>
            <c:symbol val="none"/>
          </c:marker>
          <c:xVal>
            <c:numRef>
              <c:f>'-'!$D$63:$T$63</c:f>
              <c:numCache>
                <c:formatCode>General</c:formatCode>
                <c:ptCount val="17"/>
                <c:pt idx="2">
                  <c:v>1.5425069433017784</c:v>
                </c:pt>
                <c:pt idx="3">
                  <c:v>2.3880795624103173</c:v>
                </c:pt>
                <c:pt idx="4">
                  <c:v>3.6287914903250349</c:v>
                </c:pt>
                <c:pt idx="5">
                  <c:v>5.2012989574389827</c:v>
                </c:pt>
                <c:pt idx="6">
                  <c:v>7.353530240578003</c:v>
                </c:pt>
                <c:pt idx="7">
                  <c:v>10.266388478833093</c:v>
                </c:pt>
                <c:pt idx="8">
                  <c:v>14.170349083296838</c:v>
                </c:pt>
                <c:pt idx="9">
                  <c:v>19.359637895340587</c:v>
                </c:pt>
                <c:pt idx="10">
                  <c:v>26.212066580100899</c:v>
                </c:pt>
                <c:pt idx="11">
                  <c:v>35.217677552873781</c:v>
                </c:pt>
                <c:pt idx="12">
                  <c:v>47.021444519767698</c:v>
                </c:pt>
                <c:pt idx="13">
                  <c:v>62.489033396346251</c:v>
                </c:pt>
                <c:pt idx="14">
                  <c:v>82.811684616771814</c:v>
                </c:pt>
                <c:pt idx="15">
                  <c:v>109.68022213317471</c:v>
                </c:pt>
                <c:pt idx="16">
                  <c:v>145.58744330524235</c:v>
                </c:pt>
              </c:numCache>
            </c:numRef>
          </c:xVal>
          <c:yVal>
            <c:numRef>
              <c:f>'-'!$D$64:$T$64</c:f>
              <c:numCache>
                <c:formatCode>General</c:formatCode>
                <c:ptCount val="17"/>
                <c:pt idx="2">
                  <c:v>-10.028406563510309</c:v>
                </c:pt>
                <c:pt idx="3">
                  <c:v>-5.0219892474558572</c:v>
                </c:pt>
                <c:pt idx="4">
                  <c:v>0</c:v>
                </c:pt>
                <c:pt idx="5">
                  <c:v>5.0478931488160219</c:v>
                </c:pt>
                <c:pt idx="6">
                  <c:v>10.135421447994803</c:v>
                </c:pt>
                <c:pt idx="7">
                  <c:v>15.283596275801429</c:v>
                </c:pt>
                <c:pt idx="8">
                  <c:v>20.521917807820437</c:v>
                </c:pt>
                <c:pt idx="9">
                  <c:v>25.891310061518155</c:v>
                </c:pt>
                <c:pt idx="10">
                  <c:v>31.448151797197653</c:v>
                </c:pt>
                <c:pt idx="11">
                  <c:v>37.269971097714937</c:v>
                </c:pt>
                <c:pt idx="12">
                  <c:v>43.463757893337338</c:v>
                </c:pt>
                <c:pt idx="13">
                  <c:v>50.178546628984336</c:v>
                </c:pt>
                <c:pt idx="14">
                  <c:v>57.625234326098791</c:v>
                </c:pt>
                <c:pt idx="15">
                  <c:v>66.109194776459177</c:v>
                </c:pt>
                <c:pt idx="16">
                  <c:v>76.086691755311932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F-8AE2-426E-86C6-2EDF886B1E8D}"/>
            </c:ext>
          </c:extLst>
        </c:ser>
        <c:ser>
          <c:idx val="39"/>
          <c:order val="32"/>
          <c:spPr>
            <a:ln w="25400">
              <a:solidFill>
                <a:srgbClr val="000000"/>
              </a:solidFill>
              <a:prstDash val="solid"/>
            </a:ln>
          </c:spPr>
          <c:marker>
            <c:symbol val="none"/>
          </c:marker>
          <c:xVal>
            <c:numRef>
              <c:f>'-'!$D$61:$T$61</c:f>
              <c:numCache>
                <c:formatCode>General</c:formatCode>
                <c:ptCount val="17"/>
                <c:pt idx="0">
                  <c:v>0.67967184188662499</c:v>
                </c:pt>
                <c:pt idx="1">
                  <c:v>1.0890392332050733</c:v>
                </c:pt>
                <c:pt idx="2">
                  <c:v>1.7143688394338854</c:v>
                </c:pt>
                <c:pt idx="3">
                  <c:v>2.6545537917379836</c:v>
                </c:pt>
                <c:pt idx="4">
                  <c:v>4.0346050561264439</c:v>
                </c:pt>
                <c:pt idx="5">
                  <c:v>5.7845940062071923</c:v>
                </c:pt>
                <c:pt idx="6">
                  <c:v>8.181332696572877</c:v>
                </c:pt>
                <c:pt idx="7">
                  <c:v>11.428049915226383</c:v>
                </c:pt>
                <c:pt idx="8">
                  <c:v>15.784775845602827</c:v>
                </c:pt>
                <c:pt idx="9">
                  <c:v>21.585333623990088</c:v>
                </c:pt>
                <c:pt idx="10">
                  <c:v>29.261488328455677</c:v>
                </c:pt>
                <c:pt idx="11">
                  <c:v>39.378407405358814</c:v>
                </c:pt>
                <c:pt idx="12">
                  <c:v>52.688473865619855</c:v>
                </c:pt>
                <c:pt idx="13">
                  <c:v>70.215808383711476</c:v>
                </c:pt>
                <c:pt idx="14">
                  <c:v>93.394125967033673</c:v>
                </c:pt>
                <c:pt idx="15">
                  <c:v>124.30153980679998</c:v>
                </c:pt>
                <c:pt idx="16">
                  <c:v>166.08173275780035</c:v>
                </c:pt>
              </c:numCache>
            </c:numRef>
          </c:xVal>
          <c:yVal>
            <c:numRef>
              <c:f>'-'!$D$62:$T$62</c:f>
              <c:numCache>
                <c:formatCode>General</c:formatCode>
                <c:ptCount val="17"/>
                <c:pt idx="0">
                  <c:v>-20.025033457938793</c:v>
                </c:pt>
                <c:pt idx="1">
                  <c:v>-15.030083360996457</c:v>
                </c:pt>
                <c:pt idx="2">
                  <c:v>-10.03157154496383</c:v>
                </c:pt>
                <c:pt idx="3">
                  <c:v>-5.0244429210526365</c:v>
                </c:pt>
                <c:pt idx="4">
                  <c:v>0</c:v>
                </c:pt>
                <c:pt idx="5">
                  <c:v>5.0532640834234916</c:v>
                </c:pt>
                <c:pt idx="6">
                  <c:v>10.150666126887382</c:v>
                </c:pt>
                <c:pt idx="7">
                  <c:v>15.315685735281996</c:v>
                </c:pt>
                <c:pt idx="8">
                  <c:v>20.581379862828143</c:v>
                </c:pt>
                <c:pt idx="9">
                  <c:v>25.993780211401521</c:v>
                </c:pt>
                <c:pt idx="10">
                  <c:v>31.616624800720622</c:v>
                </c:pt>
                <c:pt idx="11">
                  <c:v>37.538152794147386</c:v>
                </c:pt>
                <c:pt idx="12">
                  <c:v>43.881210352081304</c:v>
                </c:pt>
                <c:pt idx="13">
                  <c:v>50.818874417541238</c:v>
                </c:pt>
                <c:pt idx="14">
                  <c:v>58.599657143499144</c:v>
                </c:pt>
                <c:pt idx="15">
                  <c:v>67.59014606161945</c:v>
                </c:pt>
                <c:pt idx="16">
                  <c:v>78.351209282941113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20-8AE2-426E-86C6-2EDF886B1E8D}"/>
            </c:ext>
          </c:extLst>
        </c:ser>
        <c:ser>
          <c:idx val="30"/>
          <c:order val="33"/>
          <c:spPr>
            <a:ln w="3175">
              <a:solidFill>
                <a:srgbClr val="000000"/>
              </a:solidFill>
              <a:prstDash val="solid"/>
            </a:ln>
          </c:spPr>
          <c:marker>
            <c:symbol val="none"/>
          </c:marker>
          <c:xVal>
            <c:numRef>
              <c:f>'-'!$C$26:$G$26</c:f>
              <c:numCache>
                <c:formatCode>General</c:formatCode>
                <c:ptCount val="5"/>
                <c:pt idx="0">
                  <c:v>0</c:v>
                </c:pt>
                <c:pt idx="1">
                  <c:v>25</c:v>
                </c:pt>
              </c:numCache>
            </c:numRef>
          </c:xVal>
          <c:yVal>
            <c:numRef>
              <c:f>'-'!$C$43:$F$43</c:f>
              <c:numCache>
                <c:formatCode>General</c:formatCode>
                <c:ptCount val="4"/>
                <c:pt idx="0">
                  <c:v>39.603960396039604</c:v>
                </c:pt>
                <c:pt idx="1">
                  <c:v>-22.301980198019802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1-8AE2-426E-86C6-2EDF886B1E8D}"/>
            </c:ext>
          </c:extLst>
        </c:ser>
        <c:ser>
          <c:idx val="29"/>
          <c:order val="34"/>
          <c:spPr>
            <a:ln w="3175">
              <a:solidFill>
                <a:srgbClr val="000000"/>
              </a:solidFill>
              <a:prstDash val="solid"/>
            </a:ln>
          </c:spPr>
          <c:marker>
            <c:symbol val="none"/>
          </c:marker>
          <c:xVal>
            <c:numRef>
              <c:f>'-'!$C$26:$G$26</c:f>
              <c:numCache>
                <c:formatCode>General</c:formatCode>
                <c:ptCount val="5"/>
                <c:pt idx="0">
                  <c:v>0</c:v>
                </c:pt>
                <c:pt idx="1">
                  <c:v>25</c:v>
                </c:pt>
              </c:numCache>
            </c:numRef>
          </c:xVal>
          <c:yVal>
            <c:numRef>
              <c:f>'-'!$C$42:$F$42</c:f>
              <c:numCache>
                <c:formatCode>General</c:formatCode>
                <c:ptCount val="4"/>
                <c:pt idx="0">
                  <c:v>44.554455445544555</c:v>
                </c:pt>
                <c:pt idx="1">
                  <c:v>-17.35148514851485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2-8AE2-426E-86C6-2EDF886B1E8D}"/>
            </c:ext>
          </c:extLst>
        </c:ser>
        <c:ser>
          <c:idx val="28"/>
          <c:order val="35"/>
          <c:spPr>
            <a:ln w="3175">
              <a:solidFill>
                <a:srgbClr val="000000"/>
              </a:solidFill>
              <a:prstDash val="solid"/>
            </a:ln>
          </c:spPr>
          <c:marker>
            <c:symbol val="none"/>
          </c:marker>
          <c:xVal>
            <c:numRef>
              <c:f>'-'!$C$26:$G$26</c:f>
              <c:numCache>
                <c:formatCode>General</c:formatCode>
                <c:ptCount val="5"/>
                <c:pt idx="0">
                  <c:v>0</c:v>
                </c:pt>
                <c:pt idx="1">
                  <c:v>25</c:v>
                </c:pt>
              </c:numCache>
            </c:numRef>
          </c:xVal>
          <c:yVal>
            <c:numRef>
              <c:f>'-'!$C$41:$F$41</c:f>
              <c:numCache>
                <c:formatCode>General</c:formatCode>
                <c:ptCount val="4"/>
                <c:pt idx="0">
                  <c:v>49.504950495049506</c:v>
                </c:pt>
                <c:pt idx="1">
                  <c:v>-12.400990099009899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3-8AE2-426E-86C6-2EDF886B1E8D}"/>
            </c:ext>
          </c:extLst>
        </c:ser>
        <c:ser>
          <c:idx val="27"/>
          <c:order val="36"/>
          <c:tx>
            <c:v>55</c:v>
          </c:tx>
          <c:spPr>
            <a:ln w="3175">
              <a:solidFill>
                <a:srgbClr val="000000"/>
              </a:solidFill>
              <a:prstDash val="solid"/>
            </a:ln>
          </c:spPr>
          <c:marker>
            <c:symbol val="none"/>
          </c:marker>
          <c:xVal>
            <c:numRef>
              <c:f>'-'!$C$26:$G$26</c:f>
              <c:numCache>
                <c:formatCode>General</c:formatCode>
                <c:ptCount val="5"/>
                <c:pt idx="0">
                  <c:v>0</c:v>
                </c:pt>
                <c:pt idx="1">
                  <c:v>25</c:v>
                </c:pt>
              </c:numCache>
            </c:numRef>
          </c:xVal>
          <c:yVal>
            <c:numRef>
              <c:f>'-'!$C$40:$F$40</c:f>
              <c:numCache>
                <c:formatCode>General</c:formatCode>
                <c:ptCount val="4"/>
                <c:pt idx="0">
                  <c:v>54.455445544554458</c:v>
                </c:pt>
                <c:pt idx="1">
                  <c:v>-7.4504950495049487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4-8AE2-426E-86C6-2EDF886B1E8D}"/>
            </c:ext>
          </c:extLst>
        </c:ser>
        <c:ser>
          <c:idx val="26"/>
          <c:order val="37"/>
          <c:spPr>
            <a:ln w="3175">
              <a:solidFill>
                <a:srgbClr val="000000"/>
              </a:solidFill>
              <a:prstDash val="solid"/>
            </a:ln>
          </c:spPr>
          <c:marker>
            <c:symbol val="none"/>
          </c:marker>
          <c:xVal>
            <c:numRef>
              <c:f>'-'!$C$26:$G$26</c:f>
              <c:numCache>
                <c:formatCode>General</c:formatCode>
                <c:ptCount val="5"/>
                <c:pt idx="0">
                  <c:v>0</c:v>
                </c:pt>
                <c:pt idx="1">
                  <c:v>25</c:v>
                </c:pt>
              </c:numCache>
            </c:numRef>
          </c:xVal>
          <c:yVal>
            <c:numRef>
              <c:f>'-'!$C$39:$F$39</c:f>
              <c:numCache>
                <c:formatCode>General</c:formatCode>
                <c:ptCount val="4"/>
                <c:pt idx="0">
                  <c:v>59.405940594059409</c:v>
                </c:pt>
                <c:pt idx="1">
                  <c:v>-2.4999999999999987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5-8AE2-426E-86C6-2EDF886B1E8D}"/>
            </c:ext>
          </c:extLst>
        </c:ser>
        <c:ser>
          <c:idx val="25"/>
          <c:order val="38"/>
          <c:spPr>
            <a:ln w="3175">
              <a:solidFill>
                <a:srgbClr val="000000"/>
              </a:solidFill>
              <a:prstDash val="solid"/>
            </a:ln>
          </c:spPr>
          <c:marker>
            <c:symbol val="none"/>
          </c:marker>
          <c:xVal>
            <c:numRef>
              <c:f>'-'!$C$26:$G$26</c:f>
              <c:numCache>
                <c:formatCode>General</c:formatCode>
                <c:ptCount val="5"/>
                <c:pt idx="0">
                  <c:v>0</c:v>
                </c:pt>
                <c:pt idx="1">
                  <c:v>25</c:v>
                </c:pt>
              </c:numCache>
            </c:numRef>
          </c:xVal>
          <c:yVal>
            <c:numRef>
              <c:f>'-'!$C$38:$F$38</c:f>
              <c:numCache>
                <c:formatCode>General</c:formatCode>
                <c:ptCount val="4"/>
                <c:pt idx="0">
                  <c:v>64.356435643564353</c:v>
                </c:pt>
                <c:pt idx="1">
                  <c:v>2.4504950495049518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6-8AE2-426E-86C6-2EDF886B1E8D}"/>
            </c:ext>
          </c:extLst>
        </c:ser>
        <c:ser>
          <c:idx val="24"/>
          <c:order val="39"/>
          <c:spPr>
            <a:ln w="3175">
              <a:solidFill>
                <a:srgbClr val="000000"/>
              </a:solidFill>
              <a:prstDash val="solid"/>
            </a:ln>
          </c:spPr>
          <c:marker>
            <c:symbol val="none"/>
          </c:marker>
          <c:xVal>
            <c:numRef>
              <c:f>'-'!$C$26:$G$26</c:f>
              <c:numCache>
                <c:formatCode>General</c:formatCode>
                <c:ptCount val="5"/>
                <c:pt idx="0">
                  <c:v>0</c:v>
                </c:pt>
                <c:pt idx="1">
                  <c:v>25</c:v>
                </c:pt>
              </c:numCache>
            </c:numRef>
          </c:xVal>
          <c:yVal>
            <c:numRef>
              <c:f>'-'!$C$37:$F$37</c:f>
              <c:numCache>
                <c:formatCode>General</c:formatCode>
                <c:ptCount val="4"/>
                <c:pt idx="0">
                  <c:v>69.306930693069305</c:v>
                </c:pt>
                <c:pt idx="1">
                  <c:v>7.4009900990099027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7-8AE2-426E-86C6-2EDF886B1E8D}"/>
            </c:ext>
          </c:extLst>
        </c:ser>
        <c:ser>
          <c:idx val="23"/>
          <c:order val="40"/>
          <c:spPr>
            <a:ln w="3175">
              <a:solidFill>
                <a:srgbClr val="000000"/>
              </a:solidFill>
              <a:prstDash val="solid"/>
            </a:ln>
          </c:spPr>
          <c:marker>
            <c:symbol val="none"/>
          </c:marker>
          <c:xVal>
            <c:numRef>
              <c:f>'-'!$C$26:$G$26</c:f>
              <c:numCache>
                <c:formatCode>General</c:formatCode>
                <c:ptCount val="5"/>
                <c:pt idx="0">
                  <c:v>0</c:v>
                </c:pt>
                <c:pt idx="1">
                  <c:v>25</c:v>
                </c:pt>
              </c:numCache>
            </c:numRef>
          </c:xVal>
          <c:yVal>
            <c:numRef>
              <c:f>'-'!$C$36:$F$36</c:f>
              <c:numCache>
                <c:formatCode>General</c:formatCode>
                <c:ptCount val="4"/>
                <c:pt idx="0">
                  <c:v>74.257425742574256</c:v>
                </c:pt>
                <c:pt idx="1">
                  <c:v>12.351485148514852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8-8AE2-426E-86C6-2EDF886B1E8D}"/>
            </c:ext>
          </c:extLst>
        </c:ser>
        <c:ser>
          <c:idx val="22"/>
          <c:order val="41"/>
          <c:spPr>
            <a:ln w="3175">
              <a:solidFill>
                <a:srgbClr val="000000"/>
              </a:solidFill>
              <a:prstDash val="solid"/>
            </a:ln>
          </c:spPr>
          <c:marker>
            <c:symbol val="none"/>
          </c:marker>
          <c:xVal>
            <c:numRef>
              <c:f>'-'!$C$26:$G$26</c:f>
              <c:numCache>
                <c:formatCode>General</c:formatCode>
                <c:ptCount val="5"/>
                <c:pt idx="0">
                  <c:v>0</c:v>
                </c:pt>
                <c:pt idx="1">
                  <c:v>25</c:v>
                </c:pt>
              </c:numCache>
            </c:numRef>
          </c:xVal>
          <c:yVal>
            <c:numRef>
              <c:f>'-'!$C$35:$F$35</c:f>
              <c:numCache>
                <c:formatCode>General</c:formatCode>
                <c:ptCount val="4"/>
                <c:pt idx="0">
                  <c:v>79.207920792079207</c:v>
                </c:pt>
                <c:pt idx="1">
                  <c:v>17.301980198019802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9-8AE2-426E-86C6-2EDF886B1E8D}"/>
            </c:ext>
          </c:extLst>
        </c:ser>
        <c:ser>
          <c:idx val="21"/>
          <c:order val="42"/>
          <c:spPr>
            <a:ln w="3175">
              <a:solidFill>
                <a:srgbClr val="000000"/>
              </a:solidFill>
              <a:prstDash val="solid"/>
            </a:ln>
          </c:spPr>
          <c:marker>
            <c:symbol val="none"/>
          </c:marker>
          <c:xVal>
            <c:numRef>
              <c:f>'-'!$C$26:$G$26</c:f>
              <c:numCache>
                <c:formatCode>General</c:formatCode>
                <c:ptCount val="5"/>
                <c:pt idx="0">
                  <c:v>0</c:v>
                </c:pt>
                <c:pt idx="1">
                  <c:v>25</c:v>
                </c:pt>
              </c:numCache>
            </c:numRef>
          </c:xVal>
          <c:yVal>
            <c:numRef>
              <c:f>'-'!$C$34:$F$34</c:f>
              <c:numCache>
                <c:formatCode>General</c:formatCode>
                <c:ptCount val="4"/>
                <c:pt idx="0">
                  <c:v>84.158415841584159</c:v>
                </c:pt>
                <c:pt idx="1">
                  <c:v>22.252475247524753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A-8AE2-426E-86C6-2EDF886B1E8D}"/>
            </c:ext>
          </c:extLst>
        </c:ser>
        <c:ser>
          <c:idx val="20"/>
          <c:order val="43"/>
          <c:spPr>
            <a:ln w="3175">
              <a:solidFill>
                <a:srgbClr val="000000"/>
              </a:solidFill>
              <a:prstDash val="solid"/>
            </a:ln>
          </c:spPr>
          <c:marker>
            <c:symbol val="none"/>
          </c:marker>
          <c:xVal>
            <c:numRef>
              <c:f>'-'!$C$26:$D$26</c:f>
              <c:numCache>
                <c:formatCode>General</c:formatCode>
                <c:ptCount val="2"/>
                <c:pt idx="0">
                  <c:v>0</c:v>
                </c:pt>
                <c:pt idx="1">
                  <c:v>25</c:v>
                </c:pt>
              </c:numCache>
            </c:numRef>
          </c:xVal>
          <c:yVal>
            <c:numRef>
              <c:f>'-'!$C$33:$D$33</c:f>
              <c:numCache>
                <c:formatCode>General</c:formatCode>
                <c:ptCount val="2"/>
                <c:pt idx="0">
                  <c:v>89.10891089108911</c:v>
                </c:pt>
                <c:pt idx="1">
                  <c:v>27.202970297029704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B-8AE2-426E-86C6-2EDF886B1E8D}"/>
            </c:ext>
          </c:extLst>
        </c:ser>
        <c:ser>
          <c:idx val="19"/>
          <c:order val="44"/>
          <c:spPr>
            <a:ln w="3175">
              <a:solidFill>
                <a:srgbClr val="000000"/>
              </a:solidFill>
              <a:prstDash val="solid"/>
            </a:ln>
          </c:spPr>
          <c:marker>
            <c:symbol val="none"/>
          </c:marker>
          <c:xVal>
            <c:numRef>
              <c:f>'-'!$C$26:$D$26</c:f>
              <c:numCache>
                <c:formatCode>General</c:formatCode>
                <c:ptCount val="2"/>
                <c:pt idx="0">
                  <c:v>0</c:v>
                </c:pt>
                <c:pt idx="1">
                  <c:v>25</c:v>
                </c:pt>
              </c:numCache>
            </c:numRef>
          </c:xVal>
          <c:yVal>
            <c:numRef>
              <c:f>'-'!$C$32:$D$32</c:f>
              <c:numCache>
                <c:formatCode>General</c:formatCode>
                <c:ptCount val="2"/>
                <c:pt idx="0">
                  <c:v>94.059405940594061</c:v>
                </c:pt>
                <c:pt idx="1">
                  <c:v>32.153465346534652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C-8AE2-426E-86C6-2EDF886B1E8D}"/>
            </c:ext>
          </c:extLst>
        </c:ser>
        <c:ser>
          <c:idx val="18"/>
          <c:order val="45"/>
          <c:spPr>
            <a:ln w="3175">
              <a:solidFill>
                <a:srgbClr val="000000"/>
              </a:solidFill>
              <a:prstDash val="solid"/>
            </a:ln>
          </c:spPr>
          <c:marker>
            <c:symbol val="none"/>
          </c:marker>
          <c:xVal>
            <c:numRef>
              <c:f>'-'!$C$26:$D$26</c:f>
              <c:numCache>
                <c:formatCode>General</c:formatCode>
                <c:ptCount val="2"/>
                <c:pt idx="0">
                  <c:v>0</c:v>
                </c:pt>
                <c:pt idx="1">
                  <c:v>25</c:v>
                </c:pt>
              </c:numCache>
            </c:numRef>
          </c:xVal>
          <c:yVal>
            <c:numRef>
              <c:f>'-'!$C$31:$FD$31</c:f>
              <c:numCache>
                <c:formatCode>General</c:formatCode>
                <c:ptCount val="158"/>
                <c:pt idx="0">
                  <c:v>99.009900990099013</c:v>
                </c:pt>
                <c:pt idx="1">
                  <c:v>37.103960396039604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D-8AE2-426E-86C6-2EDF886B1E8D}"/>
            </c:ext>
          </c:extLst>
        </c:ser>
        <c:ser>
          <c:idx val="17"/>
          <c:order val="46"/>
          <c:spPr>
            <a:ln w="3175">
              <a:solidFill>
                <a:srgbClr val="000000"/>
              </a:solidFill>
              <a:prstDash val="solid"/>
            </a:ln>
          </c:spPr>
          <c:marker>
            <c:symbol val="none"/>
          </c:marker>
          <c:xVal>
            <c:numRef>
              <c:f>'-'!$C$26:$D$26</c:f>
              <c:numCache>
                <c:formatCode>General</c:formatCode>
                <c:ptCount val="2"/>
                <c:pt idx="0">
                  <c:v>0</c:v>
                </c:pt>
                <c:pt idx="1">
                  <c:v>25</c:v>
                </c:pt>
              </c:numCache>
            </c:numRef>
          </c:xVal>
          <c:yVal>
            <c:numRef>
              <c:f>'-'!$C$30:$D$30</c:f>
              <c:numCache>
                <c:formatCode>General</c:formatCode>
                <c:ptCount val="2"/>
                <c:pt idx="0">
                  <c:v>103.96039603960396</c:v>
                </c:pt>
                <c:pt idx="1">
                  <c:v>42.054455445544555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E-8AE2-426E-86C6-2EDF886B1E8D}"/>
            </c:ext>
          </c:extLst>
        </c:ser>
        <c:ser>
          <c:idx val="16"/>
          <c:order val="47"/>
          <c:spPr>
            <a:ln w="3175">
              <a:solidFill>
                <a:srgbClr val="000000"/>
              </a:solidFill>
              <a:prstDash val="solid"/>
            </a:ln>
          </c:spPr>
          <c:marker>
            <c:symbol val="none"/>
          </c:marker>
          <c:xVal>
            <c:numRef>
              <c:f>'-'!$C$26:$D$26</c:f>
              <c:numCache>
                <c:formatCode>General</c:formatCode>
                <c:ptCount val="2"/>
                <c:pt idx="0">
                  <c:v>0</c:v>
                </c:pt>
                <c:pt idx="1">
                  <c:v>25</c:v>
                </c:pt>
              </c:numCache>
            </c:numRef>
          </c:xVal>
          <c:yVal>
            <c:numRef>
              <c:f>'-'!$C$29:$D$29</c:f>
              <c:numCache>
                <c:formatCode>General</c:formatCode>
                <c:ptCount val="2"/>
                <c:pt idx="0">
                  <c:v>108.91089108910892</c:v>
                </c:pt>
                <c:pt idx="1">
                  <c:v>47.004950495049506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F-8AE2-426E-86C6-2EDF886B1E8D}"/>
            </c:ext>
          </c:extLst>
        </c:ser>
        <c:ser>
          <c:idx val="15"/>
          <c:order val="48"/>
          <c:spPr>
            <a:ln w="3175">
              <a:solidFill>
                <a:srgbClr val="000000"/>
              </a:solidFill>
              <a:prstDash val="solid"/>
            </a:ln>
          </c:spPr>
          <c:marker>
            <c:symbol val="none"/>
          </c:marker>
          <c:xVal>
            <c:numRef>
              <c:f>'-'!$C$26:$D$26</c:f>
              <c:numCache>
                <c:formatCode>General</c:formatCode>
                <c:ptCount val="2"/>
                <c:pt idx="0">
                  <c:v>0</c:v>
                </c:pt>
                <c:pt idx="1">
                  <c:v>25</c:v>
                </c:pt>
              </c:numCache>
            </c:numRef>
          </c:xVal>
          <c:yVal>
            <c:numRef>
              <c:f>'-'!$C$28:$D$28</c:f>
              <c:numCache>
                <c:formatCode>General</c:formatCode>
                <c:ptCount val="2"/>
                <c:pt idx="0">
                  <c:v>113.86138613861387</c:v>
                </c:pt>
                <c:pt idx="1">
                  <c:v>51.955445544554458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0-8AE2-426E-86C6-2EDF886B1E8D}"/>
            </c:ext>
          </c:extLst>
        </c:ser>
        <c:ser>
          <c:idx val="10"/>
          <c:order val="49"/>
          <c:spPr>
            <a:ln w="3175">
              <a:solidFill>
                <a:srgbClr val="000000"/>
              </a:solidFill>
              <a:prstDash val="solid"/>
            </a:ln>
          </c:spPr>
          <c:marker>
            <c:symbol val="none"/>
          </c:marker>
          <c:xVal>
            <c:numRef>
              <c:f>'-'!$C$6:$R$6</c:f>
              <c:numCache>
                <c:formatCode>General</c:formatCode>
                <c:ptCount val="16"/>
                <c:pt idx="0">
                  <c:v>0</c:v>
                </c:pt>
                <c:pt idx="1">
                  <c:v>2</c:v>
                </c:pt>
                <c:pt idx="2">
                  <c:v>4</c:v>
                </c:pt>
                <c:pt idx="3">
                  <c:v>6</c:v>
                </c:pt>
                <c:pt idx="4">
                  <c:v>8</c:v>
                </c:pt>
                <c:pt idx="5">
                  <c:v>10</c:v>
                </c:pt>
                <c:pt idx="6">
                  <c:v>12</c:v>
                </c:pt>
                <c:pt idx="7">
                  <c:v>14</c:v>
                </c:pt>
                <c:pt idx="8">
                  <c:v>16</c:v>
                </c:pt>
                <c:pt idx="9">
                  <c:v>18</c:v>
                </c:pt>
                <c:pt idx="10">
                  <c:v>20</c:v>
                </c:pt>
                <c:pt idx="11">
                  <c:v>22</c:v>
                </c:pt>
                <c:pt idx="12">
                  <c:v>24</c:v>
                </c:pt>
                <c:pt idx="13">
                  <c:v>26</c:v>
                </c:pt>
                <c:pt idx="14">
                  <c:v>28</c:v>
                </c:pt>
                <c:pt idx="15">
                  <c:v>30</c:v>
                </c:pt>
              </c:numCache>
            </c:numRef>
          </c:xVal>
          <c:yVal>
            <c:numRef>
              <c:f>'-'!$C$18:$R$18</c:f>
              <c:numCache>
                <c:formatCode>General</c:formatCode>
                <c:ptCount val="1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1-8AE2-426E-86C6-2EDF886B1E8D}"/>
            </c:ext>
          </c:extLst>
        </c:ser>
        <c:ser>
          <c:idx val="13"/>
          <c:order val="50"/>
          <c:spPr>
            <a:ln w="3175">
              <a:solidFill>
                <a:srgbClr val="000000"/>
              </a:solidFill>
              <a:prstDash val="solid"/>
            </a:ln>
          </c:spPr>
          <c:marker>
            <c:symbol val="none"/>
          </c:marker>
          <c:xVal>
            <c:numRef>
              <c:f>'-'!$C$6:$R$6</c:f>
              <c:numCache>
                <c:formatCode>General</c:formatCode>
                <c:ptCount val="16"/>
                <c:pt idx="0">
                  <c:v>0</c:v>
                </c:pt>
                <c:pt idx="1">
                  <c:v>2</c:v>
                </c:pt>
                <c:pt idx="2">
                  <c:v>4</c:v>
                </c:pt>
                <c:pt idx="3">
                  <c:v>6</c:v>
                </c:pt>
                <c:pt idx="4">
                  <c:v>8</c:v>
                </c:pt>
                <c:pt idx="5">
                  <c:v>10</c:v>
                </c:pt>
                <c:pt idx="6">
                  <c:v>12</c:v>
                </c:pt>
                <c:pt idx="7">
                  <c:v>14</c:v>
                </c:pt>
                <c:pt idx="8">
                  <c:v>16</c:v>
                </c:pt>
                <c:pt idx="9">
                  <c:v>18</c:v>
                </c:pt>
                <c:pt idx="10">
                  <c:v>20</c:v>
                </c:pt>
                <c:pt idx="11">
                  <c:v>22</c:v>
                </c:pt>
                <c:pt idx="12">
                  <c:v>24</c:v>
                </c:pt>
                <c:pt idx="13">
                  <c:v>26</c:v>
                </c:pt>
                <c:pt idx="14">
                  <c:v>28</c:v>
                </c:pt>
                <c:pt idx="15">
                  <c:v>30</c:v>
                </c:pt>
              </c:numCache>
            </c:numRef>
          </c:xVal>
          <c:yVal>
            <c:numRef>
              <c:f>'-'!$C$21:$R$21</c:f>
              <c:numCache>
                <c:formatCode>General</c:formatCode>
                <c:ptCount val="16"/>
                <c:pt idx="0">
                  <c:v>-15</c:v>
                </c:pt>
                <c:pt idx="1">
                  <c:v>-15.055247524752476</c:v>
                </c:pt>
                <c:pt idx="2">
                  <c:v>-15.11049504950495</c:v>
                </c:pt>
                <c:pt idx="3">
                  <c:v>-15.165742574257427</c:v>
                </c:pt>
                <c:pt idx="4">
                  <c:v>-15.220990099009901</c:v>
                </c:pt>
                <c:pt idx="5">
                  <c:v>-15.276237623762377</c:v>
                </c:pt>
                <c:pt idx="6">
                  <c:v>-15.331485148514851</c:v>
                </c:pt>
                <c:pt idx="7">
                  <c:v>-15.386732673267327</c:v>
                </c:pt>
                <c:pt idx="8">
                  <c:v>-15.441980198019802</c:v>
                </c:pt>
                <c:pt idx="9">
                  <c:v>-15.497227722772278</c:v>
                </c:pt>
                <c:pt idx="10">
                  <c:v>-15.552475247524752</c:v>
                </c:pt>
                <c:pt idx="11">
                  <c:v>-15.607722772277228</c:v>
                </c:pt>
                <c:pt idx="12">
                  <c:v>-15.662970297029704</c:v>
                </c:pt>
                <c:pt idx="13">
                  <c:v>-15.718217821782179</c:v>
                </c:pt>
                <c:pt idx="14">
                  <c:v>-15.773465346534653</c:v>
                </c:pt>
                <c:pt idx="15">
                  <c:v>-15.828712871287129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32-8AE2-426E-86C6-2EDF886B1E8D}"/>
            </c:ext>
          </c:extLst>
        </c:ser>
        <c:ser>
          <c:idx val="12"/>
          <c:order val="51"/>
          <c:spPr>
            <a:ln w="3175">
              <a:solidFill>
                <a:srgbClr val="000000"/>
              </a:solidFill>
              <a:prstDash val="solid"/>
            </a:ln>
          </c:spPr>
          <c:marker>
            <c:symbol val="none"/>
          </c:marker>
          <c:xVal>
            <c:numRef>
              <c:f>'-'!$C$6:$R$6</c:f>
              <c:numCache>
                <c:formatCode>General</c:formatCode>
                <c:ptCount val="16"/>
                <c:pt idx="0">
                  <c:v>0</c:v>
                </c:pt>
                <c:pt idx="1">
                  <c:v>2</c:v>
                </c:pt>
                <c:pt idx="2">
                  <c:v>4</c:v>
                </c:pt>
                <c:pt idx="3">
                  <c:v>6</c:v>
                </c:pt>
                <c:pt idx="4">
                  <c:v>8</c:v>
                </c:pt>
                <c:pt idx="5">
                  <c:v>10</c:v>
                </c:pt>
                <c:pt idx="6">
                  <c:v>12</c:v>
                </c:pt>
                <c:pt idx="7">
                  <c:v>14</c:v>
                </c:pt>
                <c:pt idx="8">
                  <c:v>16</c:v>
                </c:pt>
                <c:pt idx="9">
                  <c:v>18</c:v>
                </c:pt>
                <c:pt idx="10">
                  <c:v>20</c:v>
                </c:pt>
                <c:pt idx="11">
                  <c:v>22</c:v>
                </c:pt>
                <c:pt idx="12">
                  <c:v>24</c:v>
                </c:pt>
                <c:pt idx="13">
                  <c:v>26</c:v>
                </c:pt>
                <c:pt idx="14">
                  <c:v>28</c:v>
                </c:pt>
                <c:pt idx="15">
                  <c:v>30</c:v>
                </c:pt>
              </c:numCache>
            </c:numRef>
          </c:xVal>
          <c:yVal>
            <c:numRef>
              <c:f>'-'!$C$20:$R$20</c:f>
              <c:numCache>
                <c:formatCode>General</c:formatCode>
                <c:ptCount val="16"/>
                <c:pt idx="0">
                  <c:v>-10</c:v>
                </c:pt>
                <c:pt idx="1">
                  <c:v>-10.036831683168316</c:v>
                </c:pt>
                <c:pt idx="2">
                  <c:v>-10.073663366336634</c:v>
                </c:pt>
                <c:pt idx="3">
                  <c:v>-10.11049504950495</c:v>
                </c:pt>
                <c:pt idx="4">
                  <c:v>-10.147326732673266</c:v>
                </c:pt>
                <c:pt idx="5">
                  <c:v>-10.184158415841583</c:v>
                </c:pt>
                <c:pt idx="6">
                  <c:v>-10.220990099009901</c:v>
                </c:pt>
                <c:pt idx="7">
                  <c:v>-10.257821782178217</c:v>
                </c:pt>
                <c:pt idx="8">
                  <c:v>-10.294653465346533</c:v>
                </c:pt>
                <c:pt idx="9">
                  <c:v>-10.331485148514851</c:v>
                </c:pt>
                <c:pt idx="10">
                  <c:v>-10.368316831683169</c:v>
                </c:pt>
                <c:pt idx="11">
                  <c:v>-10.405148514851485</c:v>
                </c:pt>
                <c:pt idx="12">
                  <c:v>-10.441980198019802</c:v>
                </c:pt>
                <c:pt idx="13">
                  <c:v>-10.47881188118812</c:v>
                </c:pt>
                <c:pt idx="14">
                  <c:v>-10.515643564356434</c:v>
                </c:pt>
                <c:pt idx="15">
                  <c:v>-10.552475247524752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33-8AE2-426E-86C6-2EDF886B1E8D}"/>
            </c:ext>
          </c:extLst>
        </c:ser>
        <c:ser>
          <c:idx val="11"/>
          <c:order val="52"/>
          <c:spPr>
            <a:ln w="3175">
              <a:solidFill>
                <a:srgbClr val="000000"/>
              </a:solidFill>
              <a:prstDash val="solid"/>
            </a:ln>
          </c:spPr>
          <c:marker>
            <c:symbol val="none"/>
          </c:marker>
          <c:xVal>
            <c:numRef>
              <c:f>'-'!$C$6:$R$6</c:f>
              <c:numCache>
                <c:formatCode>General</c:formatCode>
                <c:ptCount val="16"/>
                <c:pt idx="0">
                  <c:v>0</c:v>
                </c:pt>
                <c:pt idx="1">
                  <c:v>2</c:v>
                </c:pt>
                <c:pt idx="2">
                  <c:v>4</c:v>
                </c:pt>
                <c:pt idx="3">
                  <c:v>6</c:v>
                </c:pt>
                <c:pt idx="4">
                  <c:v>8</c:v>
                </c:pt>
                <c:pt idx="5">
                  <c:v>10</c:v>
                </c:pt>
                <c:pt idx="6">
                  <c:v>12</c:v>
                </c:pt>
                <c:pt idx="7">
                  <c:v>14</c:v>
                </c:pt>
                <c:pt idx="8">
                  <c:v>16</c:v>
                </c:pt>
                <c:pt idx="9">
                  <c:v>18</c:v>
                </c:pt>
                <c:pt idx="10">
                  <c:v>20</c:v>
                </c:pt>
                <c:pt idx="11">
                  <c:v>22</c:v>
                </c:pt>
                <c:pt idx="12">
                  <c:v>24</c:v>
                </c:pt>
                <c:pt idx="13">
                  <c:v>26</c:v>
                </c:pt>
                <c:pt idx="14">
                  <c:v>28</c:v>
                </c:pt>
                <c:pt idx="15">
                  <c:v>30</c:v>
                </c:pt>
              </c:numCache>
            </c:numRef>
          </c:xVal>
          <c:yVal>
            <c:numRef>
              <c:f>'-'!$C$19:$R$19</c:f>
              <c:numCache>
                <c:formatCode>General</c:formatCode>
                <c:ptCount val="16"/>
                <c:pt idx="0">
                  <c:v>-5</c:v>
                </c:pt>
                <c:pt idx="1">
                  <c:v>-5.018415841584158</c:v>
                </c:pt>
                <c:pt idx="2">
                  <c:v>-5.0368316831683169</c:v>
                </c:pt>
                <c:pt idx="3">
                  <c:v>-5.0552475247524749</c:v>
                </c:pt>
                <c:pt idx="4">
                  <c:v>-5.0736633663366328</c:v>
                </c:pt>
                <c:pt idx="5">
                  <c:v>-5.0920792079207917</c:v>
                </c:pt>
                <c:pt idx="6">
                  <c:v>-5.1104950495049506</c:v>
                </c:pt>
                <c:pt idx="7">
                  <c:v>-5.1289108910891086</c:v>
                </c:pt>
                <c:pt idx="8">
                  <c:v>-5.1473267326732666</c:v>
                </c:pt>
                <c:pt idx="9">
                  <c:v>-5.1657425742574254</c:v>
                </c:pt>
                <c:pt idx="10">
                  <c:v>-5.1841584158415843</c:v>
                </c:pt>
                <c:pt idx="11">
                  <c:v>-5.2025742574257423</c:v>
                </c:pt>
                <c:pt idx="12">
                  <c:v>-5.2209900990099012</c:v>
                </c:pt>
                <c:pt idx="13">
                  <c:v>-5.2394059405940601</c:v>
                </c:pt>
                <c:pt idx="14">
                  <c:v>-5.2578217821782172</c:v>
                </c:pt>
                <c:pt idx="15">
                  <c:v>-5.276237623762376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34-8AE2-426E-86C6-2EDF886B1E8D}"/>
            </c:ext>
          </c:extLst>
        </c:ser>
        <c:ser>
          <c:idx val="9"/>
          <c:order val="53"/>
          <c:spPr>
            <a:ln w="3175">
              <a:solidFill>
                <a:srgbClr val="000000"/>
              </a:solidFill>
              <a:prstDash val="solid"/>
            </a:ln>
          </c:spPr>
          <c:marker>
            <c:symbol val="none"/>
          </c:marker>
          <c:xVal>
            <c:numRef>
              <c:f>'-'!$C$6:$R$6</c:f>
              <c:numCache>
                <c:formatCode>General</c:formatCode>
                <c:ptCount val="16"/>
                <c:pt idx="0">
                  <c:v>0</c:v>
                </c:pt>
                <c:pt idx="1">
                  <c:v>2</c:v>
                </c:pt>
                <c:pt idx="2">
                  <c:v>4</c:v>
                </c:pt>
                <c:pt idx="3">
                  <c:v>6</c:v>
                </c:pt>
                <c:pt idx="4">
                  <c:v>8</c:v>
                </c:pt>
                <c:pt idx="5">
                  <c:v>10</c:v>
                </c:pt>
                <c:pt idx="6">
                  <c:v>12</c:v>
                </c:pt>
                <c:pt idx="7">
                  <c:v>14</c:v>
                </c:pt>
                <c:pt idx="8">
                  <c:v>16</c:v>
                </c:pt>
                <c:pt idx="9">
                  <c:v>18</c:v>
                </c:pt>
                <c:pt idx="10">
                  <c:v>20</c:v>
                </c:pt>
                <c:pt idx="11">
                  <c:v>22</c:v>
                </c:pt>
                <c:pt idx="12">
                  <c:v>24</c:v>
                </c:pt>
                <c:pt idx="13">
                  <c:v>26</c:v>
                </c:pt>
                <c:pt idx="14">
                  <c:v>28</c:v>
                </c:pt>
                <c:pt idx="15">
                  <c:v>30</c:v>
                </c:pt>
              </c:numCache>
            </c:numRef>
          </c:xVal>
          <c:yVal>
            <c:numRef>
              <c:f>'-'!$C$17:$R$17</c:f>
              <c:numCache>
                <c:formatCode>General</c:formatCode>
                <c:ptCount val="16"/>
                <c:pt idx="0">
                  <c:v>5</c:v>
                </c:pt>
                <c:pt idx="1">
                  <c:v>5.018415841584158</c:v>
                </c:pt>
                <c:pt idx="2">
                  <c:v>5.0368316831683169</c:v>
                </c:pt>
                <c:pt idx="3">
                  <c:v>5.0552475247524749</c:v>
                </c:pt>
                <c:pt idx="4">
                  <c:v>5.0736633663366328</c:v>
                </c:pt>
                <c:pt idx="5">
                  <c:v>5.0920792079207917</c:v>
                </c:pt>
                <c:pt idx="6">
                  <c:v>5.1104950495049506</c:v>
                </c:pt>
                <c:pt idx="7">
                  <c:v>5.1289108910891086</c:v>
                </c:pt>
                <c:pt idx="8">
                  <c:v>5.1473267326732666</c:v>
                </c:pt>
                <c:pt idx="9">
                  <c:v>5.1657425742574254</c:v>
                </c:pt>
                <c:pt idx="10">
                  <c:v>5.1841584158415843</c:v>
                </c:pt>
                <c:pt idx="11">
                  <c:v>5.2025742574257423</c:v>
                </c:pt>
                <c:pt idx="12">
                  <c:v>5.2209900990099012</c:v>
                </c:pt>
                <c:pt idx="13">
                  <c:v>5.2394059405940601</c:v>
                </c:pt>
                <c:pt idx="14">
                  <c:v>5.2578217821782172</c:v>
                </c:pt>
                <c:pt idx="15">
                  <c:v>5.276237623762376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35-8AE2-426E-86C6-2EDF886B1E8D}"/>
            </c:ext>
          </c:extLst>
        </c:ser>
        <c:ser>
          <c:idx val="8"/>
          <c:order val="54"/>
          <c:spPr>
            <a:ln w="3175">
              <a:solidFill>
                <a:srgbClr val="000000"/>
              </a:solidFill>
              <a:prstDash val="solid"/>
            </a:ln>
          </c:spPr>
          <c:marker>
            <c:symbol val="none"/>
          </c:marker>
          <c:xVal>
            <c:numRef>
              <c:f>'-'!$C$6:$R$6</c:f>
              <c:numCache>
                <c:formatCode>General</c:formatCode>
                <c:ptCount val="16"/>
                <c:pt idx="0">
                  <c:v>0</c:v>
                </c:pt>
                <c:pt idx="1">
                  <c:v>2</c:v>
                </c:pt>
                <c:pt idx="2">
                  <c:v>4</c:v>
                </c:pt>
                <c:pt idx="3">
                  <c:v>6</c:v>
                </c:pt>
                <c:pt idx="4">
                  <c:v>8</c:v>
                </c:pt>
                <c:pt idx="5">
                  <c:v>10</c:v>
                </c:pt>
                <c:pt idx="6">
                  <c:v>12</c:v>
                </c:pt>
                <c:pt idx="7">
                  <c:v>14</c:v>
                </c:pt>
                <c:pt idx="8">
                  <c:v>16</c:v>
                </c:pt>
                <c:pt idx="9">
                  <c:v>18</c:v>
                </c:pt>
                <c:pt idx="10">
                  <c:v>20</c:v>
                </c:pt>
                <c:pt idx="11">
                  <c:v>22</c:v>
                </c:pt>
                <c:pt idx="12">
                  <c:v>24</c:v>
                </c:pt>
                <c:pt idx="13">
                  <c:v>26</c:v>
                </c:pt>
                <c:pt idx="14">
                  <c:v>28</c:v>
                </c:pt>
                <c:pt idx="15">
                  <c:v>30</c:v>
                </c:pt>
              </c:numCache>
            </c:numRef>
          </c:xVal>
          <c:yVal>
            <c:numRef>
              <c:f>'-'!$C$16:$R$16</c:f>
              <c:numCache>
                <c:formatCode>General</c:formatCode>
                <c:ptCount val="16"/>
                <c:pt idx="0">
                  <c:v>10</c:v>
                </c:pt>
                <c:pt idx="1">
                  <c:v>10.036831683168316</c:v>
                </c:pt>
                <c:pt idx="2">
                  <c:v>10.073663366336634</c:v>
                </c:pt>
                <c:pt idx="3">
                  <c:v>10.11049504950495</c:v>
                </c:pt>
                <c:pt idx="4">
                  <c:v>10.147326732673266</c:v>
                </c:pt>
                <c:pt idx="5">
                  <c:v>10.184158415841583</c:v>
                </c:pt>
                <c:pt idx="6">
                  <c:v>10.220990099009901</c:v>
                </c:pt>
                <c:pt idx="7">
                  <c:v>10.257821782178217</c:v>
                </c:pt>
                <c:pt idx="8">
                  <c:v>10.294653465346533</c:v>
                </c:pt>
                <c:pt idx="9">
                  <c:v>10.331485148514851</c:v>
                </c:pt>
                <c:pt idx="10">
                  <c:v>10.368316831683169</c:v>
                </c:pt>
                <c:pt idx="11">
                  <c:v>10.405148514851485</c:v>
                </c:pt>
                <c:pt idx="12">
                  <c:v>10.441980198019802</c:v>
                </c:pt>
                <c:pt idx="13">
                  <c:v>10.47881188118812</c:v>
                </c:pt>
                <c:pt idx="14">
                  <c:v>10.515643564356434</c:v>
                </c:pt>
                <c:pt idx="15">
                  <c:v>10.552475247524752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36-8AE2-426E-86C6-2EDF886B1E8D}"/>
            </c:ext>
          </c:extLst>
        </c:ser>
        <c:ser>
          <c:idx val="7"/>
          <c:order val="55"/>
          <c:spPr>
            <a:ln w="3175">
              <a:solidFill>
                <a:srgbClr val="000000"/>
              </a:solidFill>
              <a:prstDash val="solid"/>
            </a:ln>
          </c:spPr>
          <c:marker>
            <c:symbol val="none"/>
          </c:marker>
          <c:xVal>
            <c:numRef>
              <c:f>'-'!$C$6:$R$6</c:f>
              <c:numCache>
                <c:formatCode>General</c:formatCode>
                <c:ptCount val="16"/>
                <c:pt idx="0">
                  <c:v>0</c:v>
                </c:pt>
                <c:pt idx="1">
                  <c:v>2</c:v>
                </c:pt>
                <c:pt idx="2">
                  <c:v>4</c:v>
                </c:pt>
                <c:pt idx="3">
                  <c:v>6</c:v>
                </c:pt>
                <c:pt idx="4">
                  <c:v>8</c:v>
                </c:pt>
                <c:pt idx="5">
                  <c:v>10</c:v>
                </c:pt>
                <c:pt idx="6">
                  <c:v>12</c:v>
                </c:pt>
                <c:pt idx="7">
                  <c:v>14</c:v>
                </c:pt>
                <c:pt idx="8">
                  <c:v>16</c:v>
                </c:pt>
                <c:pt idx="9">
                  <c:v>18</c:v>
                </c:pt>
                <c:pt idx="10">
                  <c:v>20</c:v>
                </c:pt>
                <c:pt idx="11">
                  <c:v>22</c:v>
                </c:pt>
                <c:pt idx="12">
                  <c:v>24</c:v>
                </c:pt>
                <c:pt idx="13">
                  <c:v>26</c:v>
                </c:pt>
                <c:pt idx="14">
                  <c:v>28</c:v>
                </c:pt>
                <c:pt idx="15">
                  <c:v>30</c:v>
                </c:pt>
              </c:numCache>
            </c:numRef>
          </c:xVal>
          <c:yVal>
            <c:numRef>
              <c:f>'-'!$C$15:$R$15</c:f>
              <c:numCache>
                <c:formatCode>General</c:formatCode>
                <c:ptCount val="16"/>
                <c:pt idx="0">
                  <c:v>15</c:v>
                </c:pt>
                <c:pt idx="1">
                  <c:v>15.055247524752476</c:v>
                </c:pt>
                <c:pt idx="2">
                  <c:v>15.11049504950495</c:v>
                </c:pt>
                <c:pt idx="3">
                  <c:v>15.165742574257427</c:v>
                </c:pt>
                <c:pt idx="4">
                  <c:v>15.220990099009901</c:v>
                </c:pt>
                <c:pt idx="5">
                  <c:v>15.276237623762377</c:v>
                </c:pt>
                <c:pt idx="6">
                  <c:v>15.331485148514851</c:v>
                </c:pt>
                <c:pt idx="7">
                  <c:v>15.386732673267327</c:v>
                </c:pt>
                <c:pt idx="8">
                  <c:v>15.441980198019802</c:v>
                </c:pt>
                <c:pt idx="9">
                  <c:v>15.497227722772278</c:v>
                </c:pt>
                <c:pt idx="10">
                  <c:v>15.552475247524752</c:v>
                </c:pt>
                <c:pt idx="11">
                  <c:v>15.607722772277228</c:v>
                </c:pt>
                <c:pt idx="12">
                  <c:v>15.662970297029704</c:v>
                </c:pt>
                <c:pt idx="13">
                  <c:v>15.718217821782179</c:v>
                </c:pt>
                <c:pt idx="14">
                  <c:v>15.773465346534653</c:v>
                </c:pt>
                <c:pt idx="15">
                  <c:v>15.828712871287129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37-8AE2-426E-86C6-2EDF886B1E8D}"/>
            </c:ext>
          </c:extLst>
        </c:ser>
        <c:ser>
          <c:idx val="6"/>
          <c:order val="56"/>
          <c:spPr>
            <a:ln w="3175">
              <a:solidFill>
                <a:srgbClr val="000000"/>
              </a:solidFill>
              <a:prstDash val="solid"/>
            </a:ln>
          </c:spPr>
          <c:marker>
            <c:symbol val="none"/>
          </c:marker>
          <c:xVal>
            <c:numRef>
              <c:f>'-'!$C$6:$R$6</c:f>
              <c:numCache>
                <c:formatCode>General</c:formatCode>
                <c:ptCount val="16"/>
                <c:pt idx="0">
                  <c:v>0</c:v>
                </c:pt>
                <c:pt idx="1">
                  <c:v>2</c:v>
                </c:pt>
                <c:pt idx="2">
                  <c:v>4</c:v>
                </c:pt>
                <c:pt idx="3">
                  <c:v>6</c:v>
                </c:pt>
                <c:pt idx="4">
                  <c:v>8</c:v>
                </c:pt>
                <c:pt idx="5">
                  <c:v>10</c:v>
                </c:pt>
                <c:pt idx="6">
                  <c:v>12</c:v>
                </c:pt>
                <c:pt idx="7">
                  <c:v>14</c:v>
                </c:pt>
                <c:pt idx="8">
                  <c:v>16</c:v>
                </c:pt>
                <c:pt idx="9">
                  <c:v>18</c:v>
                </c:pt>
                <c:pt idx="10">
                  <c:v>20</c:v>
                </c:pt>
                <c:pt idx="11">
                  <c:v>22</c:v>
                </c:pt>
                <c:pt idx="12">
                  <c:v>24</c:v>
                </c:pt>
                <c:pt idx="13">
                  <c:v>26</c:v>
                </c:pt>
                <c:pt idx="14">
                  <c:v>28</c:v>
                </c:pt>
                <c:pt idx="15">
                  <c:v>30</c:v>
                </c:pt>
              </c:numCache>
            </c:numRef>
          </c:xVal>
          <c:yVal>
            <c:numRef>
              <c:f>'-'!$C$14:$R$14</c:f>
              <c:numCache>
                <c:formatCode>General</c:formatCode>
                <c:ptCount val="16"/>
                <c:pt idx="0">
                  <c:v>20</c:v>
                </c:pt>
                <c:pt idx="1">
                  <c:v>20.073663366336632</c:v>
                </c:pt>
                <c:pt idx="2">
                  <c:v>20.147326732673267</c:v>
                </c:pt>
                <c:pt idx="3">
                  <c:v>20.220990099009899</c:v>
                </c:pt>
                <c:pt idx="4">
                  <c:v>20.294653465346531</c:v>
                </c:pt>
                <c:pt idx="5">
                  <c:v>20.368316831683167</c:v>
                </c:pt>
                <c:pt idx="6">
                  <c:v>20.441980198019802</c:v>
                </c:pt>
                <c:pt idx="7">
                  <c:v>20.515643564356434</c:v>
                </c:pt>
                <c:pt idx="8">
                  <c:v>20.589306930693066</c:v>
                </c:pt>
                <c:pt idx="9">
                  <c:v>20.662970297029702</c:v>
                </c:pt>
                <c:pt idx="10">
                  <c:v>20.736633663366337</c:v>
                </c:pt>
                <c:pt idx="11">
                  <c:v>20.810297029702969</c:v>
                </c:pt>
                <c:pt idx="12">
                  <c:v>20.883960396039605</c:v>
                </c:pt>
                <c:pt idx="13">
                  <c:v>20.95762376237624</c:v>
                </c:pt>
                <c:pt idx="14">
                  <c:v>21.031287128712869</c:v>
                </c:pt>
                <c:pt idx="15">
                  <c:v>21.104950495049504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38-8AE2-426E-86C6-2EDF886B1E8D}"/>
            </c:ext>
          </c:extLst>
        </c:ser>
        <c:ser>
          <c:idx val="5"/>
          <c:order val="57"/>
          <c:spPr>
            <a:ln w="3175">
              <a:solidFill>
                <a:srgbClr val="000000"/>
              </a:solidFill>
              <a:prstDash val="solid"/>
            </a:ln>
          </c:spPr>
          <c:marker>
            <c:symbol val="none"/>
          </c:marker>
          <c:xVal>
            <c:numRef>
              <c:f>'-'!$C$6:$R$6</c:f>
              <c:numCache>
                <c:formatCode>General</c:formatCode>
                <c:ptCount val="16"/>
                <c:pt idx="0">
                  <c:v>0</c:v>
                </c:pt>
                <c:pt idx="1">
                  <c:v>2</c:v>
                </c:pt>
                <c:pt idx="2">
                  <c:v>4</c:v>
                </c:pt>
                <c:pt idx="3">
                  <c:v>6</c:v>
                </c:pt>
                <c:pt idx="4">
                  <c:v>8</c:v>
                </c:pt>
                <c:pt idx="5">
                  <c:v>10</c:v>
                </c:pt>
                <c:pt idx="6">
                  <c:v>12</c:v>
                </c:pt>
                <c:pt idx="7">
                  <c:v>14</c:v>
                </c:pt>
                <c:pt idx="8">
                  <c:v>16</c:v>
                </c:pt>
                <c:pt idx="9">
                  <c:v>18</c:v>
                </c:pt>
                <c:pt idx="10">
                  <c:v>20</c:v>
                </c:pt>
                <c:pt idx="11">
                  <c:v>22</c:v>
                </c:pt>
                <c:pt idx="12">
                  <c:v>24</c:v>
                </c:pt>
                <c:pt idx="13">
                  <c:v>26</c:v>
                </c:pt>
                <c:pt idx="14">
                  <c:v>28</c:v>
                </c:pt>
                <c:pt idx="15">
                  <c:v>30</c:v>
                </c:pt>
              </c:numCache>
            </c:numRef>
          </c:xVal>
          <c:yVal>
            <c:numRef>
              <c:f>'-'!$C$13:$R$13</c:f>
              <c:numCache>
                <c:formatCode>General</c:formatCode>
                <c:ptCount val="16"/>
                <c:pt idx="0">
                  <c:v>25</c:v>
                </c:pt>
                <c:pt idx="1">
                  <c:v>25.092079207920793</c:v>
                </c:pt>
                <c:pt idx="2">
                  <c:v>25.184158415841583</c:v>
                </c:pt>
                <c:pt idx="3">
                  <c:v>25.276237623762377</c:v>
                </c:pt>
                <c:pt idx="4">
                  <c:v>25.368316831683167</c:v>
                </c:pt>
                <c:pt idx="5">
                  <c:v>25.46039603960396</c:v>
                </c:pt>
                <c:pt idx="6">
                  <c:v>25.552475247524754</c:v>
                </c:pt>
                <c:pt idx="7">
                  <c:v>25.644554455445544</c:v>
                </c:pt>
                <c:pt idx="8">
                  <c:v>25.736633663366337</c:v>
                </c:pt>
                <c:pt idx="9">
                  <c:v>25.828712871287127</c:v>
                </c:pt>
                <c:pt idx="10">
                  <c:v>25.920792079207921</c:v>
                </c:pt>
                <c:pt idx="11">
                  <c:v>26.012871287128711</c:v>
                </c:pt>
                <c:pt idx="12">
                  <c:v>26.104950495049504</c:v>
                </c:pt>
                <c:pt idx="13">
                  <c:v>26.197029702970298</c:v>
                </c:pt>
                <c:pt idx="14">
                  <c:v>26.289108910891088</c:v>
                </c:pt>
                <c:pt idx="15">
                  <c:v>26.381188118811881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9-8AE2-426E-86C6-2EDF886B1E8D}"/>
            </c:ext>
          </c:extLst>
        </c:ser>
        <c:ser>
          <c:idx val="4"/>
          <c:order val="58"/>
          <c:spPr>
            <a:ln w="3175">
              <a:solidFill>
                <a:srgbClr val="000000"/>
              </a:solidFill>
              <a:prstDash val="solid"/>
            </a:ln>
          </c:spPr>
          <c:marker>
            <c:symbol val="none"/>
          </c:marker>
          <c:xVal>
            <c:numRef>
              <c:f>'-'!$C$6:$R$6</c:f>
              <c:numCache>
                <c:formatCode>General</c:formatCode>
                <c:ptCount val="16"/>
                <c:pt idx="0">
                  <c:v>0</c:v>
                </c:pt>
                <c:pt idx="1">
                  <c:v>2</c:v>
                </c:pt>
                <c:pt idx="2">
                  <c:v>4</c:v>
                </c:pt>
                <c:pt idx="3">
                  <c:v>6</c:v>
                </c:pt>
                <c:pt idx="4">
                  <c:v>8</c:v>
                </c:pt>
                <c:pt idx="5">
                  <c:v>10</c:v>
                </c:pt>
                <c:pt idx="6">
                  <c:v>12</c:v>
                </c:pt>
                <c:pt idx="7">
                  <c:v>14</c:v>
                </c:pt>
                <c:pt idx="8">
                  <c:v>16</c:v>
                </c:pt>
                <c:pt idx="9">
                  <c:v>18</c:v>
                </c:pt>
                <c:pt idx="10">
                  <c:v>20</c:v>
                </c:pt>
                <c:pt idx="11">
                  <c:v>22</c:v>
                </c:pt>
                <c:pt idx="12">
                  <c:v>24</c:v>
                </c:pt>
                <c:pt idx="13">
                  <c:v>26</c:v>
                </c:pt>
                <c:pt idx="14">
                  <c:v>28</c:v>
                </c:pt>
                <c:pt idx="15">
                  <c:v>30</c:v>
                </c:pt>
              </c:numCache>
            </c:numRef>
          </c:xVal>
          <c:yVal>
            <c:numRef>
              <c:f>'-'!$C$12:$R$12</c:f>
              <c:numCache>
                <c:formatCode>General</c:formatCode>
                <c:ptCount val="16"/>
                <c:pt idx="0">
                  <c:v>30</c:v>
                </c:pt>
                <c:pt idx="1">
                  <c:v>30.110495049504951</c:v>
                </c:pt>
                <c:pt idx="2">
                  <c:v>30.220990099009899</c:v>
                </c:pt>
                <c:pt idx="3">
                  <c:v>30.331485148514854</c:v>
                </c:pt>
                <c:pt idx="4">
                  <c:v>30.441980198019802</c:v>
                </c:pt>
                <c:pt idx="5">
                  <c:v>30.552475247524754</c:v>
                </c:pt>
                <c:pt idx="6">
                  <c:v>30.662970297029702</c:v>
                </c:pt>
                <c:pt idx="7">
                  <c:v>30.773465346534653</c:v>
                </c:pt>
                <c:pt idx="8">
                  <c:v>30.883960396039605</c:v>
                </c:pt>
                <c:pt idx="9">
                  <c:v>30.994455445544556</c:v>
                </c:pt>
                <c:pt idx="10">
                  <c:v>31.104950495049504</c:v>
                </c:pt>
                <c:pt idx="11">
                  <c:v>31.215445544554456</c:v>
                </c:pt>
                <c:pt idx="12">
                  <c:v>31.325940594059407</c:v>
                </c:pt>
                <c:pt idx="13">
                  <c:v>31.436435643564359</c:v>
                </c:pt>
                <c:pt idx="14">
                  <c:v>31.546930693069307</c:v>
                </c:pt>
                <c:pt idx="15">
                  <c:v>31.657425742574258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A-8AE2-426E-86C6-2EDF886B1E8D}"/>
            </c:ext>
          </c:extLst>
        </c:ser>
        <c:ser>
          <c:idx val="3"/>
          <c:order val="59"/>
          <c:spPr>
            <a:ln w="3175">
              <a:solidFill>
                <a:srgbClr val="000000"/>
              </a:solidFill>
              <a:prstDash val="solid"/>
            </a:ln>
          </c:spPr>
          <c:marker>
            <c:symbol val="none"/>
          </c:marker>
          <c:xVal>
            <c:numRef>
              <c:f>'-'!$C$6:$R$6</c:f>
              <c:numCache>
                <c:formatCode>General</c:formatCode>
                <c:ptCount val="16"/>
                <c:pt idx="0">
                  <c:v>0</c:v>
                </c:pt>
                <c:pt idx="1">
                  <c:v>2</c:v>
                </c:pt>
                <c:pt idx="2">
                  <c:v>4</c:v>
                </c:pt>
                <c:pt idx="3">
                  <c:v>6</c:v>
                </c:pt>
                <c:pt idx="4">
                  <c:v>8</c:v>
                </c:pt>
                <c:pt idx="5">
                  <c:v>10</c:v>
                </c:pt>
                <c:pt idx="6">
                  <c:v>12</c:v>
                </c:pt>
                <c:pt idx="7">
                  <c:v>14</c:v>
                </c:pt>
                <c:pt idx="8">
                  <c:v>16</c:v>
                </c:pt>
                <c:pt idx="9">
                  <c:v>18</c:v>
                </c:pt>
                <c:pt idx="10">
                  <c:v>20</c:v>
                </c:pt>
                <c:pt idx="11">
                  <c:v>22</c:v>
                </c:pt>
                <c:pt idx="12">
                  <c:v>24</c:v>
                </c:pt>
                <c:pt idx="13">
                  <c:v>26</c:v>
                </c:pt>
                <c:pt idx="14">
                  <c:v>28</c:v>
                </c:pt>
                <c:pt idx="15">
                  <c:v>30</c:v>
                </c:pt>
              </c:numCache>
            </c:numRef>
          </c:xVal>
          <c:yVal>
            <c:numRef>
              <c:f>'-'!$C$11:$R$11</c:f>
              <c:numCache>
                <c:formatCode>General</c:formatCode>
                <c:ptCount val="16"/>
                <c:pt idx="0">
                  <c:v>35</c:v>
                </c:pt>
                <c:pt idx="1">
                  <c:v>35.128910891089113</c:v>
                </c:pt>
                <c:pt idx="2">
                  <c:v>35.257821782178219</c:v>
                </c:pt>
                <c:pt idx="3">
                  <c:v>35.386732673267325</c:v>
                </c:pt>
                <c:pt idx="4">
                  <c:v>35.515643564356438</c:v>
                </c:pt>
                <c:pt idx="5">
                  <c:v>35.644554455445551</c:v>
                </c:pt>
                <c:pt idx="6">
                  <c:v>35.77346534653465</c:v>
                </c:pt>
                <c:pt idx="7">
                  <c:v>35.902376237623763</c:v>
                </c:pt>
                <c:pt idx="8">
                  <c:v>36.031287128712876</c:v>
                </c:pt>
                <c:pt idx="9">
                  <c:v>36.160198019801982</c:v>
                </c:pt>
                <c:pt idx="10">
                  <c:v>36.289108910891088</c:v>
                </c:pt>
                <c:pt idx="11">
                  <c:v>36.418019801980201</c:v>
                </c:pt>
                <c:pt idx="12">
                  <c:v>36.546930693069314</c:v>
                </c:pt>
                <c:pt idx="13">
                  <c:v>36.675841584158412</c:v>
                </c:pt>
                <c:pt idx="14">
                  <c:v>36.804752475247525</c:v>
                </c:pt>
                <c:pt idx="15">
                  <c:v>36.933663366336638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B-8AE2-426E-86C6-2EDF886B1E8D}"/>
            </c:ext>
          </c:extLst>
        </c:ser>
        <c:ser>
          <c:idx val="2"/>
          <c:order val="60"/>
          <c:spPr>
            <a:ln w="3175">
              <a:solidFill>
                <a:srgbClr val="000000"/>
              </a:solidFill>
              <a:prstDash val="solid"/>
            </a:ln>
          </c:spPr>
          <c:marker>
            <c:symbol val="none"/>
          </c:marker>
          <c:xVal>
            <c:numRef>
              <c:f>'-'!$C$6:$R$6</c:f>
              <c:numCache>
                <c:formatCode>General</c:formatCode>
                <c:ptCount val="16"/>
                <c:pt idx="0">
                  <c:v>0</c:v>
                </c:pt>
                <c:pt idx="1">
                  <c:v>2</c:v>
                </c:pt>
                <c:pt idx="2">
                  <c:v>4</c:v>
                </c:pt>
                <c:pt idx="3">
                  <c:v>6</c:v>
                </c:pt>
                <c:pt idx="4">
                  <c:v>8</c:v>
                </c:pt>
                <c:pt idx="5">
                  <c:v>10</c:v>
                </c:pt>
                <c:pt idx="6">
                  <c:v>12</c:v>
                </c:pt>
                <c:pt idx="7">
                  <c:v>14</c:v>
                </c:pt>
                <c:pt idx="8">
                  <c:v>16</c:v>
                </c:pt>
                <c:pt idx="9">
                  <c:v>18</c:v>
                </c:pt>
                <c:pt idx="10">
                  <c:v>20</c:v>
                </c:pt>
                <c:pt idx="11">
                  <c:v>22</c:v>
                </c:pt>
                <c:pt idx="12">
                  <c:v>24</c:v>
                </c:pt>
                <c:pt idx="13">
                  <c:v>26</c:v>
                </c:pt>
                <c:pt idx="14">
                  <c:v>28</c:v>
                </c:pt>
                <c:pt idx="15">
                  <c:v>30</c:v>
                </c:pt>
              </c:numCache>
            </c:numRef>
          </c:xVal>
          <c:yVal>
            <c:numRef>
              <c:f>'-'!$C$10:$R$10</c:f>
              <c:numCache>
                <c:formatCode>General</c:formatCode>
                <c:ptCount val="16"/>
                <c:pt idx="0">
                  <c:v>40</c:v>
                </c:pt>
                <c:pt idx="1">
                  <c:v>40.147326732673264</c:v>
                </c:pt>
                <c:pt idx="2">
                  <c:v>40.294653465346535</c:v>
                </c:pt>
                <c:pt idx="3">
                  <c:v>40.441980198019799</c:v>
                </c:pt>
                <c:pt idx="4">
                  <c:v>40.589306930693063</c:v>
                </c:pt>
                <c:pt idx="5">
                  <c:v>40.736633663366334</c:v>
                </c:pt>
                <c:pt idx="6">
                  <c:v>40.883960396039605</c:v>
                </c:pt>
                <c:pt idx="7">
                  <c:v>41.031287128712869</c:v>
                </c:pt>
                <c:pt idx="8">
                  <c:v>41.178613861386133</c:v>
                </c:pt>
                <c:pt idx="9">
                  <c:v>41.325940594059404</c:v>
                </c:pt>
                <c:pt idx="10">
                  <c:v>41.473267326732675</c:v>
                </c:pt>
                <c:pt idx="11">
                  <c:v>41.620594059405938</c:v>
                </c:pt>
                <c:pt idx="12">
                  <c:v>41.767920792079209</c:v>
                </c:pt>
                <c:pt idx="13">
                  <c:v>41.915247524752481</c:v>
                </c:pt>
                <c:pt idx="14">
                  <c:v>42.062574257425737</c:v>
                </c:pt>
                <c:pt idx="15">
                  <c:v>42.209900990099008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C-8AE2-426E-86C6-2EDF886B1E8D}"/>
            </c:ext>
          </c:extLst>
        </c:ser>
        <c:ser>
          <c:idx val="1"/>
          <c:order val="61"/>
          <c:spPr>
            <a:ln w="3175">
              <a:solidFill>
                <a:srgbClr val="000000"/>
              </a:solidFill>
              <a:prstDash val="solid"/>
            </a:ln>
          </c:spPr>
          <c:marker>
            <c:symbol val="none"/>
          </c:marker>
          <c:xVal>
            <c:numRef>
              <c:f>'-'!$C$6:$R$6</c:f>
              <c:numCache>
                <c:formatCode>General</c:formatCode>
                <c:ptCount val="16"/>
                <c:pt idx="0">
                  <c:v>0</c:v>
                </c:pt>
                <c:pt idx="1">
                  <c:v>2</c:v>
                </c:pt>
                <c:pt idx="2">
                  <c:v>4</c:v>
                </c:pt>
                <c:pt idx="3">
                  <c:v>6</c:v>
                </c:pt>
                <c:pt idx="4">
                  <c:v>8</c:v>
                </c:pt>
                <c:pt idx="5">
                  <c:v>10</c:v>
                </c:pt>
                <c:pt idx="6">
                  <c:v>12</c:v>
                </c:pt>
                <c:pt idx="7">
                  <c:v>14</c:v>
                </c:pt>
                <c:pt idx="8">
                  <c:v>16</c:v>
                </c:pt>
                <c:pt idx="9">
                  <c:v>18</c:v>
                </c:pt>
                <c:pt idx="10">
                  <c:v>20</c:v>
                </c:pt>
                <c:pt idx="11">
                  <c:v>22</c:v>
                </c:pt>
                <c:pt idx="12">
                  <c:v>24</c:v>
                </c:pt>
                <c:pt idx="13">
                  <c:v>26</c:v>
                </c:pt>
                <c:pt idx="14">
                  <c:v>28</c:v>
                </c:pt>
                <c:pt idx="15">
                  <c:v>30</c:v>
                </c:pt>
              </c:numCache>
            </c:numRef>
          </c:xVal>
          <c:yVal>
            <c:numRef>
              <c:f>'-'!$C$9:$R$9</c:f>
              <c:numCache>
                <c:formatCode>General</c:formatCode>
                <c:ptCount val="16"/>
                <c:pt idx="0">
                  <c:v>45</c:v>
                </c:pt>
                <c:pt idx="1">
                  <c:v>45.165742574257429</c:v>
                </c:pt>
                <c:pt idx="2">
                  <c:v>45.331485148514858</c:v>
                </c:pt>
                <c:pt idx="3">
                  <c:v>45.49722772277228</c:v>
                </c:pt>
                <c:pt idx="4">
                  <c:v>45.662970297029709</c:v>
                </c:pt>
                <c:pt idx="5">
                  <c:v>45.828712871287138</c:v>
                </c:pt>
                <c:pt idx="6">
                  <c:v>45.994455445544553</c:v>
                </c:pt>
                <c:pt idx="7">
                  <c:v>46.160198019801982</c:v>
                </c:pt>
                <c:pt idx="8">
                  <c:v>46.325940594059404</c:v>
                </c:pt>
                <c:pt idx="9">
                  <c:v>46.491683168316833</c:v>
                </c:pt>
                <c:pt idx="10">
                  <c:v>46.657425742574262</c:v>
                </c:pt>
                <c:pt idx="11">
                  <c:v>46.823168316831683</c:v>
                </c:pt>
                <c:pt idx="12">
                  <c:v>46.988910891089112</c:v>
                </c:pt>
                <c:pt idx="13">
                  <c:v>47.154653465346541</c:v>
                </c:pt>
                <c:pt idx="14">
                  <c:v>47.320396039603963</c:v>
                </c:pt>
                <c:pt idx="15">
                  <c:v>47.486138613861392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D-8AE2-426E-86C6-2EDF886B1E8D}"/>
            </c:ext>
          </c:extLst>
        </c:ser>
        <c:ser>
          <c:idx val="0"/>
          <c:order val="62"/>
          <c:spPr>
            <a:ln w="3175">
              <a:solidFill>
                <a:srgbClr val="000000"/>
              </a:solidFill>
              <a:prstDash val="solid"/>
            </a:ln>
          </c:spPr>
          <c:marker>
            <c:symbol val="none"/>
          </c:marker>
          <c:xVal>
            <c:numRef>
              <c:f>'-'!$C$6:$R$6</c:f>
              <c:numCache>
                <c:formatCode>General</c:formatCode>
                <c:ptCount val="16"/>
                <c:pt idx="0">
                  <c:v>0</c:v>
                </c:pt>
                <c:pt idx="1">
                  <c:v>2</c:v>
                </c:pt>
                <c:pt idx="2">
                  <c:v>4</c:v>
                </c:pt>
                <c:pt idx="3">
                  <c:v>6</c:v>
                </c:pt>
                <c:pt idx="4">
                  <c:v>8</c:v>
                </c:pt>
                <c:pt idx="5">
                  <c:v>10</c:v>
                </c:pt>
                <c:pt idx="6">
                  <c:v>12</c:v>
                </c:pt>
                <c:pt idx="7">
                  <c:v>14</c:v>
                </c:pt>
                <c:pt idx="8">
                  <c:v>16</c:v>
                </c:pt>
                <c:pt idx="9">
                  <c:v>18</c:v>
                </c:pt>
                <c:pt idx="10">
                  <c:v>20</c:v>
                </c:pt>
                <c:pt idx="11">
                  <c:v>22</c:v>
                </c:pt>
                <c:pt idx="12">
                  <c:v>24</c:v>
                </c:pt>
                <c:pt idx="13">
                  <c:v>26</c:v>
                </c:pt>
                <c:pt idx="14">
                  <c:v>28</c:v>
                </c:pt>
                <c:pt idx="15">
                  <c:v>30</c:v>
                </c:pt>
              </c:numCache>
            </c:numRef>
          </c:xVal>
          <c:yVal>
            <c:numRef>
              <c:f>'-'!$C$8:$R$8</c:f>
              <c:numCache>
                <c:formatCode>General</c:formatCode>
                <c:ptCount val="16"/>
                <c:pt idx="0">
                  <c:v>50</c:v>
                </c:pt>
                <c:pt idx="1">
                  <c:v>50.184158415841587</c:v>
                </c:pt>
                <c:pt idx="2">
                  <c:v>50.368316831683167</c:v>
                </c:pt>
                <c:pt idx="3">
                  <c:v>50.552475247524754</c:v>
                </c:pt>
                <c:pt idx="4">
                  <c:v>50.736633663366334</c:v>
                </c:pt>
                <c:pt idx="5">
                  <c:v>50.920792079207921</c:v>
                </c:pt>
                <c:pt idx="6">
                  <c:v>51.104950495049508</c:v>
                </c:pt>
                <c:pt idx="7">
                  <c:v>51.289108910891088</c:v>
                </c:pt>
                <c:pt idx="8">
                  <c:v>51.473267326732675</c:v>
                </c:pt>
                <c:pt idx="9">
                  <c:v>51.657425742574254</c:v>
                </c:pt>
                <c:pt idx="10">
                  <c:v>51.841584158415841</c:v>
                </c:pt>
                <c:pt idx="11">
                  <c:v>52.025742574257421</c:v>
                </c:pt>
                <c:pt idx="12">
                  <c:v>52.209900990099008</c:v>
                </c:pt>
                <c:pt idx="13">
                  <c:v>52.394059405940595</c:v>
                </c:pt>
                <c:pt idx="14">
                  <c:v>52.578217821782175</c:v>
                </c:pt>
                <c:pt idx="15">
                  <c:v>52.762376237623762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3E-8AE2-426E-86C6-2EDF886B1E8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154574832"/>
        <c:axId val="1"/>
      </c:scatterChart>
      <c:valAx>
        <c:axId val="1154574832"/>
        <c:scaling>
          <c:orientation val="minMax"/>
          <c:max val="25"/>
          <c:min val="0"/>
        </c:scaling>
        <c:delete val="0"/>
        <c:axPos val="b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i [g/kg s.v.]</a:t>
                </a:r>
              </a:p>
            </c:rich>
          </c:tx>
          <c:layout>
            <c:manualLayout>
              <c:xMode val="edge"/>
              <c:yMode val="edge"/>
              <c:x val="0.43478326789532779"/>
              <c:y val="0.96437407456989044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out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/>
            </a:pPr>
            <a:endParaRPr lang="ru-RU"/>
          </a:p>
        </c:txPr>
        <c:crossAx val="1"/>
        <c:crossesAt val="-20"/>
        <c:crossBetween val="midCat"/>
        <c:majorUnit val="1"/>
        <c:minorUnit val="0.2"/>
      </c:valAx>
      <c:valAx>
        <c:axId val="1"/>
        <c:scaling>
          <c:orientation val="minMax"/>
          <c:max val="55"/>
          <c:min val="-20"/>
        </c:scaling>
        <c:delete val="0"/>
        <c:axPos val="l"/>
        <c:numFmt formatCode="General" sourceLinked="1"/>
        <c:majorTickMark val="out"/>
        <c:minorTickMark val="out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/>
            </a:pPr>
            <a:endParaRPr lang="ru-RU"/>
          </a:p>
        </c:txPr>
        <c:crossAx val="1154574832"/>
        <c:crossesAt val="0"/>
        <c:crossBetween val="midCat"/>
        <c:majorUnit val="5"/>
        <c:minorUnit val="1"/>
      </c:valAx>
      <c:spPr>
        <a:noFill/>
        <a:ln w="12700">
          <a:solidFill>
            <a:srgbClr val="000000"/>
          </a:solidFill>
          <a:prstDash val="solid"/>
        </a:ln>
      </c:spPr>
    </c:plotArea>
    <c:plotVisOnly val="1"/>
    <c:dispBlanksAs val="gap"/>
    <c:showDLblsOverMax val="0"/>
  </c:chart>
  <c:spPr>
    <a:solidFill>
      <a:schemeClr val="bg1"/>
    </a:solidFill>
    <a:ln w="6350">
      <a:noFill/>
    </a:ln>
  </c:spPr>
  <c:txPr>
    <a:bodyPr/>
    <a:lstStyle/>
    <a:p>
      <a:pPr>
        <a:defRPr sz="1000" b="1" i="0" u="none" strike="noStrike" baseline="0">
          <a:solidFill>
            <a:srgbClr val="000000"/>
          </a:solidFill>
          <a:latin typeface="Verdana" panose="020B0604030504040204" pitchFamily="34" charset="0"/>
          <a:ea typeface="Arial"/>
          <a:cs typeface="Arial"/>
        </a:defRPr>
      </a:pPr>
      <a:endParaRPr lang="ru-RU"/>
    </a:p>
  </c:txPr>
  <c:printSettings>
    <c:headerFooter alignWithMargins="0"/>
    <c:pageMargins b="0.39370078740157483" l="0.78740157480314965" r="0.39370078740157483" t="0.39370078740157483" header="0" footer="0"/>
    <c:pageSetup orientation="portrait" horizontalDpi="300" verticalDpi="300"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AHU </a:t>
            </a:r>
            <a:r>
              <a:rPr lang="ru-RU"/>
              <a:t>Расчет</a:t>
            </a:r>
          </a:p>
        </c:rich>
      </c:tx>
      <c:layout/>
      <c:overlay val="0"/>
    </c:title>
    <c:autoTitleDeleted val="0"/>
    <c:plotArea>
      <c:layout>
        <c:manualLayout>
          <c:layoutTarget val="inner"/>
          <c:xMode val="edge"/>
          <c:yMode val="edge"/>
          <c:x val="4.9919563203821966E-2"/>
          <c:y val="4.1769066824388405E-2"/>
          <c:w val="0.87278720182166147"/>
          <c:h val="0.88943542296638833"/>
        </c:manualLayout>
      </c:layout>
      <c:scatterChart>
        <c:scatterStyle val="lineMarker"/>
        <c:varyColors val="0"/>
        <c:ser>
          <c:idx val="52"/>
          <c:order val="0"/>
          <c:spPr>
            <a:ln w="3175">
              <a:solidFill>
                <a:srgbClr val="000000"/>
              </a:solidFill>
              <a:prstDash val="solid"/>
            </a:ln>
          </c:spPr>
          <c:marker>
            <c:symbol val="none"/>
          </c:marker>
          <c:xVal>
            <c:numRef>
              <c:f>'-'!$C$26:$D$26</c:f>
              <c:numCache>
                <c:formatCode>General</c:formatCode>
                <c:ptCount val="2"/>
                <c:pt idx="0">
                  <c:v>0</c:v>
                </c:pt>
                <c:pt idx="1">
                  <c:v>25</c:v>
                </c:pt>
              </c:numCache>
            </c:numRef>
          </c:xVal>
          <c:yVal>
            <c:numRef>
              <c:f>'-'!$C$55:$D$55</c:f>
              <c:numCache>
                <c:formatCode>General</c:formatCode>
                <c:ptCount val="2"/>
                <c:pt idx="0">
                  <c:v>-19.801980198019802</c:v>
                </c:pt>
                <c:pt idx="1">
                  <c:v>-81.707920792079207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4DFA-4D5F-B24D-8E6FA6D2C70B}"/>
            </c:ext>
          </c:extLst>
        </c:ser>
        <c:ser>
          <c:idx val="51"/>
          <c:order val="1"/>
          <c:spPr>
            <a:ln w="3175">
              <a:solidFill>
                <a:srgbClr val="000000"/>
              </a:solidFill>
              <a:prstDash val="solid"/>
            </a:ln>
          </c:spPr>
          <c:marker>
            <c:symbol val="none"/>
          </c:marker>
          <c:xVal>
            <c:numRef>
              <c:f>'-'!$C$26:$D$26</c:f>
              <c:numCache>
                <c:formatCode>General</c:formatCode>
                <c:ptCount val="2"/>
                <c:pt idx="0">
                  <c:v>0</c:v>
                </c:pt>
                <c:pt idx="1">
                  <c:v>25</c:v>
                </c:pt>
              </c:numCache>
            </c:numRef>
          </c:xVal>
          <c:yVal>
            <c:numRef>
              <c:f>'-'!$C$54:$D$54</c:f>
              <c:numCache>
                <c:formatCode>General</c:formatCode>
                <c:ptCount val="2"/>
                <c:pt idx="0">
                  <c:v>-14.851485148514852</c:v>
                </c:pt>
                <c:pt idx="1">
                  <c:v>-76.757425742574256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4DFA-4D5F-B24D-8E6FA6D2C70B}"/>
            </c:ext>
          </c:extLst>
        </c:ser>
        <c:ser>
          <c:idx val="50"/>
          <c:order val="2"/>
          <c:spPr>
            <a:ln w="3175">
              <a:solidFill>
                <a:srgbClr val="000000"/>
              </a:solidFill>
              <a:prstDash val="solid"/>
            </a:ln>
          </c:spPr>
          <c:marker>
            <c:symbol val="none"/>
          </c:marker>
          <c:xVal>
            <c:numRef>
              <c:f>'-'!$C$26:$D$26</c:f>
              <c:numCache>
                <c:formatCode>General</c:formatCode>
                <c:ptCount val="2"/>
                <c:pt idx="0">
                  <c:v>0</c:v>
                </c:pt>
                <c:pt idx="1">
                  <c:v>25</c:v>
                </c:pt>
              </c:numCache>
            </c:numRef>
          </c:xVal>
          <c:yVal>
            <c:numRef>
              <c:f>'-'!$C$53:$D$53</c:f>
              <c:numCache>
                <c:formatCode>General</c:formatCode>
                <c:ptCount val="2"/>
                <c:pt idx="0">
                  <c:v>-9.9009900990099009</c:v>
                </c:pt>
                <c:pt idx="1">
                  <c:v>-71.806930693069319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4DFA-4D5F-B24D-8E6FA6D2C70B}"/>
            </c:ext>
          </c:extLst>
        </c:ser>
        <c:ser>
          <c:idx val="49"/>
          <c:order val="3"/>
          <c:spPr>
            <a:ln w="3175">
              <a:solidFill>
                <a:srgbClr val="000000"/>
              </a:solidFill>
              <a:prstDash val="solid"/>
            </a:ln>
          </c:spPr>
          <c:marker>
            <c:symbol val="none"/>
          </c:marker>
          <c:xVal>
            <c:numRef>
              <c:f>'-'!$C$26:$D$26</c:f>
              <c:numCache>
                <c:formatCode>General</c:formatCode>
                <c:ptCount val="2"/>
                <c:pt idx="0">
                  <c:v>0</c:v>
                </c:pt>
                <c:pt idx="1">
                  <c:v>25</c:v>
                </c:pt>
              </c:numCache>
            </c:numRef>
          </c:xVal>
          <c:yVal>
            <c:numRef>
              <c:f>'-'!$C$52:$D$52</c:f>
              <c:numCache>
                <c:formatCode>General</c:formatCode>
                <c:ptCount val="2"/>
                <c:pt idx="0">
                  <c:v>-4.9504950495049505</c:v>
                </c:pt>
                <c:pt idx="1">
                  <c:v>-66.856435643564367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4DFA-4D5F-B24D-8E6FA6D2C70B}"/>
            </c:ext>
          </c:extLst>
        </c:ser>
        <c:ser>
          <c:idx val="38"/>
          <c:order val="4"/>
          <c:spPr>
            <a:ln w="3175">
              <a:solidFill>
                <a:srgbClr val="000000"/>
              </a:solidFill>
              <a:prstDash val="solid"/>
            </a:ln>
          </c:spPr>
          <c:marker>
            <c:symbol val="none"/>
          </c:marker>
          <c:xVal>
            <c:numRef>
              <c:f>'-'!$C$26:$D$26</c:f>
              <c:numCache>
                <c:formatCode>General</c:formatCode>
                <c:ptCount val="2"/>
                <c:pt idx="0">
                  <c:v>0</c:v>
                </c:pt>
                <c:pt idx="1">
                  <c:v>25</c:v>
                </c:pt>
              </c:numCache>
            </c:numRef>
          </c:xVal>
          <c:yVal>
            <c:numRef>
              <c:f>'-'!$C$51:$D$51</c:f>
              <c:numCache>
                <c:formatCode>General</c:formatCode>
                <c:ptCount val="2"/>
                <c:pt idx="0">
                  <c:v>0</c:v>
                </c:pt>
                <c:pt idx="1">
                  <c:v>-61.905940594059402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4DFA-4D5F-B24D-8E6FA6D2C70B}"/>
            </c:ext>
          </c:extLst>
        </c:ser>
        <c:ser>
          <c:idx val="37"/>
          <c:order val="5"/>
          <c:spPr>
            <a:ln w="3175">
              <a:solidFill>
                <a:srgbClr val="000000"/>
              </a:solidFill>
              <a:prstDash val="solid"/>
            </a:ln>
          </c:spPr>
          <c:marker>
            <c:symbol val="none"/>
          </c:marker>
          <c:xVal>
            <c:numRef>
              <c:f>'-'!$C$26:$G$26</c:f>
              <c:numCache>
                <c:formatCode>General</c:formatCode>
                <c:ptCount val="5"/>
                <c:pt idx="0">
                  <c:v>0</c:v>
                </c:pt>
                <c:pt idx="1">
                  <c:v>25</c:v>
                </c:pt>
              </c:numCache>
            </c:numRef>
          </c:xVal>
          <c:yVal>
            <c:numRef>
              <c:f>'-'!$C$50:$F$50</c:f>
              <c:numCache>
                <c:formatCode>General</c:formatCode>
                <c:ptCount val="4"/>
                <c:pt idx="0">
                  <c:v>4.9504950495049505</c:v>
                </c:pt>
                <c:pt idx="1">
                  <c:v>-56.955445544554451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5-4DFA-4D5F-B24D-8E6FA6D2C70B}"/>
            </c:ext>
          </c:extLst>
        </c:ser>
        <c:ser>
          <c:idx val="36"/>
          <c:order val="6"/>
          <c:spPr>
            <a:ln w="3175">
              <a:solidFill>
                <a:srgbClr val="000000"/>
              </a:solidFill>
              <a:prstDash val="solid"/>
            </a:ln>
          </c:spPr>
          <c:marker>
            <c:symbol val="none"/>
          </c:marker>
          <c:xVal>
            <c:numRef>
              <c:f>'-'!$C$26:$G$26</c:f>
              <c:numCache>
                <c:formatCode>General</c:formatCode>
                <c:ptCount val="5"/>
                <c:pt idx="0">
                  <c:v>0</c:v>
                </c:pt>
                <c:pt idx="1">
                  <c:v>25</c:v>
                </c:pt>
              </c:numCache>
            </c:numRef>
          </c:xVal>
          <c:yVal>
            <c:numRef>
              <c:f>'-'!$C$49:$F$49</c:f>
              <c:numCache>
                <c:formatCode>General</c:formatCode>
                <c:ptCount val="4"/>
                <c:pt idx="0">
                  <c:v>9.9009900990099009</c:v>
                </c:pt>
                <c:pt idx="1">
                  <c:v>-52.004950495049506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6-4DFA-4D5F-B24D-8E6FA6D2C70B}"/>
            </c:ext>
          </c:extLst>
        </c:ser>
        <c:ser>
          <c:idx val="35"/>
          <c:order val="7"/>
          <c:spPr>
            <a:ln w="3175">
              <a:solidFill>
                <a:srgbClr val="000000"/>
              </a:solidFill>
              <a:prstDash val="solid"/>
            </a:ln>
          </c:spPr>
          <c:marker>
            <c:symbol val="none"/>
          </c:marker>
          <c:xVal>
            <c:numRef>
              <c:f>'-'!$C$26:$G$26</c:f>
              <c:numCache>
                <c:formatCode>General</c:formatCode>
                <c:ptCount val="5"/>
                <c:pt idx="0">
                  <c:v>0</c:v>
                </c:pt>
                <c:pt idx="1">
                  <c:v>25</c:v>
                </c:pt>
              </c:numCache>
            </c:numRef>
          </c:xVal>
          <c:yVal>
            <c:numRef>
              <c:f>'-'!$C$48:$F$48</c:f>
              <c:numCache>
                <c:formatCode>General</c:formatCode>
                <c:ptCount val="4"/>
                <c:pt idx="0">
                  <c:v>14.851485148514852</c:v>
                </c:pt>
                <c:pt idx="1">
                  <c:v>-47.054455445544555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7-4DFA-4D5F-B24D-8E6FA6D2C70B}"/>
            </c:ext>
          </c:extLst>
        </c:ser>
        <c:ser>
          <c:idx val="34"/>
          <c:order val="8"/>
          <c:spPr>
            <a:ln w="3175">
              <a:solidFill>
                <a:srgbClr val="000000"/>
              </a:solidFill>
              <a:prstDash val="solid"/>
            </a:ln>
          </c:spPr>
          <c:marker>
            <c:symbol val="none"/>
          </c:marker>
          <c:xVal>
            <c:numRef>
              <c:f>'-'!$C$26:$G$26</c:f>
              <c:numCache>
                <c:formatCode>General</c:formatCode>
                <c:ptCount val="5"/>
                <c:pt idx="0">
                  <c:v>0</c:v>
                </c:pt>
                <c:pt idx="1">
                  <c:v>25</c:v>
                </c:pt>
              </c:numCache>
            </c:numRef>
          </c:xVal>
          <c:yVal>
            <c:numRef>
              <c:f>'-'!$C$47:$F$47</c:f>
              <c:numCache>
                <c:formatCode>General</c:formatCode>
                <c:ptCount val="4"/>
                <c:pt idx="0">
                  <c:v>19.801980198019802</c:v>
                </c:pt>
                <c:pt idx="1">
                  <c:v>-42.103960396039604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8-4DFA-4D5F-B24D-8E6FA6D2C70B}"/>
            </c:ext>
          </c:extLst>
        </c:ser>
        <c:ser>
          <c:idx val="33"/>
          <c:order val="9"/>
          <c:spPr>
            <a:ln w="3175">
              <a:solidFill>
                <a:srgbClr val="000000"/>
              </a:solidFill>
              <a:prstDash val="solid"/>
            </a:ln>
          </c:spPr>
          <c:marker>
            <c:symbol val="none"/>
          </c:marker>
          <c:xVal>
            <c:numRef>
              <c:f>'-'!$C$26:$G$26</c:f>
              <c:numCache>
                <c:formatCode>General</c:formatCode>
                <c:ptCount val="5"/>
                <c:pt idx="0">
                  <c:v>0</c:v>
                </c:pt>
                <c:pt idx="1">
                  <c:v>25</c:v>
                </c:pt>
              </c:numCache>
            </c:numRef>
          </c:xVal>
          <c:yVal>
            <c:numRef>
              <c:f>'-'!$C$46:$F$46</c:f>
              <c:numCache>
                <c:formatCode>General</c:formatCode>
                <c:ptCount val="4"/>
                <c:pt idx="0">
                  <c:v>24.752475247524753</c:v>
                </c:pt>
                <c:pt idx="1">
                  <c:v>-37.153465346534652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9-4DFA-4D5F-B24D-8E6FA6D2C70B}"/>
            </c:ext>
          </c:extLst>
        </c:ser>
        <c:ser>
          <c:idx val="32"/>
          <c:order val="10"/>
          <c:spPr>
            <a:ln w="3175">
              <a:solidFill>
                <a:srgbClr val="000000"/>
              </a:solidFill>
              <a:prstDash val="solid"/>
            </a:ln>
          </c:spPr>
          <c:marker>
            <c:symbol val="none"/>
          </c:marker>
          <c:xVal>
            <c:numRef>
              <c:f>'-'!$C$26:$G$26</c:f>
              <c:numCache>
                <c:formatCode>General</c:formatCode>
                <c:ptCount val="5"/>
                <c:pt idx="0">
                  <c:v>0</c:v>
                </c:pt>
                <c:pt idx="1">
                  <c:v>25</c:v>
                </c:pt>
              </c:numCache>
            </c:numRef>
          </c:xVal>
          <c:yVal>
            <c:numRef>
              <c:f>'-'!$C$45:$F$45</c:f>
              <c:numCache>
                <c:formatCode>General</c:formatCode>
                <c:ptCount val="4"/>
                <c:pt idx="0">
                  <c:v>29.702970297029704</c:v>
                </c:pt>
                <c:pt idx="1">
                  <c:v>-32.202970297029701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A-4DFA-4D5F-B24D-8E6FA6D2C70B}"/>
            </c:ext>
          </c:extLst>
        </c:ser>
        <c:ser>
          <c:idx val="31"/>
          <c:order val="11"/>
          <c:spPr>
            <a:ln w="3175">
              <a:solidFill>
                <a:srgbClr val="000000"/>
              </a:solidFill>
              <a:prstDash val="solid"/>
            </a:ln>
          </c:spPr>
          <c:marker>
            <c:symbol val="none"/>
          </c:marker>
          <c:xVal>
            <c:numRef>
              <c:f>'-'!$C$26:$G$26</c:f>
              <c:numCache>
                <c:formatCode>General</c:formatCode>
                <c:ptCount val="5"/>
                <c:pt idx="0">
                  <c:v>0</c:v>
                </c:pt>
                <c:pt idx="1">
                  <c:v>25</c:v>
                </c:pt>
              </c:numCache>
            </c:numRef>
          </c:xVal>
          <c:yVal>
            <c:numRef>
              <c:f>'-'!$C$44:$F$44</c:f>
              <c:numCache>
                <c:formatCode>General</c:formatCode>
                <c:ptCount val="4"/>
                <c:pt idx="0">
                  <c:v>34.653465346534652</c:v>
                </c:pt>
                <c:pt idx="1">
                  <c:v>-27.25247524752475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B-4DFA-4D5F-B24D-8E6FA6D2C70B}"/>
            </c:ext>
          </c:extLst>
        </c:ser>
        <c:ser>
          <c:idx val="62"/>
          <c:order val="12"/>
          <c:tx>
            <c:v>10.bod</c:v>
          </c:tx>
          <c:spPr>
            <a:ln w="38100">
              <a:solidFill>
                <a:srgbClr val="FF0000"/>
              </a:solidFill>
              <a:prstDash val="solid"/>
            </a:ln>
          </c:spPr>
          <c:marker>
            <c:symbol val="diamond"/>
            <c:size val="6"/>
            <c:spPr>
              <a:solidFill>
                <a:srgbClr val="0000FF"/>
              </a:solidFill>
              <a:ln>
                <a:solidFill>
                  <a:srgbClr val="FF0000"/>
                </a:solidFill>
                <a:prstDash val="solid"/>
              </a:ln>
            </c:spPr>
          </c:marker>
          <c:xVal>
            <c:numRef>
              <c:f>'S03'!$E$180:$S$180</c:f>
              <c:numCache>
                <c:formatCode>General</c:formatCode>
                <c:ptCount val="15"/>
                <c:pt idx="8">
                  <c:v>6.6489064798930036E-4</c:v>
                </c:pt>
                <c:pt idx="9">
                  <c:v>6.6489064798930036E-4</c:v>
                </c:pt>
                <c:pt idx="10">
                  <c:v>15.17511246915182</c:v>
                </c:pt>
                <c:pt idx="11">
                  <c:v>9.2012211080269264</c:v>
                </c:pt>
                <c:pt idx="12">
                  <c:v>9.0684559843778378E-2</c:v>
                </c:pt>
                <c:pt idx="13">
                  <c:v>9.0684559843778378E-2</c:v>
                </c:pt>
                <c:pt idx="14">
                  <c:v>9.0671476786990859E-4</c:v>
                </c:pt>
              </c:numCache>
            </c:numRef>
          </c:xVal>
          <c:yVal>
            <c:numRef>
              <c:f>'S03'!$E$181:$S$181</c:f>
              <c:numCache>
                <c:formatCode>General</c:formatCode>
                <c:ptCount val="15"/>
                <c:pt idx="8">
                  <c:v>8.0000097956166751</c:v>
                </c:pt>
                <c:pt idx="9">
                  <c:v>20.000024489041689</c:v>
                </c:pt>
                <c:pt idx="10">
                  <c:v>35.978118635387915</c:v>
                </c:pt>
                <c:pt idx="11">
                  <c:v>16.271117168489983</c:v>
                </c:pt>
                <c:pt idx="12">
                  <c:v>16.00267205198114</c:v>
                </c:pt>
                <c:pt idx="13">
                  <c:v>20.003340064976424</c:v>
                </c:pt>
                <c:pt idx="14">
                  <c:v>20.000033395831053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C-4DFA-4D5F-B24D-8E6FA6D2C70B}"/>
            </c:ext>
          </c:extLst>
        </c:ser>
        <c:ser>
          <c:idx val="61"/>
          <c:order val="13"/>
          <c:tx>
            <c:v>9.bod</c:v>
          </c:tx>
          <c:spPr>
            <a:ln w="38100">
              <a:solidFill>
                <a:srgbClr val="FF0000"/>
              </a:solidFill>
              <a:prstDash val="solid"/>
            </a:ln>
          </c:spPr>
          <c:marker>
            <c:symbol val="diamond"/>
            <c:size val="6"/>
            <c:spPr>
              <a:solidFill>
                <a:srgbClr val="0000FF"/>
              </a:solidFill>
              <a:ln>
                <a:solidFill>
                  <a:srgbClr val="FF0000"/>
                </a:solidFill>
                <a:prstDash val="solid"/>
              </a:ln>
            </c:spPr>
          </c:marker>
          <c:xVal>
            <c:numRef>
              <c:f>'S03'!$E$178:$S$178</c:f>
              <c:numCache>
                <c:formatCode>General</c:formatCode>
                <c:ptCount val="15"/>
                <c:pt idx="7">
                  <c:v>6.6489064798930036E-4</c:v>
                </c:pt>
                <c:pt idx="8">
                  <c:v>6.6489064798930036E-4</c:v>
                </c:pt>
                <c:pt idx="9">
                  <c:v>6.6489064798930036E-4</c:v>
                </c:pt>
                <c:pt idx="10">
                  <c:v>6.6489064798930036E-4</c:v>
                </c:pt>
                <c:pt idx="11">
                  <c:v>6.6489064798930036E-4</c:v>
                </c:pt>
                <c:pt idx="12">
                  <c:v>6.6489064798930036E-4</c:v>
                </c:pt>
                <c:pt idx="13">
                  <c:v>6.6489064798930036E-4</c:v>
                </c:pt>
                <c:pt idx="14">
                  <c:v>6.6489064798930036E-4</c:v>
                </c:pt>
              </c:numCache>
            </c:numRef>
          </c:xVal>
          <c:yVal>
            <c:numRef>
              <c:f>'S03'!$E$179:$S$179</c:f>
              <c:numCache>
                <c:formatCode>General</c:formatCode>
                <c:ptCount val="15"/>
                <c:pt idx="7">
                  <c:v>8.0000097956166751</c:v>
                </c:pt>
                <c:pt idx="8">
                  <c:v>8.0000097956166751</c:v>
                </c:pt>
                <c:pt idx="9">
                  <c:v>8.0000097956166751</c:v>
                </c:pt>
                <c:pt idx="10">
                  <c:v>8.0000097956166751</c:v>
                </c:pt>
                <c:pt idx="11">
                  <c:v>8.0000097956166751</c:v>
                </c:pt>
                <c:pt idx="12">
                  <c:v>8.0000097956166751</c:v>
                </c:pt>
                <c:pt idx="13">
                  <c:v>8.0000097956166751</c:v>
                </c:pt>
                <c:pt idx="14">
                  <c:v>8.0000097956166751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D-4DFA-4D5F-B24D-8E6FA6D2C70B}"/>
            </c:ext>
          </c:extLst>
        </c:ser>
        <c:ser>
          <c:idx val="60"/>
          <c:order val="14"/>
          <c:tx>
            <c:v>8.bod</c:v>
          </c:tx>
          <c:spPr>
            <a:ln w="38100">
              <a:solidFill>
                <a:srgbClr val="FF0000"/>
              </a:solidFill>
              <a:prstDash val="solid"/>
            </a:ln>
          </c:spPr>
          <c:marker>
            <c:symbol val="diamond"/>
            <c:size val="6"/>
            <c:spPr>
              <a:solidFill>
                <a:srgbClr val="0000FF"/>
              </a:solidFill>
              <a:ln>
                <a:solidFill>
                  <a:srgbClr val="FF0000"/>
                </a:solidFill>
                <a:prstDash val="solid"/>
              </a:ln>
            </c:spPr>
          </c:marker>
          <c:xVal>
            <c:numRef>
              <c:f>'S03'!$E$176:$S$176</c:f>
              <c:numCache>
                <c:formatCode>General</c:formatCode>
                <c:ptCount val="15"/>
                <c:pt idx="6">
                  <c:v>6.6496099596165939E-2</c:v>
                </c:pt>
                <c:pt idx="7">
                  <c:v>6.6496099596165939E-2</c:v>
                </c:pt>
                <c:pt idx="8">
                  <c:v>6.6496099596165939E-2</c:v>
                </c:pt>
              </c:numCache>
            </c:numRef>
          </c:xVal>
          <c:yVal>
            <c:numRef>
              <c:f>'S03'!$E$177:$S$177</c:f>
              <c:numCache>
                <c:formatCode>General</c:formatCode>
                <c:ptCount val="15"/>
                <c:pt idx="6">
                  <c:v>7.2989893112922699</c:v>
                </c:pt>
                <c:pt idx="7">
                  <c:v>8.0009796653089023</c:v>
                </c:pt>
                <c:pt idx="8">
                  <c:v>8.0009796653089023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E-4DFA-4D5F-B24D-8E6FA6D2C70B}"/>
            </c:ext>
          </c:extLst>
        </c:ser>
        <c:ser>
          <c:idx val="59"/>
          <c:order val="15"/>
          <c:tx>
            <c:v>7.bod</c:v>
          </c:tx>
          <c:spPr>
            <a:ln w="38100">
              <a:solidFill>
                <a:srgbClr val="FF0000"/>
              </a:solidFill>
              <a:prstDash val="solid"/>
            </a:ln>
          </c:spPr>
          <c:marker>
            <c:symbol val="diamond"/>
            <c:size val="6"/>
            <c:spPr>
              <a:solidFill>
                <a:srgbClr val="000080"/>
              </a:solidFill>
              <a:ln>
                <a:solidFill>
                  <a:srgbClr val="FF0000"/>
                </a:solidFill>
                <a:prstDash val="solid"/>
              </a:ln>
            </c:spPr>
          </c:marker>
          <c:xVal>
            <c:numRef>
              <c:f>'S03'!$E$174:$S$174</c:f>
              <c:numCache>
                <c:formatCode>General</c:formatCode>
                <c:ptCount val="15"/>
                <c:pt idx="5">
                  <c:v>6.6496099596165939E-2</c:v>
                </c:pt>
                <c:pt idx="6">
                  <c:v>6.6496099596165939E-2</c:v>
                </c:pt>
                <c:pt idx="7">
                  <c:v>6.6496099596165939E-2</c:v>
                </c:pt>
              </c:numCache>
            </c:numRef>
          </c:xVal>
          <c:yVal>
            <c:numRef>
              <c:f>'S03'!$E$175:$S$175</c:f>
              <c:numCache>
                <c:formatCode>General</c:formatCode>
                <c:ptCount val="15"/>
                <c:pt idx="5">
                  <c:v>7.2989893112922699</c:v>
                </c:pt>
                <c:pt idx="6">
                  <c:v>7.2989893112922699</c:v>
                </c:pt>
                <c:pt idx="7">
                  <c:v>7.2989893112922699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F-4DFA-4D5F-B24D-8E6FA6D2C70B}"/>
            </c:ext>
          </c:extLst>
        </c:ser>
        <c:ser>
          <c:idx val="58"/>
          <c:order val="16"/>
          <c:tx>
            <c:v>6.bod</c:v>
          </c:tx>
          <c:spPr>
            <a:ln w="38100">
              <a:solidFill>
                <a:srgbClr val="FF0000"/>
              </a:solidFill>
              <a:prstDash val="solid"/>
            </a:ln>
          </c:spPr>
          <c:marker>
            <c:symbol val="diamond"/>
            <c:size val="6"/>
            <c:spPr>
              <a:solidFill>
                <a:srgbClr val="0000FF"/>
              </a:solidFill>
              <a:ln>
                <a:solidFill>
                  <a:srgbClr val="FF0000"/>
                </a:solidFill>
                <a:prstDash val="solid"/>
              </a:ln>
            </c:spPr>
          </c:marker>
          <c:xVal>
            <c:numRef>
              <c:f>'S03'!$E$172:$S$172</c:f>
              <c:numCache>
                <c:formatCode>General</c:formatCode>
                <c:ptCount val="15"/>
                <c:pt idx="4">
                  <c:v>9.3757233081908904</c:v>
                </c:pt>
                <c:pt idx="5">
                  <c:v>6.7207177223736538</c:v>
                </c:pt>
                <c:pt idx="6">
                  <c:v>8.3203757830561539E-2</c:v>
                </c:pt>
              </c:numCache>
            </c:numRef>
          </c:xVal>
          <c:yVal>
            <c:numRef>
              <c:f>'S03'!$E$173:$S$173</c:f>
              <c:numCache>
                <c:formatCode>General</c:formatCode>
                <c:ptCount val="15"/>
                <c:pt idx="4">
                  <c:v>20.345323670361086</c:v>
                </c:pt>
                <c:pt idx="5">
                  <c:v>7.3884224308126258</c:v>
                </c:pt>
                <c:pt idx="6">
                  <c:v>-25.003830668058537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0-4DFA-4D5F-B24D-8E6FA6D2C70B}"/>
            </c:ext>
          </c:extLst>
        </c:ser>
        <c:ser>
          <c:idx val="57"/>
          <c:order val="17"/>
          <c:tx>
            <c:v>5.bod</c:v>
          </c:tx>
          <c:spPr>
            <a:ln w="38100">
              <a:solidFill>
                <a:srgbClr val="FF0000"/>
              </a:solidFill>
              <a:prstDash val="solid"/>
            </a:ln>
          </c:spPr>
          <c:marker>
            <c:symbol val="diamond"/>
            <c:size val="6"/>
            <c:spPr>
              <a:solidFill>
                <a:srgbClr val="0000FF"/>
              </a:solidFill>
              <a:ln>
                <a:solidFill>
                  <a:srgbClr val="FF0000"/>
                </a:solidFill>
                <a:prstDash val="solid"/>
              </a:ln>
            </c:spPr>
          </c:marker>
          <c:xVal>
            <c:numRef>
              <c:f>'S03'!$E$170:$S$170</c:f>
              <c:numCache>
                <c:formatCode>General</c:formatCode>
                <c:ptCount val="15"/>
                <c:pt idx="3">
                  <c:v>9.3757233081908904</c:v>
                </c:pt>
                <c:pt idx="4">
                  <c:v>9.3757233081908904</c:v>
                </c:pt>
                <c:pt idx="5">
                  <c:v>9.3757233081908904</c:v>
                </c:pt>
              </c:numCache>
            </c:numRef>
          </c:xVal>
          <c:yVal>
            <c:numRef>
              <c:f>'S03'!$E$171:$S$171</c:f>
              <c:numCache>
                <c:formatCode>General</c:formatCode>
                <c:ptCount val="15"/>
                <c:pt idx="3">
                  <c:v>20.345323670361086</c:v>
                </c:pt>
                <c:pt idx="4">
                  <c:v>20.345323670361086</c:v>
                </c:pt>
                <c:pt idx="5">
                  <c:v>20.345323670361086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1-4DFA-4D5F-B24D-8E6FA6D2C70B}"/>
            </c:ext>
          </c:extLst>
        </c:ser>
        <c:ser>
          <c:idx val="56"/>
          <c:order val="18"/>
          <c:tx>
            <c:v>4.bod</c:v>
          </c:tx>
          <c:spPr>
            <a:ln w="38100">
              <a:solidFill>
                <a:srgbClr val="FF0000"/>
              </a:solidFill>
              <a:prstDash val="solid"/>
            </a:ln>
          </c:spPr>
          <c:marker>
            <c:symbol val="diamond"/>
            <c:size val="6"/>
            <c:spPr>
              <a:solidFill>
                <a:srgbClr val="0000FF"/>
              </a:solidFill>
              <a:ln>
                <a:solidFill>
                  <a:srgbClr val="FF0000"/>
                </a:solidFill>
                <a:prstDash val="solid"/>
              </a:ln>
            </c:spPr>
          </c:marker>
          <c:xVal>
            <c:numRef>
              <c:f>'S03'!$E$168:$S$168</c:f>
              <c:numCache>
                <c:formatCode>General</c:formatCode>
                <c:ptCount val="15"/>
                <c:pt idx="2">
                  <c:v>8.3203757830561539E-2</c:v>
                </c:pt>
                <c:pt idx="3">
                  <c:v>8.3203757830561539E-2</c:v>
                </c:pt>
                <c:pt idx="4">
                  <c:v>8.3203757830561539E-2</c:v>
                </c:pt>
              </c:numCache>
            </c:numRef>
          </c:xVal>
          <c:yVal>
            <c:numRef>
              <c:f>'S03'!$E$169:$S$169</c:f>
              <c:numCache>
                <c:formatCode>General</c:formatCode>
                <c:ptCount val="15"/>
                <c:pt idx="2">
                  <c:v>-25.003830668058537</c:v>
                </c:pt>
                <c:pt idx="3">
                  <c:v>-25.003830668058537</c:v>
                </c:pt>
                <c:pt idx="4">
                  <c:v>-25.003830668058537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2-4DFA-4D5F-B24D-8E6FA6D2C70B}"/>
            </c:ext>
          </c:extLst>
        </c:ser>
        <c:ser>
          <c:idx val="55"/>
          <c:order val="19"/>
          <c:tx>
            <c:v>3.bod</c:v>
          </c:tx>
          <c:spPr>
            <a:ln w="38100">
              <a:solidFill>
                <a:srgbClr val="FF0000"/>
              </a:solidFill>
              <a:prstDash val="solid"/>
            </a:ln>
          </c:spPr>
          <c:marker>
            <c:symbol val="diamond"/>
            <c:size val="6"/>
            <c:spPr>
              <a:solidFill>
                <a:srgbClr val="0000FF"/>
              </a:solidFill>
              <a:ln>
                <a:solidFill>
                  <a:srgbClr val="FF0000"/>
                </a:solidFill>
                <a:prstDash val="solid"/>
              </a:ln>
            </c:spPr>
          </c:marker>
          <c:xVal>
            <c:numRef>
              <c:f>'S03'!$E$166:$S$166</c:f>
              <c:numCache>
                <c:formatCode>General</c:formatCode>
                <c:ptCount val="15"/>
                <c:pt idx="1">
                  <c:v>8.3203757830561539E-2</c:v>
                </c:pt>
                <c:pt idx="2">
                  <c:v>8.3203757830561539E-2</c:v>
                </c:pt>
                <c:pt idx="3">
                  <c:v>8.3203757830561539E-2</c:v>
                </c:pt>
              </c:numCache>
            </c:numRef>
          </c:xVal>
          <c:yVal>
            <c:numRef>
              <c:f>'S03'!$E$167:$S$167</c:f>
              <c:numCache>
                <c:formatCode>General</c:formatCode>
                <c:ptCount val="15"/>
                <c:pt idx="1">
                  <c:v>-25.003830668058537</c:v>
                </c:pt>
                <c:pt idx="2">
                  <c:v>-25.003830668058537</c:v>
                </c:pt>
                <c:pt idx="3">
                  <c:v>-25.003830668058537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3-4DFA-4D5F-B24D-8E6FA6D2C70B}"/>
            </c:ext>
          </c:extLst>
        </c:ser>
        <c:ser>
          <c:idx val="54"/>
          <c:order val="20"/>
          <c:tx>
            <c:v>3.bod</c:v>
          </c:tx>
          <c:spPr>
            <a:ln w="38100">
              <a:solidFill>
                <a:srgbClr val="FF0000"/>
              </a:solidFill>
              <a:prstDash val="solid"/>
            </a:ln>
          </c:spPr>
          <c:marker>
            <c:symbol val="diamond"/>
            <c:size val="6"/>
            <c:spPr>
              <a:solidFill>
                <a:srgbClr val="0000FF"/>
              </a:solidFill>
              <a:ln>
                <a:solidFill>
                  <a:srgbClr val="FF0000"/>
                </a:solidFill>
                <a:prstDash val="solid"/>
              </a:ln>
            </c:spPr>
          </c:marker>
          <c:xVal>
            <c:numRef>
              <c:f>'S03'!$E$164:$S$164</c:f>
              <c:numCache>
                <c:formatCode>General</c:formatCode>
                <c:ptCount val="15"/>
                <c:pt idx="0">
                  <c:v>8.3203757830561539E-2</c:v>
                </c:pt>
                <c:pt idx="1">
                  <c:v>8.3203757830561539E-2</c:v>
                </c:pt>
              </c:numCache>
            </c:numRef>
          </c:xVal>
          <c:yVal>
            <c:numRef>
              <c:f>'S03'!$E$165:$S$165</c:f>
              <c:numCache>
                <c:formatCode>General</c:formatCode>
                <c:ptCount val="15"/>
                <c:pt idx="0">
                  <c:v>-25.003830668058537</c:v>
                </c:pt>
                <c:pt idx="1">
                  <c:v>-25.003830668058537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4-4DFA-4D5F-B24D-8E6FA6D2C70B}"/>
            </c:ext>
          </c:extLst>
        </c:ser>
        <c:ser>
          <c:idx val="14"/>
          <c:order val="21"/>
          <c:tx>
            <c:v>2.bod</c:v>
          </c:tx>
          <c:spPr>
            <a:ln w="38100">
              <a:solidFill>
                <a:srgbClr val="FF0000"/>
              </a:solidFill>
              <a:prstDash val="solid"/>
            </a:ln>
          </c:spPr>
          <c:marker>
            <c:symbol val="diamond"/>
            <c:size val="6"/>
            <c:spPr>
              <a:solidFill>
                <a:srgbClr val="0000FF"/>
              </a:solidFill>
              <a:ln>
                <a:solidFill>
                  <a:srgbClr val="FF0000"/>
                </a:solidFill>
                <a:prstDash val="solid"/>
              </a:ln>
            </c:spPr>
          </c:marker>
          <c:xVal>
            <c:numRef>
              <c:f>'S03'!$E$164:$S$164</c:f>
              <c:numCache>
                <c:formatCode>General</c:formatCode>
                <c:ptCount val="15"/>
                <c:pt idx="0">
                  <c:v>8.3203757830561539E-2</c:v>
                </c:pt>
                <c:pt idx="1">
                  <c:v>8.3203757830561539E-2</c:v>
                </c:pt>
              </c:numCache>
            </c:numRef>
          </c:xVal>
          <c:yVal>
            <c:numRef>
              <c:f>'S03'!$E$165:$S$165</c:f>
              <c:numCache>
                <c:formatCode>General</c:formatCode>
                <c:ptCount val="15"/>
                <c:pt idx="0">
                  <c:v>-25.003830668058537</c:v>
                </c:pt>
                <c:pt idx="1">
                  <c:v>-25.003830668058537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5-4DFA-4D5F-B24D-8E6FA6D2C70B}"/>
            </c:ext>
          </c:extLst>
        </c:ser>
        <c:ser>
          <c:idx val="53"/>
          <c:order val="22"/>
          <c:tx>
            <c:v>1.bod</c:v>
          </c:tx>
          <c:spPr>
            <a:ln w="38100">
              <a:solidFill>
                <a:srgbClr val="FF0000"/>
              </a:solidFill>
              <a:prstDash val="solid"/>
            </a:ln>
          </c:spPr>
          <c:marker>
            <c:symbol val="diamond"/>
            <c:size val="6"/>
            <c:spPr>
              <a:solidFill>
                <a:srgbClr val="0000FF"/>
              </a:solidFill>
              <a:ln>
                <a:solidFill>
                  <a:srgbClr val="FF0000"/>
                </a:solidFill>
                <a:prstDash val="solid"/>
              </a:ln>
            </c:spPr>
          </c:marker>
          <c:xVal>
            <c:numRef>
              <c:f>'S03'!$E$162:$S$162</c:f>
              <c:numCache>
                <c:formatCode>General</c:formatCode>
                <c:ptCount val="15"/>
                <c:pt idx="0">
                  <c:v>8.3203757830561539E-2</c:v>
                </c:pt>
              </c:numCache>
            </c:numRef>
          </c:xVal>
          <c:yVal>
            <c:numRef>
              <c:f>'S03'!$E$163:$S$163</c:f>
              <c:numCache>
                <c:formatCode>General</c:formatCode>
                <c:ptCount val="15"/>
                <c:pt idx="0">
                  <c:v>-25.003830668058537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6-4DFA-4D5F-B24D-8E6FA6D2C70B}"/>
            </c:ext>
          </c:extLst>
        </c:ser>
        <c:ser>
          <c:idx val="48"/>
          <c:order val="23"/>
          <c:spPr>
            <a:ln w="3175">
              <a:solidFill>
                <a:srgbClr val="000000"/>
              </a:solidFill>
              <a:prstDash val="solid"/>
            </a:ln>
          </c:spPr>
          <c:marker>
            <c:symbol val="none"/>
          </c:marker>
          <c:xVal>
            <c:numRef>
              <c:f>'-'!$D$79:$T$79</c:f>
              <c:numCache>
                <c:formatCode>General</c:formatCode>
                <c:ptCount val="17"/>
                <c:pt idx="2">
                  <c:v>0.17101280627768012</c:v>
                </c:pt>
                <c:pt idx="3">
                  <c:v>0.26443999317586409</c:v>
                </c:pt>
                <c:pt idx="4">
                  <c:v>0.40111958118109542</c:v>
                </c:pt>
                <c:pt idx="5">
                  <c:v>0.57365941965561285</c:v>
                </c:pt>
                <c:pt idx="6">
                  <c:v>0.80856460613349224</c:v>
                </c:pt>
                <c:pt idx="7">
                  <c:v>1.1242211125591719</c:v>
                </c:pt>
                <c:pt idx="8">
                  <c:v>1.5432417243466023</c:v>
                </c:pt>
                <c:pt idx="9">
                  <c:v>2.093178554164365</c:v>
                </c:pt>
                <c:pt idx="10">
                  <c:v>2.8073255116868441</c:v>
                </c:pt>
                <c:pt idx="11">
                  <c:v>3.7256286077166139</c:v>
                </c:pt>
                <c:pt idx="12">
                  <c:v>4.89572992529573</c:v>
                </c:pt>
                <c:pt idx="13">
                  <c:v>6.3741820722374358</c:v>
                </c:pt>
                <c:pt idx="14">
                  <c:v>8.2278849367789046</c:v>
                </c:pt>
                <c:pt idx="15">
                  <c:v>10.53581702830612</c:v>
                </c:pt>
                <c:pt idx="16">
                  <c:v>13.391161696827741</c:v>
                </c:pt>
              </c:numCache>
            </c:numRef>
          </c:xVal>
          <c:yVal>
            <c:numRef>
              <c:f>'-'!$D$80:$T$80</c:f>
              <c:numCache>
                <c:formatCode>General</c:formatCode>
                <c:ptCount val="17"/>
                <c:pt idx="2">
                  <c:v>-10.003149344749273</c:v>
                </c:pt>
                <c:pt idx="3">
                  <c:v>-5.002434942511421</c:v>
                </c:pt>
                <c:pt idx="4">
                  <c:v>0</c:v>
                </c:pt>
                <c:pt idx="5">
                  <c:v>5.0052822104978194</c:v>
                </c:pt>
                <c:pt idx="6">
                  <c:v>10.014890397697112</c:v>
                </c:pt>
                <c:pt idx="7">
                  <c:v>15.031055216871684</c:v>
                </c:pt>
                <c:pt idx="8">
                  <c:v>20.05684019024326</c:v>
                </c:pt>
                <c:pt idx="9">
                  <c:v>25.096369111652123</c:v>
                </c:pt>
                <c:pt idx="10">
                  <c:v>30.155097785695176</c:v>
                </c:pt>
                <c:pt idx="11">
                  <c:v>35.240137051843917</c:v>
                </c:pt>
                <c:pt idx="12">
                  <c:v>40.36063594697228</c:v>
                </c:pt>
                <c:pt idx="13">
                  <c:v>45.528236672719089</c:v>
                </c:pt>
                <c:pt idx="14">
                  <c:v>50.757617127842018</c:v>
                </c:pt>
                <c:pt idx="15">
                  <c:v>56.067142655441302</c:v>
                </c:pt>
                <c:pt idx="16">
                  <c:v>61.47965707461978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7-4DFA-4D5F-B24D-8E6FA6D2C70B}"/>
            </c:ext>
          </c:extLst>
        </c:ser>
        <c:ser>
          <c:idx val="47"/>
          <c:order val="24"/>
          <c:spPr>
            <a:ln w="3175">
              <a:solidFill>
                <a:srgbClr val="000000"/>
              </a:solidFill>
              <a:prstDash val="solid"/>
            </a:ln>
          </c:spPr>
          <c:marker>
            <c:symbol val="none"/>
          </c:marker>
          <c:xVal>
            <c:numRef>
              <c:f>'-'!$D$77:$T$77</c:f>
              <c:numCache>
                <c:formatCode>General</c:formatCode>
                <c:ptCount val="17"/>
                <c:pt idx="0">
                  <c:v>0.1358156797329006</c:v>
                </c:pt>
                <c:pt idx="1">
                  <c:v>0.21750328911584826</c:v>
                </c:pt>
                <c:pt idx="2">
                  <c:v>0.34211964476451118</c:v>
                </c:pt>
                <c:pt idx="3">
                  <c:v>0.52910486016338154</c:v>
                </c:pt>
                <c:pt idx="4">
                  <c:v>0.802756683134497</c:v>
                </c:pt>
                <c:pt idx="5">
                  <c:v>1.1483776269084569</c:v>
                </c:pt>
                <c:pt idx="6">
                  <c:v>1.6192334470055176</c:v>
                </c:pt>
                <c:pt idx="7">
                  <c:v>2.2525121732724562</c:v>
                </c:pt>
                <c:pt idx="8">
                  <c:v>3.0941578838395496</c:v>
                </c:pt>
                <c:pt idx="9">
                  <c:v>4.2004882106101</c:v>
                </c:pt>
                <c:pt idx="10">
                  <c:v>5.640098778418829</c:v>
                </c:pt>
                <c:pt idx="11">
                  <c:v>7.4961428539161545</c:v>
                </c:pt>
                <c:pt idx="12">
                  <c:v>9.8691141700684106</c:v>
                </c:pt>
                <c:pt idx="13">
                  <c:v>12.880317680384588</c:v>
                </c:pt>
                <c:pt idx="14">
                  <c:v>16.676294841620564</c:v>
                </c:pt>
                <c:pt idx="15">
                  <c:v>21.434589559138622</c:v>
                </c:pt>
                <c:pt idx="16">
                  <c:v>27.371418690269035</c:v>
                </c:pt>
              </c:numCache>
            </c:numRef>
          </c:xVal>
          <c:yVal>
            <c:numRef>
              <c:f>'-'!$D$78:$T$78</c:f>
              <c:numCache>
                <c:formatCode>General</c:formatCode>
                <c:ptCount val="17"/>
                <c:pt idx="0">
                  <c:v>-20.005002320085211</c:v>
                </c:pt>
                <c:pt idx="1">
                  <c:v>-15.006008259174585</c:v>
                </c:pt>
                <c:pt idx="2">
                  <c:v>-10.006300421180811</c:v>
                </c:pt>
                <c:pt idx="3">
                  <c:v>-5.0048719556430887</c:v>
                </c:pt>
                <c:pt idx="4">
                  <c:v>0</c:v>
                </c:pt>
                <c:pt idx="5">
                  <c:v>5.0105741702279687</c:v>
                </c:pt>
                <c:pt idx="6">
                  <c:v>10.029819546647824</c:v>
                </c:pt>
                <c:pt idx="7">
                  <c:v>15.062222861024061</c:v>
                </c:pt>
                <c:pt idx="8">
                  <c:v>20.113963042850326</c:v>
                </c:pt>
                <c:pt idx="9">
                  <c:v>25.193388813656799</c:v>
                </c:pt>
                <c:pt idx="10">
                  <c:v>30.311601496867098</c:v>
                </c:pt>
                <c:pt idx="11">
                  <c:v>35.483167227514798</c:v>
                </c:pt>
                <c:pt idx="12">
                  <c:v>40.726992172527808</c:v>
                </c:pt>
                <c:pt idx="13">
                  <c:v>46.067408504800191</c:v>
                </c:pt>
                <c:pt idx="14">
                  <c:v>51.535540020070016</c:v>
                </c:pt>
                <c:pt idx="15">
                  <c:v>57.171048031584036</c:v>
                </c:pt>
                <c:pt idx="16">
                  <c:v>63.024406263202003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8-4DFA-4D5F-B24D-8E6FA6D2C70B}"/>
            </c:ext>
          </c:extLst>
        </c:ser>
        <c:ser>
          <c:idx val="46"/>
          <c:order val="25"/>
          <c:spPr>
            <a:ln w="3175">
              <a:solidFill>
                <a:srgbClr val="000000"/>
              </a:solidFill>
              <a:prstDash val="solid"/>
            </a:ln>
          </c:spPr>
          <c:marker>
            <c:symbol val="none"/>
          </c:marker>
          <c:xVal>
            <c:numRef>
              <c:f>'-'!$D$75:$T$75</c:f>
              <c:numCache>
                <c:formatCode>General</c:formatCode>
                <c:ptCount val="17"/>
                <c:pt idx="2">
                  <c:v>0.51332059303791133</c:v>
                </c:pt>
                <c:pt idx="3">
                  <c:v>0.79399488792599981</c:v>
                </c:pt>
                <c:pt idx="4">
                  <c:v>1.2049123080574862</c:v>
                </c:pt>
                <c:pt idx="5">
                  <c:v>1.7241575557293394</c:v>
                </c:pt>
                <c:pt idx="6">
                  <c:v>2.4320147475114751</c:v>
                </c:pt>
                <c:pt idx="7">
                  <c:v>3.3848953234906629</c:v>
                </c:pt>
                <c:pt idx="8">
                  <c:v>4.6528058678341644</c:v>
                </c:pt>
                <c:pt idx="9">
                  <c:v>6.3220725531589315</c:v>
                </c:pt>
                <c:pt idx="10">
                  <c:v>8.4986673926196445</c:v>
                </c:pt>
                <c:pt idx="11">
                  <c:v>11.312358814535846</c:v>
                </c:pt>
                <c:pt idx="12">
                  <c:v>14.922015091963811</c:v>
                </c:pt>
                <c:pt idx="13">
                  <c:v>19.522547083389735</c:v>
                </c:pt>
                <c:pt idx="14">
                  <c:v>25.354215953135277</c:v>
                </c:pt>
                <c:pt idx="15">
                  <c:v>32.715401866243447</c:v>
                </c:pt>
                <c:pt idx="16">
                  <c:v>41.980517887487068</c:v>
                </c:pt>
              </c:numCache>
            </c:numRef>
          </c:xVal>
          <c:yVal>
            <c:numRef>
              <c:f>'-'!$D$76:$T$76</c:f>
              <c:numCache>
                <c:formatCode>General</c:formatCode>
                <c:ptCount val="17"/>
                <c:pt idx="2">
                  <c:v>-10.009453230723272</c:v>
                </c:pt>
                <c:pt idx="3">
                  <c:v>-5.0073110420373377</c:v>
                </c:pt>
                <c:pt idx="4">
                  <c:v>0</c:v>
                </c:pt>
                <c:pt idx="5">
                  <c:v>5.0158759062062197</c:v>
                </c:pt>
                <c:pt idx="6">
                  <c:v>10.044787598320507</c:v>
                </c:pt>
                <c:pt idx="7">
                  <c:v>15.093503544084545</c:v>
                </c:pt>
                <c:pt idx="8">
                  <c:v>20.171370671567754</c:v>
                </c:pt>
                <c:pt idx="9">
                  <c:v>25.291065716556325</c:v>
                </c:pt>
                <c:pt idx="10">
                  <c:v>30.46953033713681</c:v>
                </c:pt>
                <c:pt idx="11">
                  <c:v>35.729143127550778</c:v>
                </c:pt>
                <c:pt idx="12">
                  <c:v>41.099205864200101</c:v>
                </c:pt>
                <c:pt idx="13">
                  <c:v>46.617858604831412</c:v>
                </c:pt>
                <c:pt idx="14">
                  <c:v>52.334596122417409</c:v>
                </c:pt>
                <c:pt idx="15">
                  <c:v>58.313649119719507</c:v>
                </c:pt>
                <c:pt idx="16">
                  <c:v>64.638639402221344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9-4DFA-4D5F-B24D-8E6FA6D2C70B}"/>
            </c:ext>
          </c:extLst>
        </c:ser>
        <c:ser>
          <c:idx val="45"/>
          <c:order val="26"/>
          <c:spPr>
            <a:ln w="3175">
              <a:solidFill>
                <a:srgbClr val="000000"/>
              </a:solidFill>
              <a:prstDash val="solid"/>
            </a:ln>
          </c:spPr>
          <c:marker>
            <c:symbol val="none"/>
          </c:marker>
          <c:xVal>
            <c:numRef>
              <c:f>'-'!$D$73:$T$73</c:f>
              <c:numCache>
                <c:formatCode>General</c:formatCode>
                <c:ptCount val="17"/>
                <c:pt idx="0">
                  <c:v>0.27169066491795946</c:v>
                </c:pt>
                <c:pt idx="1">
                  <c:v>0.43515869724156031</c:v>
                </c:pt>
                <c:pt idx="2">
                  <c:v>0.6846157287606579</c:v>
                </c:pt>
                <c:pt idx="3">
                  <c:v>1.0591103639156361</c:v>
                </c:pt>
                <c:pt idx="4">
                  <c:v>1.6075874607367364</c:v>
                </c:pt>
                <c:pt idx="5">
                  <c:v>2.301002150939393</c:v>
                </c:pt>
                <c:pt idx="6">
                  <c:v>3.2469167754679309</c:v>
                </c:pt>
                <c:pt idx="7">
                  <c:v>4.5213928654610109</c:v>
                </c:pt>
                <c:pt idx="8">
                  <c:v>6.2192436393250885</c:v>
                </c:pt>
                <c:pt idx="9">
                  <c:v>8.4580771174857539</c:v>
                </c:pt>
                <c:pt idx="10">
                  <c:v>11.38338530604838</c:v>
                </c:pt>
                <c:pt idx="11">
                  <c:v>15.175112469151824</c:v>
                </c:pt>
                <c:pt idx="12">
                  <c:v>20.056355080942424</c:v>
                </c:pt>
                <c:pt idx="13">
                  <c:v>26.305185580831161</c:v>
                </c:pt>
                <c:pt idx="14">
                  <c:v>34.271129477061152</c:v>
                </c:pt>
                <c:pt idx="15">
                  <c:v>44.398700031379001</c:v>
                </c:pt>
                <c:pt idx="16">
                  <c:v>57.261864154498319</c:v>
                </c:pt>
              </c:numCache>
            </c:numRef>
          </c:xVal>
          <c:yVal>
            <c:numRef>
              <c:f>'-'!$D$74:$T$74</c:f>
              <c:numCache>
                <c:formatCode>General</c:formatCode>
                <c:ptCount val="17"/>
                <c:pt idx="0">
                  <c:v>-20.010006824490048</c:v>
                </c:pt>
                <c:pt idx="1">
                  <c:v>-15.012020720448554</c:v>
                </c:pt>
                <c:pt idx="2">
                  <c:v>-10.012607774806879</c:v>
                </c:pt>
                <c:pt idx="3">
                  <c:v>-5.0097522043410052</c:v>
                </c:pt>
                <c:pt idx="4">
                  <c:v>0</c:v>
                </c:pt>
                <c:pt idx="5">
                  <c:v>5.0211874455482537</c:v>
                </c:pt>
                <c:pt idx="6">
                  <c:v>10.059794704973962</c:v>
                </c:pt>
                <c:pt idx="7">
                  <c:v>15.124897882125111</c:v>
                </c:pt>
                <c:pt idx="8">
                  <c:v>20.229065211270193</c:v>
                </c:pt>
                <c:pt idx="9">
                  <c:v>25.389406520755532</c:v>
                </c:pt>
                <c:pt idx="10">
                  <c:v>30.62890386146287</c:v>
                </c:pt>
                <c:pt idx="11">
                  <c:v>35.978118635387908</c:v>
                </c:pt>
                <c:pt idx="12">
                  <c:v>41.477418631705063</c:v>
                </c:pt>
                <c:pt idx="13">
                  <c:v>47.179944587243135</c:v>
                </c:pt>
                <c:pt idx="14">
                  <c:v>53.155658456798697</c:v>
                </c:pt>
                <c:pt idx="15">
                  <c:v>59.497016844762449</c:v>
                </c:pt>
                <c:pt idx="16">
                  <c:v>66.327152514497044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A-4DFA-4D5F-B24D-8E6FA6D2C70B}"/>
            </c:ext>
          </c:extLst>
        </c:ser>
        <c:ser>
          <c:idx val="44"/>
          <c:order val="27"/>
          <c:spPr>
            <a:ln w="12700">
              <a:solidFill>
                <a:srgbClr val="000000"/>
              </a:solidFill>
              <a:prstDash val="solid"/>
            </a:ln>
          </c:spPr>
          <c:marker>
            <c:symbol val="none"/>
          </c:marker>
          <c:xVal>
            <c:numRef>
              <c:f>'-'!$D$71:$T$71</c:f>
              <c:numCache>
                <c:formatCode>General</c:formatCode>
                <c:ptCount val="17"/>
                <c:pt idx="2">
                  <c:v>0.85600512968100539</c:v>
                </c:pt>
                <c:pt idx="3">
                  <c:v>1.3244515760737172</c:v>
                </c:pt>
                <c:pt idx="4">
                  <c:v>2.0107831485566803</c:v>
                </c:pt>
                <c:pt idx="5">
                  <c:v>2.8789143682602814</c:v>
                </c:pt>
                <c:pt idx="6">
                  <c:v>4.0639478418929604</c:v>
                </c:pt>
                <c:pt idx="7">
                  <c:v>5.6620272637912876</c:v>
                </c:pt>
                <c:pt idx="8">
                  <c:v>7.7935297421315459</c:v>
                </c:pt>
                <c:pt idx="9">
                  <c:v>10.608649424398145</c:v>
                </c:pt>
                <c:pt idx="10">
                  <c:v>14.294612975900844</c:v>
                </c:pt>
                <c:pt idx="11">
                  <c:v>19.085260311500072</c:v>
                </c:pt>
                <c:pt idx="12">
                  <c:v>25.274118997826371</c:v>
                </c:pt>
                <c:pt idx="13">
                  <c:v>33.2327328621272</c:v>
                </c:pt>
                <c:pt idx="14">
                  <c:v>43.437046140924913</c:v>
                </c:pt>
                <c:pt idx="15">
                  <c:v>56.506415619805608</c:v>
                </c:pt>
                <c:pt idx="16">
                  <c:v>73.262951034366679</c:v>
                </c:pt>
              </c:numCache>
            </c:numRef>
          </c:xVal>
          <c:yVal>
            <c:numRef>
              <c:f>'-'!$D$72:$T$72</c:f>
              <c:numCache>
                <c:formatCode>General</c:formatCode>
                <c:ptCount val="17"/>
                <c:pt idx="2">
                  <c:v>-10.015764054863432</c:v>
                </c:pt>
                <c:pt idx="3">
                  <c:v>-5.0121954452054309</c:v>
                </c:pt>
                <c:pt idx="4">
                  <c:v>0</c:v>
                </c:pt>
                <c:pt idx="5">
                  <c:v>5.0265088154701196</c:v>
                </c:pt>
                <c:pt idx="6">
                  <c:v>10.074841019662582</c:v>
                </c:pt>
                <c:pt idx="7">
                  <c:v>15.15640649570275</c:v>
                </c:pt>
                <c:pt idx="8">
                  <c:v>20.287048818225042</c:v>
                </c:pt>
                <c:pt idx="9">
                  <c:v>25.488418018053974</c:v>
                </c:pt>
                <c:pt idx="10">
                  <c:v>30.789741984213137</c:v>
                </c:pt>
                <c:pt idx="11">
                  <c:v>36.230148956711538</c:v>
                </c:pt>
                <c:pt idx="12">
                  <c:v>41.861776686572554</c:v>
                </c:pt>
                <c:pt idx="13">
                  <c:v>47.754039347089162</c:v>
                </c:pt>
                <c:pt idx="14">
                  <c:v>53.999648803075267</c:v>
                </c:pt>
                <c:pt idx="15">
                  <c:v>60.723372591986248</c:v>
                </c:pt>
                <c:pt idx="16">
                  <c:v>68.095193401421113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B-4DFA-4D5F-B24D-8E6FA6D2C70B}"/>
            </c:ext>
          </c:extLst>
        </c:ser>
        <c:ser>
          <c:idx val="43"/>
          <c:order val="28"/>
          <c:spPr>
            <a:ln w="3175">
              <a:solidFill>
                <a:srgbClr val="000000"/>
              </a:solidFill>
              <a:prstDash val="solid"/>
            </a:ln>
          </c:spPr>
          <c:marker>
            <c:symbol val="none"/>
          </c:marker>
          <c:xVal>
            <c:numRef>
              <c:f>'-'!$D$69:$T$69</c:f>
              <c:numCache>
                <c:formatCode>General</c:formatCode>
                <c:ptCount val="17"/>
                <c:pt idx="0">
                  <c:v>0.40762499440825367</c:v>
                </c:pt>
                <c:pt idx="1">
                  <c:v>0.6529663840180876</c:v>
                </c:pt>
                <c:pt idx="2">
                  <c:v>1.0274888736328025</c:v>
                </c:pt>
                <c:pt idx="3">
                  <c:v>1.5900188128322221</c:v>
                </c:pt>
                <c:pt idx="4">
                  <c:v>2.4145003815079136</c:v>
                </c:pt>
                <c:pt idx="5">
                  <c:v>3.4578971743646818</c:v>
                </c:pt>
                <c:pt idx="6">
                  <c:v>4.8831163012886956</c:v>
                </c:pt>
                <c:pt idx="7">
                  <c:v>6.8068211469300222</c:v>
                </c:pt>
                <c:pt idx="8">
                  <c:v>9.3757233081908922</c:v>
                </c:pt>
                <c:pt idx="9">
                  <c:v>12.773939013799161</c:v>
                </c:pt>
                <c:pt idx="10">
                  <c:v>17.232717514957368</c:v>
                </c:pt>
                <c:pt idx="11">
                  <c:v>23.043679982608502</c:v>
                </c:pt>
                <c:pt idx="12">
                  <c:v>30.577356732686056</c:v>
                </c:pt>
                <c:pt idx="13">
                  <c:v>40.309882961444735</c:v>
                </c:pt>
                <c:pt idx="14">
                  <c:v>52.862543684490774</c:v>
                </c:pt>
                <c:pt idx="15">
                  <c:v>69.06210308333759</c:v>
                </c:pt>
                <c:pt idx="16">
                  <c:v>90.035853792752661</c:v>
                </c:pt>
              </c:numCache>
            </c:numRef>
          </c:xVal>
          <c:yVal>
            <c:numRef>
              <c:f>'-'!$D$70:$T$70</c:f>
              <c:numCache>
                <c:formatCode>General</c:formatCode>
                <c:ptCount val="17"/>
                <c:pt idx="0">
                  <c:v>-20.015013514645531</c:v>
                </c:pt>
                <c:pt idx="1">
                  <c:v>-15.018037388231788</c:v>
                </c:pt>
                <c:pt idx="2">
                  <c:v>-10.018922072326307</c:v>
                </c:pt>
                <c:pt idx="3">
                  <c:v>-5.0146407672864743</c:v>
                </c:pt>
                <c:pt idx="4">
                  <c:v>0</c:v>
                </c:pt>
                <c:pt idx="5">
                  <c:v>5.0318400432887049</c:v>
                </c:pt>
                <c:pt idx="6">
                  <c:v>10.089926696241555</c:v>
                </c:pt>
                <c:pt idx="7">
                  <c:v>15.188030009900345</c:v>
                </c:pt>
                <c:pt idx="8">
                  <c:v>20.345323670361086</c:v>
                </c:pt>
                <c:pt idx="9">
                  <c:v>25.588107093209565</c:v>
                </c:pt>
                <c:pt idx="10">
                  <c:v>30.952064987460023</c:v>
                </c:pt>
                <c:pt idx="11">
                  <c:v>36.485290660265164</c:v>
                </c:pt>
                <c:pt idx="12">
                  <c:v>42.252431030605784</c:v>
                </c:pt>
                <c:pt idx="13">
                  <c:v>48.340531885022699</c:v>
                </c:pt>
                <c:pt idx="14">
                  <c:v>54.867541151146177</c:v>
                </c:pt>
                <c:pt idx="15">
                  <c:v>61.995102124183596</c:v>
                </c:pt>
                <c:pt idx="16">
                  <c:v>69.948516122050691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C-4DFA-4D5F-B24D-8E6FA6D2C70B}"/>
            </c:ext>
          </c:extLst>
        </c:ser>
        <c:ser>
          <c:idx val="42"/>
          <c:order val="29"/>
          <c:spPr>
            <a:ln w="3175">
              <a:solidFill>
                <a:srgbClr val="000000"/>
              </a:solidFill>
              <a:prstDash val="solid"/>
            </a:ln>
          </c:spPr>
          <c:marker>
            <c:symbol val="none"/>
          </c:marker>
          <c:xVal>
            <c:numRef>
              <c:f>'-'!$D$67:$T$67</c:f>
              <c:numCache>
                <c:formatCode>General</c:formatCode>
                <c:ptCount val="17"/>
                <c:pt idx="2">
                  <c:v>1.199067038535611</c:v>
                </c:pt>
                <c:pt idx="3">
                  <c:v>1.8558123631147272</c:v>
                </c:pt>
                <c:pt idx="4">
                  <c:v>2.8187401721956244</c:v>
                </c:pt>
                <c:pt idx="5">
                  <c:v>4.037953546927052</c:v>
                </c:pt>
                <c:pt idx="6">
                  <c:v>5.7044305519260865</c:v>
                </c:pt>
                <c:pt idx="7">
                  <c:v>7.9557973086628939</c:v>
                </c:pt>
                <c:pt idx="8">
                  <c:v>10.965884064962339</c:v>
                </c:pt>
                <c:pt idx="9">
                  <c:v>14.954097479349752</c:v>
                </c:pt>
                <c:pt idx="10">
                  <c:v>20.198072845908442</c:v>
                </c:pt>
                <c:pt idx="11">
                  <c:v>27.051270927523234</c:v>
                </c:pt>
                <c:pt idx="12">
                  <c:v>35.968185889994302</c:v>
                </c:pt>
                <c:pt idx="13">
                  <c:v>47.541534864586765</c:v>
                </c:pt>
                <c:pt idx="14">
                  <c:v>62.558807581174477</c:v>
                </c:pt>
                <c:pt idx="15">
                  <c:v>82.091092702128677</c:v>
                </c:pt>
                <c:pt idx="16">
                  <c:v>107.63779557316913</c:v>
                </c:pt>
              </c:numCache>
            </c:numRef>
          </c:xVal>
          <c:yVal>
            <c:numRef>
              <c:f>'-'!$D$68:$T$68</c:f>
              <c:numCache>
                <c:formatCode>General</c:formatCode>
                <c:ptCount val="17"/>
                <c:pt idx="2">
                  <c:v>-10.022081828630457</c:v>
                </c:pt>
                <c:pt idx="3">
                  <c:v>-5.0170881732445221</c:v>
                </c:pt>
                <c:pt idx="4">
                  <c:v>0</c:v>
                </c:pt>
                <c:pt idx="5">
                  <c:v>5.0371811564221991</c:v>
                </c:pt>
                <c:pt idx="6">
                  <c:v>10.105051889372103</c:v>
                </c:pt>
                <c:pt idx="7">
                  <c:v>15.219769054368015</c:v>
                </c:pt>
                <c:pt idx="8">
                  <c:v>20.403891967541185</c:v>
                </c:pt>
                <c:pt idx="9">
                  <c:v>25.688480725534422</c:v>
                </c:pt>
                <c:pt idx="10">
                  <c:v>31.115893529506625</c:v>
                </c:pt>
                <c:pt idx="11">
                  <c:v>36.743601720179967</c:v>
                </c:pt>
                <c:pt idx="12">
                  <c:v>42.649537653678792</c:v>
                </c:pt>
                <c:pt idx="13">
                  <c:v>48.939828186302883</c:v>
                </c:pt>
                <c:pt idx="14">
                  <c:v>55.760365450543794</c:v>
                </c:pt>
                <c:pt idx="15">
                  <c:v>63.314771072700751</c:v>
                </c:pt>
                <c:pt idx="16">
                  <c:v>71.893443550461072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D-4DFA-4D5F-B24D-8E6FA6D2C70B}"/>
            </c:ext>
          </c:extLst>
        </c:ser>
        <c:ser>
          <c:idx val="41"/>
          <c:order val="30"/>
          <c:spPr>
            <a:ln w="3175">
              <a:solidFill>
                <a:srgbClr val="000000"/>
              </a:solidFill>
              <a:prstDash val="solid"/>
            </a:ln>
          </c:spPr>
          <c:marker>
            <c:symbol val="none"/>
          </c:marker>
          <c:xVal>
            <c:numRef>
              <c:f>'-'!$D$65:$T$65</c:f>
              <c:numCache>
                <c:formatCode>General</c:formatCode>
                <c:ptCount val="17"/>
                <c:pt idx="0">
                  <c:v>0.54361870709080673</c:v>
                </c:pt>
                <c:pt idx="1">
                  <c:v>0.87092650930983906</c:v>
                </c:pt>
                <c:pt idx="2">
                  <c:v>1.3707397023948227</c:v>
                </c:pt>
                <c:pt idx="3">
                  <c:v>2.1218325163374527</c:v>
                </c:pt>
                <c:pt idx="4">
                  <c:v>3.2235035358480615</c:v>
                </c:pt>
                <c:pt idx="5">
                  <c:v>4.6190864746746723</c:v>
                </c:pt>
                <c:pt idx="6">
                  <c:v>6.5278990361319016</c:v>
                </c:pt>
                <c:pt idx="7">
                  <c:v>9.1089787096255499</c:v>
                </c:pt>
                <c:pt idx="8">
                  <c:v>12.56407234294279</c:v>
                </c:pt>
                <c:pt idx="9">
                  <c:v>17.149278503847722</c:v>
                </c:pt>
                <c:pt idx="10">
                  <c:v>23.19105985999445</c:v>
                </c:pt>
                <c:pt idx="11">
                  <c:v>31.108955076661282</c:v>
                </c:pt>
                <c:pt idx="12">
                  <c:v>41.448794607937302</c:v>
                </c:pt>
                <c:pt idx="13">
                  <c:v>54.932803818225828</c:v>
                </c:pt>
                <c:pt idx="14">
                  <c:v>72.537675320012951</c:v>
                </c:pt>
                <c:pt idx="15">
                  <c:v>95.620661154705758</c:v>
                </c:pt>
                <c:pt idx="16">
                  <c:v>126.13179963008344</c:v>
                </c:pt>
              </c:numCache>
            </c:numRef>
          </c:xVal>
          <c:yVal>
            <c:numRef>
              <c:f>'-'!$D$66:$T$66</c:f>
              <c:numCache>
                <c:formatCode>General</c:formatCode>
                <c:ptCount val="17"/>
                <c:pt idx="0">
                  <c:v>-20.020022391983936</c:v>
                </c:pt>
                <c:pt idx="1">
                  <c:v>-15.02405826694034</c:v>
                </c:pt>
                <c:pt idx="2">
                  <c:v>-10.025243325212418</c:v>
                </c:pt>
                <c:pt idx="3">
                  <c:v>-5.019537665744493</c:v>
                </c:pt>
                <c:pt idx="4">
                  <c:v>0</c:v>
                </c:pt>
                <c:pt idx="5">
                  <c:v>5.042532182390568</c:v>
                </c:pt>
                <c:pt idx="6">
                  <c:v>10.120216754526785</c:v>
                </c:pt>
                <c:pt idx="7">
                  <c:v>15.251624263364905</c:v>
                </c:pt>
                <c:pt idx="8">
                  <c:v>20.46275593183908</c:v>
                </c:pt>
                <c:pt idx="9">
                  <c:v>25.789545990523681</c:v>
                </c:pt>
                <c:pt idx="10">
                  <c:v>31.281248653651179</c:v>
                </c:pt>
                <c:pt idx="11">
                  <c:v>37.005141559891733</c:v>
                </c:pt>
                <c:pt idx="12">
                  <c:v>43.053257741416374</c:v>
                </c:pt>
                <c:pt idx="13">
                  <c:v>49.552352158005448</c:v>
                </c:pt>
                <c:pt idx="14">
                  <c:v>56.679211687882379</c:v>
                </c:pt>
                <c:pt idx="15">
                  <c:v>64.685142213986538</c:v>
                </c:pt>
                <c:pt idx="16">
                  <c:v>73.936939444274572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E-4DFA-4D5F-B24D-8E6FA6D2C70B}"/>
            </c:ext>
          </c:extLst>
        </c:ser>
        <c:ser>
          <c:idx val="40"/>
          <c:order val="31"/>
          <c:spPr>
            <a:ln w="3175">
              <a:solidFill>
                <a:srgbClr val="000000"/>
              </a:solidFill>
              <a:prstDash val="solid"/>
            </a:ln>
          </c:spPr>
          <c:marker>
            <c:symbol val="none"/>
          </c:marker>
          <c:xVal>
            <c:numRef>
              <c:f>'-'!$D$63:$T$63</c:f>
              <c:numCache>
                <c:formatCode>General</c:formatCode>
                <c:ptCount val="17"/>
                <c:pt idx="2">
                  <c:v>1.5425069433017784</c:v>
                </c:pt>
                <c:pt idx="3">
                  <c:v>2.3880795624103173</c:v>
                </c:pt>
                <c:pt idx="4">
                  <c:v>3.6287914903250349</c:v>
                </c:pt>
                <c:pt idx="5">
                  <c:v>5.2012989574389827</c:v>
                </c:pt>
                <c:pt idx="6">
                  <c:v>7.353530240578003</c:v>
                </c:pt>
                <c:pt idx="7">
                  <c:v>10.266388478833093</c:v>
                </c:pt>
                <c:pt idx="8">
                  <c:v>14.170349083296838</c:v>
                </c:pt>
                <c:pt idx="9">
                  <c:v>19.359637895340587</c:v>
                </c:pt>
                <c:pt idx="10">
                  <c:v>26.212066580100899</c:v>
                </c:pt>
                <c:pt idx="11">
                  <c:v>35.217677552873781</c:v>
                </c:pt>
                <c:pt idx="12">
                  <c:v>47.021444519767698</c:v>
                </c:pt>
                <c:pt idx="13">
                  <c:v>62.489033396346251</c:v>
                </c:pt>
                <c:pt idx="14">
                  <c:v>82.811684616771814</c:v>
                </c:pt>
                <c:pt idx="15">
                  <c:v>109.68022213317471</c:v>
                </c:pt>
                <c:pt idx="16">
                  <c:v>145.58744330524235</c:v>
                </c:pt>
              </c:numCache>
            </c:numRef>
          </c:xVal>
          <c:yVal>
            <c:numRef>
              <c:f>'-'!$D$64:$T$64</c:f>
              <c:numCache>
                <c:formatCode>General</c:formatCode>
                <c:ptCount val="17"/>
                <c:pt idx="2">
                  <c:v>-10.028406563510309</c:v>
                </c:pt>
                <c:pt idx="3">
                  <c:v>-5.0219892474558572</c:v>
                </c:pt>
                <c:pt idx="4">
                  <c:v>0</c:v>
                </c:pt>
                <c:pt idx="5">
                  <c:v>5.0478931488160219</c:v>
                </c:pt>
                <c:pt idx="6">
                  <c:v>10.135421447994803</c:v>
                </c:pt>
                <c:pt idx="7">
                  <c:v>15.283596275801429</c:v>
                </c:pt>
                <c:pt idx="8">
                  <c:v>20.521917807820437</c:v>
                </c:pt>
                <c:pt idx="9">
                  <c:v>25.891310061518155</c:v>
                </c:pt>
                <c:pt idx="10">
                  <c:v>31.448151797197653</c:v>
                </c:pt>
                <c:pt idx="11">
                  <c:v>37.269971097714937</c:v>
                </c:pt>
                <c:pt idx="12">
                  <c:v>43.463757893337338</c:v>
                </c:pt>
                <c:pt idx="13">
                  <c:v>50.178546628984336</c:v>
                </c:pt>
                <c:pt idx="14">
                  <c:v>57.625234326098791</c:v>
                </c:pt>
                <c:pt idx="15">
                  <c:v>66.109194776459177</c:v>
                </c:pt>
                <c:pt idx="16">
                  <c:v>76.086691755311932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F-4DFA-4D5F-B24D-8E6FA6D2C70B}"/>
            </c:ext>
          </c:extLst>
        </c:ser>
        <c:ser>
          <c:idx val="39"/>
          <c:order val="32"/>
          <c:spPr>
            <a:ln w="25400">
              <a:solidFill>
                <a:srgbClr val="000000"/>
              </a:solidFill>
              <a:prstDash val="solid"/>
            </a:ln>
          </c:spPr>
          <c:marker>
            <c:symbol val="none"/>
          </c:marker>
          <c:xVal>
            <c:numRef>
              <c:f>'-'!$D$61:$T$61</c:f>
              <c:numCache>
                <c:formatCode>General</c:formatCode>
                <c:ptCount val="17"/>
                <c:pt idx="0">
                  <c:v>0.67967184188662499</c:v>
                </c:pt>
                <c:pt idx="1">
                  <c:v>1.0890392332050733</c:v>
                </c:pt>
                <c:pt idx="2">
                  <c:v>1.7143688394338854</c:v>
                </c:pt>
                <c:pt idx="3">
                  <c:v>2.6545537917379836</c:v>
                </c:pt>
                <c:pt idx="4">
                  <c:v>4.0346050561264439</c:v>
                </c:pt>
                <c:pt idx="5">
                  <c:v>5.7845940062071923</c:v>
                </c:pt>
                <c:pt idx="6">
                  <c:v>8.181332696572877</c:v>
                </c:pt>
                <c:pt idx="7">
                  <c:v>11.428049915226383</c:v>
                </c:pt>
                <c:pt idx="8">
                  <c:v>15.784775845602827</c:v>
                </c:pt>
                <c:pt idx="9">
                  <c:v>21.585333623990088</c:v>
                </c:pt>
                <c:pt idx="10">
                  <c:v>29.261488328455677</c:v>
                </c:pt>
                <c:pt idx="11">
                  <c:v>39.378407405358814</c:v>
                </c:pt>
                <c:pt idx="12">
                  <c:v>52.688473865619855</c:v>
                </c:pt>
                <c:pt idx="13">
                  <c:v>70.215808383711476</c:v>
                </c:pt>
                <c:pt idx="14">
                  <c:v>93.394125967033673</c:v>
                </c:pt>
                <c:pt idx="15">
                  <c:v>124.30153980679998</c:v>
                </c:pt>
                <c:pt idx="16">
                  <c:v>166.08173275780035</c:v>
                </c:pt>
              </c:numCache>
            </c:numRef>
          </c:xVal>
          <c:yVal>
            <c:numRef>
              <c:f>'-'!$D$62:$T$62</c:f>
              <c:numCache>
                <c:formatCode>General</c:formatCode>
                <c:ptCount val="17"/>
                <c:pt idx="0">
                  <c:v>-20.025033457938793</c:v>
                </c:pt>
                <c:pt idx="1">
                  <c:v>-15.030083360996457</c:v>
                </c:pt>
                <c:pt idx="2">
                  <c:v>-10.03157154496383</c:v>
                </c:pt>
                <c:pt idx="3">
                  <c:v>-5.0244429210526365</c:v>
                </c:pt>
                <c:pt idx="4">
                  <c:v>0</c:v>
                </c:pt>
                <c:pt idx="5">
                  <c:v>5.0532640834234916</c:v>
                </c:pt>
                <c:pt idx="6">
                  <c:v>10.150666126887382</c:v>
                </c:pt>
                <c:pt idx="7">
                  <c:v>15.315685735281996</c:v>
                </c:pt>
                <c:pt idx="8">
                  <c:v>20.581379862828143</c:v>
                </c:pt>
                <c:pt idx="9">
                  <c:v>25.993780211401521</c:v>
                </c:pt>
                <c:pt idx="10">
                  <c:v>31.616624800720622</c:v>
                </c:pt>
                <c:pt idx="11">
                  <c:v>37.538152794147386</c:v>
                </c:pt>
                <c:pt idx="12">
                  <c:v>43.881210352081304</c:v>
                </c:pt>
                <c:pt idx="13">
                  <c:v>50.818874417541238</c:v>
                </c:pt>
                <c:pt idx="14">
                  <c:v>58.599657143499144</c:v>
                </c:pt>
                <c:pt idx="15">
                  <c:v>67.59014606161945</c:v>
                </c:pt>
                <c:pt idx="16">
                  <c:v>78.351209282941113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20-4DFA-4D5F-B24D-8E6FA6D2C70B}"/>
            </c:ext>
          </c:extLst>
        </c:ser>
        <c:ser>
          <c:idx val="30"/>
          <c:order val="33"/>
          <c:spPr>
            <a:ln w="3175">
              <a:solidFill>
                <a:srgbClr val="000000"/>
              </a:solidFill>
              <a:prstDash val="solid"/>
            </a:ln>
          </c:spPr>
          <c:marker>
            <c:symbol val="none"/>
          </c:marker>
          <c:xVal>
            <c:numRef>
              <c:f>'-'!$C$26:$G$26</c:f>
              <c:numCache>
                <c:formatCode>General</c:formatCode>
                <c:ptCount val="5"/>
                <c:pt idx="0">
                  <c:v>0</c:v>
                </c:pt>
                <c:pt idx="1">
                  <c:v>25</c:v>
                </c:pt>
              </c:numCache>
            </c:numRef>
          </c:xVal>
          <c:yVal>
            <c:numRef>
              <c:f>'-'!$C$43:$F$43</c:f>
              <c:numCache>
                <c:formatCode>General</c:formatCode>
                <c:ptCount val="4"/>
                <c:pt idx="0">
                  <c:v>39.603960396039604</c:v>
                </c:pt>
                <c:pt idx="1">
                  <c:v>-22.301980198019802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1-4DFA-4D5F-B24D-8E6FA6D2C70B}"/>
            </c:ext>
          </c:extLst>
        </c:ser>
        <c:ser>
          <c:idx val="29"/>
          <c:order val="34"/>
          <c:spPr>
            <a:ln w="3175">
              <a:solidFill>
                <a:srgbClr val="000000"/>
              </a:solidFill>
              <a:prstDash val="solid"/>
            </a:ln>
          </c:spPr>
          <c:marker>
            <c:symbol val="none"/>
          </c:marker>
          <c:xVal>
            <c:numRef>
              <c:f>'-'!$C$26:$G$26</c:f>
              <c:numCache>
                <c:formatCode>General</c:formatCode>
                <c:ptCount val="5"/>
                <c:pt idx="0">
                  <c:v>0</c:v>
                </c:pt>
                <c:pt idx="1">
                  <c:v>25</c:v>
                </c:pt>
              </c:numCache>
            </c:numRef>
          </c:xVal>
          <c:yVal>
            <c:numRef>
              <c:f>'-'!$C$42:$F$42</c:f>
              <c:numCache>
                <c:formatCode>General</c:formatCode>
                <c:ptCount val="4"/>
                <c:pt idx="0">
                  <c:v>44.554455445544555</c:v>
                </c:pt>
                <c:pt idx="1">
                  <c:v>-17.35148514851485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2-4DFA-4D5F-B24D-8E6FA6D2C70B}"/>
            </c:ext>
          </c:extLst>
        </c:ser>
        <c:ser>
          <c:idx val="28"/>
          <c:order val="35"/>
          <c:spPr>
            <a:ln w="3175">
              <a:solidFill>
                <a:srgbClr val="000000"/>
              </a:solidFill>
              <a:prstDash val="solid"/>
            </a:ln>
          </c:spPr>
          <c:marker>
            <c:symbol val="none"/>
          </c:marker>
          <c:xVal>
            <c:numRef>
              <c:f>'-'!$C$26:$G$26</c:f>
              <c:numCache>
                <c:formatCode>General</c:formatCode>
                <c:ptCount val="5"/>
                <c:pt idx="0">
                  <c:v>0</c:v>
                </c:pt>
                <c:pt idx="1">
                  <c:v>25</c:v>
                </c:pt>
              </c:numCache>
            </c:numRef>
          </c:xVal>
          <c:yVal>
            <c:numRef>
              <c:f>'-'!$C$41:$F$41</c:f>
              <c:numCache>
                <c:formatCode>General</c:formatCode>
                <c:ptCount val="4"/>
                <c:pt idx="0">
                  <c:v>49.504950495049506</c:v>
                </c:pt>
                <c:pt idx="1">
                  <c:v>-12.400990099009899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3-4DFA-4D5F-B24D-8E6FA6D2C70B}"/>
            </c:ext>
          </c:extLst>
        </c:ser>
        <c:ser>
          <c:idx val="27"/>
          <c:order val="36"/>
          <c:tx>
            <c:v>55</c:v>
          </c:tx>
          <c:spPr>
            <a:ln w="3175">
              <a:solidFill>
                <a:srgbClr val="000000"/>
              </a:solidFill>
              <a:prstDash val="solid"/>
            </a:ln>
          </c:spPr>
          <c:marker>
            <c:symbol val="none"/>
          </c:marker>
          <c:xVal>
            <c:numRef>
              <c:f>'-'!$C$26:$G$26</c:f>
              <c:numCache>
                <c:formatCode>General</c:formatCode>
                <c:ptCount val="5"/>
                <c:pt idx="0">
                  <c:v>0</c:v>
                </c:pt>
                <c:pt idx="1">
                  <c:v>25</c:v>
                </c:pt>
              </c:numCache>
            </c:numRef>
          </c:xVal>
          <c:yVal>
            <c:numRef>
              <c:f>'-'!$C$40:$F$40</c:f>
              <c:numCache>
                <c:formatCode>General</c:formatCode>
                <c:ptCount val="4"/>
                <c:pt idx="0">
                  <c:v>54.455445544554458</c:v>
                </c:pt>
                <c:pt idx="1">
                  <c:v>-7.4504950495049487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4-4DFA-4D5F-B24D-8E6FA6D2C70B}"/>
            </c:ext>
          </c:extLst>
        </c:ser>
        <c:ser>
          <c:idx val="26"/>
          <c:order val="37"/>
          <c:spPr>
            <a:ln w="3175">
              <a:solidFill>
                <a:srgbClr val="000000"/>
              </a:solidFill>
              <a:prstDash val="solid"/>
            </a:ln>
          </c:spPr>
          <c:marker>
            <c:symbol val="none"/>
          </c:marker>
          <c:xVal>
            <c:numRef>
              <c:f>'-'!$C$26:$G$26</c:f>
              <c:numCache>
                <c:formatCode>General</c:formatCode>
                <c:ptCount val="5"/>
                <c:pt idx="0">
                  <c:v>0</c:v>
                </c:pt>
                <c:pt idx="1">
                  <c:v>25</c:v>
                </c:pt>
              </c:numCache>
            </c:numRef>
          </c:xVal>
          <c:yVal>
            <c:numRef>
              <c:f>'-'!$C$39:$F$39</c:f>
              <c:numCache>
                <c:formatCode>General</c:formatCode>
                <c:ptCount val="4"/>
                <c:pt idx="0">
                  <c:v>59.405940594059409</c:v>
                </c:pt>
                <c:pt idx="1">
                  <c:v>-2.4999999999999987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5-4DFA-4D5F-B24D-8E6FA6D2C70B}"/>
            </c:ext>
          </c:extLst>
        </c:ser>
        <c:ser>
          <c:idx val="25"/>
          <c:order val="38"/>
          <c:spPr>
            <a:ln w="3175">
              <a:solidFill>
                <a:srgbClr val="000000"/>
              </a:solidFill>
              <a:prstDash val="solid"/>
            </a:ln>
          </c:spPr>
          <c:marker>
            <c:symbol val="none"/>
          </c:marker>
          <c:xVal>
            <c:numRef>
              <c:f>'-'!$C$26:$G$26</c:f>
              <c:numCache>
                <c:formatCode>General</c:formatCode>
                <c:ptCount val="5"/>
                <c:pt idx="0">
                  <c:v>0</c:v>
                </c:pt>
                <c:pt idx="1">
                  <c:v>25</c:v>
                </c:pt>
              </c:numCache>
            </c:numRef>
          </c:xVal>
          <c:yVal>
            <c:numRef>
              <c:f>'-'!$C$38:$F$38</c:f>
              <c:numCache>
                <c:formatCode>General</c:formatCode>
                <c:ptCount val="4"/>
                <c:pt idx="0">
                  <c:v>64.356435643564353</c:v>
                </c:pt>
                <c:pt idx="1">
                  <c:v>2.4504950495049518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6-4DFA-4D5F-B24D-8E6FA6D2C70B}"/>
            </c:ext>
          </c:extLst>
        </c:ser>
        <c:ser>
          <c:idx val="24"/>
          <c:order val="39"/>
          <c:spPr>
            <a:ln w="3175">
              <a:solidFill>
                <a:srgbClr val="000000"/>
              </a:solidFill>
              <a:prstDash val="solid"/>
            </a:ln>
          </c:spPr>
          <c:marker>
            <c:symbol val="none"/>
          </c:marker>
          <c:xVal>
            <c:numRef>
              <c:f>'-'!$C$26:$G$26</c:f>
              <c:numCache>
                <c:formatCode>General</c:formatCode>
                <c:ptCount val="5"/>
                <c:pt idx="0">
                  <c:v>0</c:v>
                </c:pt>
                <c:pt idx="1">
                  <c:v>25</c:v>
                </c:pt>
              </c:numCache>
            </c:numRef>
          </c:xVal>
          <c:yVal>
            <c:numRef>
              <c:f>'-'!$C$37:$F$37</c:f>
              <c:numCache>
                <c:formatCode>General</c:formatCode>
                <c:ptCount val="4"/>
                <c:pt idx="0">
                  <c:v>69.306930693069305</c:v>
                </c:pt>
                <c:pt idx="1">
                  <c:v>7.4009900990099027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7-4DFA-4D5F-B24D-8E6FA6D2C70B}"/>
            </c:ext>
          </c:extLst>
        </c:ser>
        <c:ser>
          <c:idx val="23"/>
          <c:order val="40"/>
          <c:spPr>
            <a:ln w="3175">
              <a:solidFill>
                <a:srgbClr val="000000"/>
              </a:solidFill>
              <a:prstDash val="solid"/>
            </a:ln>
          </c:spPr>
          <c:marker>
            <c:symbol val="none"/>
          </c:marker>
          <c:xVal>
            <c:numRef>
              <c:f>'-'!$C$26:$G$26</c:f>
              <c:numCache>
                <c:formatCode>General</c:formatCode>
                <c:ptCount val="5"/>
                <c:pt idx="0">
                  <c:v>0</c:v>
                </c:pt>
                <c:pt idx="1">
                  <c:v>25</c:v>
                </c:pt>
              </c:numCache>
            </c:numRef>
          </c:xVal>
          <c:yVal>
            <c:numRef>
              <c:f>'-'!$C$36:$F$36</c:f>
              <c:numCache>
                <c:formatCode>General</c:formatCode>
                <c:ptCount val="4"/>
                <c:pt idx="0">
                  <c:v>74.257425742574256</c:v>
                </c:pt>
                <c:pt idx="1">
                  <c:v>12.351485148514852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8-4DFA-4D5F-B24D-8E6FA6D2C70B}"/>
            </c:ext>
          </c:extLst>
        </c:ser>
        <c:ser>
          <c:idx val="22"/>
          <c:order val="41"/>
          <c:spPr>
            <a:ln w="3175">
              <a:solidFill>
                <a:srgbClr val="000000"/>
              </a:solidFill>
              <a:prstDash val="solid"/>
            </a:ln>
          </c:spPr>
          <c:marker>
            <c:symbol val="none"/>
          </c:marker>
          <c:xVal>
            <c:numRef>
              <c:f>'-'!$C$26:$G$26</c:f>
              <c:numCache>
                <c:formatCode>General</c:formatCode>
                <c:ptCount val="5"/>
                <c:pt idx="0">
                  <c:v>0</c:v>
                </c:pt>
                <c:pt idx="1">
                  <c:v>25</c:v>
                </c:pt>
              </c:numCache>
            </c:numRef>
          </c:xVal>
          <c:yVal>
            <c:numRef>
              <c:f>'-'!$C$35:$F$35</c:f>
              <c:numCache>
                <c:formatCode>General</c:formatCode>
                <c:ptCount val="4"/>
                <c:pt idx="0">
                  <c:v>79.207920792079207</c:v>
                </c:pt>
                <c:pt idx="1">
                  <c:v>17.301980198019802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9-4DFA-4D5F-B24D-8E6FA6D2C70B}"/>
            </c:ext>
          </c:extLst>
        </c:ser>
        <c:ser>
          <c:idx val="21"/>
          <c:order val="42"/>
          <c:spPr>
            <a:ln w="3175">
              <a:solidFill>
                <a:srgbClr val="000000"/>
              </a:solidFill>
              <a:prstDash val="solid"/>
            </a:ln>
          </c:spPr>
          <c:marker>
            <c:symbol val="none"/>
          </c:marker>
          <c:xVal>
            <c:numRef>
              <c:f>'-'!$C$26:$G$26</c:f>
              <c:numCache>
                <c:formatCode>General</c:formatCode>
                <c:ptCount val="5"/>
                <c:pt idx="0">
                  <c:v>0</c:v>
                </c:pt>
                <c:pt idx="1">
                  <c:v>25</c:v>
                </c:pt>
              </c:numCache>
            </c:numRef>
          </c:xVal>
          <c:yVal>
            <c:numRef>
              <c:f>'-'!$C$34:$F$34</c:f>
              <c:numCache>
                <c:formatCode>General</c:formatCode>
                <c:ptCount val="4"/>
                <c:pt idx="0">
                  <c:v>84.158415841584159</c:v>
                </c:pt>
                <c:pt idx="1">
                  <c:v>22.252475247524753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A-4DFA-4D5F-B24D-8E6FA6D2C70B}"/>
            </c:ext>
          </c:extLst>
        </c:ser>
        <c:ser>
          <c:idx val="20"/>
          <c:order val="43"/>
          <c:spPr>
            <a:ln w="3175">
              <a:solidFill>
                <a:srgbClr val="000000"/>
              </a:solidFill>
              <a:prstDash val="solid"/>
            </a:ln>
          </c:spPr>
          <c:marker>
            <c:symbol val="none"/>
          </c:marker>
          <c:xVal>
            <c:numRef>
              <c:f>'-'!$C$26:$D$26</c:f>
              <c:numCache>
                <c:formatCode>General</c:formatCode>
                <c:ptCount val="2"/>
                <c:pt idx="0">
                  <c:v>0</c:v>
                </c:pt>
                <c:pt idx="1">
                  <c:v>25</c:v>
                </c:pt>
              </c:numCache>
            </c:numRef>
          </c:xVal>
          <c:yVal>
            <c:numRef>
              <c:f>'-'!$C$33:$D$33</c:f>
              <c:numCache>
                <c:formatCode>General</c:formatCode>
                <c:ptCount val="2"/>
                <c:pt idx="0">
                  <c:v>89.10891089108911</c:v>
                </c:pt>
                <c:pt idx="1">
                  <c:v>27.202970297029704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B-4DFA-4D5F-B24D-8E6FA6D2C70B}"/>
            </c:ext>
          </c:extLst>
        </c:ser>
        <c:ser>
          <c:idx val="19"/>
          <c:order val="44"/>
          <c:spPr>
            <a:ln w="3175">
              <a:solidFill>
                <a:srgbClr val="000000"/>
              </a:solidFill>
              <a:prstDash val="solid"/>
            </a:ln>
          </c:spPr>
          <c:marker>
            <c:symbol val="none"/>
          </c:marker>
          <c:xVal>
            <c:numRef>
              <c:f>'-'!$C$26:$D$26</c:f>
              <c:numCache>
                <c:formatCode>General</c:formatCode>
                <c:ptCount val="2"/>
                <c:pt idx="0">
                  <c:v>0</c:v>
                </c:pt>
                <c:pt idx="1">
                  <c:v>25</c:v>
                </c:pt>
              </c:numCache>
            </c:numRef>
          </c:xVal>
          <c:yVal>
            <c:numRef>
              <c:f>'-'!$C$32:$D$32</c:f>
              <c:numCache>
                <c:formatCode>General</c:formatCode>
                <c:ptCount val="2"/>
                <c:pt idx="0">
                  <c:v>94.059405940594061</c:v>
                </c:pt>
                <c:pt idx="1">
                  <c:v>32.153465346534652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C-4DFA-4D5F-B24D-8E6FA6D2C70B}"/>
            </c:ext>
          </c:extLst>
        </c:ser>
        <c:ser>
          <c:idx val="18"/>
          <c:order val="45"/>
          <c:spPr>
            <a:ln w="3175">
              <a:solidFill>
                <a:srgbClr val="000000"/>
              </a:solidFill>
              <a:prstDash val="solid"/>
            </a:ln>
          </c:spPr>
          <c:marker>
            <c:symbol val="none"/>
          </c:marker>
          <c:xVal>
            <c:numRef>
              <c:f>'-'!$C$26:$D$26</c:f>
              <c:numCache>
                <c:formatCode>General</c:formatCode>
                <c:ptCount val="2"/>
                <c:pt idx="0">
                  <c:v>0</c:v>
                </c:pt>
                <c:pt idx="1">
                  <c:v>25</c:v>
                </c:pt>
              </c:numCache>
            </c:numRef>
          </c:xVal>
          <c:yVal>
            <c:numRef>
              <c:f>'-'!$C$31:$FD$31</c:f>
              <c:numCache>
                <c:formatCode>General</c:formatCode>
                <c:ptCount val="158"/>
                <c:pt idx="0">
                  <c:v>99.009900990099013</c:v>
                </c:pt>
                <c:pt idx="1">
                  <c:v>37.103960396039604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D-4DFA-4D5F-B24D-8E6FA6D2C70B}"/>
            </c:ext>
          </c:extLst>
        </c:ser>
        <c:ser>
          <c:idx val="17"/>
          <c:order val="46"/>
          <c:spPr>
            <a:ln w="3175">
              <a:solidFill>
                <a:srgbClr val="000000"/>
              </a:solidFill>
              <a:prstDash val="solid"/>
            </a:ln>
          </c:spPr>
          <c:marker>
            <c:symbol val="none"/>
          </c:marker>
          <c:xVal>
            <c:numRef>
              <c:f>'-'!$C$26:$D$26</c:f>
              <c:numCache>
                <c:formatCode>General</c:formatCode>
                <c:ptCount val="2"/>
                <c:pt idx="0">
                  <c:v>0</c:v>
                </c:pt>
                <c:pt idx="1">
                  <c:v>25</c:v>
                </c:pt>
              </c:numCache>
            </c:numRef>
          </c:xVal>
          <c:yVal>
            <c:numRef>
              <c:f>'-'!$C$30:$D$30</c:f>
              <c:numCache>
                <c:formatCode>General</c:formatCode>
                <c:ptCount val="2"/>
                <c:pt idx="0">
                  <c:v>103.96039603960396</c:v>
                </c:pt>
                <c:pt idx="1">
                  <c:v>42.054455445544555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E-4DFA-4D5F-B24D-8E6FA6D2C70B}"/>
            </c:ext>
          </c:extLst>
        </c:ser>
        <c:ser>
          <c:idx val="16"/>
          <c:order val="47"/>
          <c:spPr>
            <a:ln w="3175">
              <a:solidFill>
                <a:srgbClr val="000000"/>
              </a:solidFill>
              <a:prstDash val="solid"/>
            </a:ln>
          </c:spPr>
          <c:marker>
            <c:symbol val="none"/>
          </c:marker>
          <c:xVal>
            <c:numRef>
              <c:f>'-'!$C$26:$D$26</c:f>
              <c:numCache>
                <c:formatCode>General</c:formatCode>
                <c:ptCount val="2"/>
                <c:pt idx="0">
                  <c:v>0</c:v>
                </c:pt>
                <c:pt idx="1">
                  <c:v>25</c:v>
                </c:pt>
              </c:numCache>
            </c:numRef>
          </c:xVal>
          <c:yVal>
            <c:numRef>
              <c:f>'-'!$C$29:$D$29</c:f>
              <c:numCache>
                <c:formatCode>General</c:formatCode>
                <c:ptCount val="2"/>
                <c:pt idx="0">
                  <c:v>108.91089108910892</c:v>
                </c:pt>
                <c:pt idx="1">
                  <c:v>47.004950495049506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F-4DFA-4D5F-B24D-8E6FA6D2C70B}"/>
            </c:ext>
          </c:extLst>
        </c:ser>
        <c:ser>
          <c:idx val="15"/>
          <c:order val="48"/>
          <c:spPr>
            <a:ln w="3175">
              <a:solidFill>
                <a:srgbClr val="000000"/>
              </a:solidFill>
              <a:prstDash val="solid"/>
            </a:ln>
          </c:spPr>
          <c:marker>
            <c:symbol val="none"/>
          </c:marker>
          <c:xVal>
            <c:numRef>
              <c:f>'-'!$C$26:$D$26</c:f>
              <c:numCache>
                <c:formatCode>General</c:formatCode>
                <c:ptCount val="2"/>
                <c:pt idx="0">
                  <c:v>0</c:v>
                </c:pt>
                <c:pt idx="1">
                  <c:v>25</c:v>
                </c:pt>
              </c:numCache>
            </c:numRef>
          </c:xVal>
          <c:yVal>
            <c:numRef>
              <c:f>'-'!$C$28:$D$28</c:f>
              <c:numCache>
                <c:formatCode>General</c:formatCode>
                <c:ptCount val="2"/>
                <c:pt idx="0">
                  <c:v>113.86138613861387</c:v>
                </c:pt>
                <c:pt idx="1">
                  <c:v>51.955445544554458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0-4DFA-4D5F-B24D-8E6FA6D2C70B}"/>
            </c:ext>
          </c:extLst>
        </c:ser>
        <c:ser>
          <c:idx val="10"/>
          <c:order val="49"/>
          <c:spPr>
            <a:ln w="3175">
              <a:solidFill>
                <a:srgbClr val="000000"/>
              </a:solidFill>
              <a:prstDash val="solid"/>
            </a:ln>
          </c:spPr>
          <c:marker>
            <c:symbol val="none"/>
          </c:marker>
          <c:xVal>
            <c:numRef>
              <c:f>'-'!$C$6:$R$6</c:f>
              <c:numCache>
                <c:formatCode>General</c:formatCode>
                <c:ptCount val="16"/>
                <c:pt idx="0">
                  <c:v>0</c:v>
                </c:pt>
                <c:pt idx="1">
                  <c:v>2</c:v>
                </c:pt>
                <c:pt idx="2">
                  <c:v>4</c:v>
                </c:pt>
                <c:pt idx="3">
                  <c:v>6</c:v>
                </c:pt>
                <c:pt idx="4">
                  <c:v>8</c:v>
                </c:pt>
                <c:pt idx="5">
                  <c:v>10</c:v>
                </c:pt>
                <c:pt idx="6">
                  <c:v>12</c:v>
                </c:pt>
                <c:pt idx="7">
                  <c:v>14</c:v>
                </c:pt>
                <c:pt idx="8">
                  <c:v>16</c:v>
                </c:pt>
                <c:pt idx="9">
                  <c:v>18</c:v>
                </c:pt>
                <c:pt idx="10">
                  <c:v>20</c:v>
                </c:pt>
                <c:pt idx="11">
                  <c:v>22</c:v>
                </c:pt>
                <c:pt idx="12">
                  <c:v>24</c:v>
                </c:pt>
                <c:pt idx="13">
                  <c:v>26</c:v>
                </c:pt>
                <c:pt idx="14">
                  <c:v>28</c:v>
                </c:pt>
                <c:pt idx="15">
                  <c:v>30</c:v>
                </c:pt>
              </c:numCache>
            </c:numRef>
          </c:xVal>
          <c:yVal>
            <c:numRef>
              <c:f>'-'!$C$18:$R$18</c:f>
              <c:numCache>
                <c:formatCode>General</c:formatCode>
                <c:ptCount val="1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1-4DFA-4D5F-B24D-8E6FA6D2C70B}"/>
            </c:ext>
          </c:extLst>
        </c:ser>
        <c:ser>
          <c:idx val="13"/>
          <c:order val="50"/>
          <c:spPr>
            <a:ln w="3175">
              <a:solidFill>
                <a:srgbClr val="000000"/>
              </a:solidFill>
              <a:prstDash val="solid"/>
            </a:ln>
          </c:spPr>
          <c:marker>
            <c:symbol val="none"/>
          </c:marker>
          <c:xVal>
            <c:numRef>
              <c:f>'-'!$C$6:$R$6</c:f>
              <c:numCache>
                <c:formatCode>General</c:formatCode>
                <c:ptCount val="16"/>
                <c:pt idx="0">
                  <c:v>0</c:v>
                </c:pt>
                <c:pt idx="1">
                  <c:v>2</c:v>
                </c:pt>
                <c:pt idx="2">
                  <c:v>4</c:v>
                </c:pt>
                <c:pt idx="3">
                  <c:v>6</c:v>
                </c:pt>
                <c:pt idx="4">
                  <c:v>8</c:v>
                </c:pt>
                <c:pt idx="5">
                  <c:v>10</c:v>
                </c:pt>
                <c:pt idx="6">
                  <c:v>12</c:v>
                </c:pt>
                <c:pt idx="7">
                  <c:v>14</c:v>
                </c:pt>
                <c:pt idx="8">
                  <c:v>16</c:v>
                </c:pt>
                <c:pt idx="9">
                  <c:v>18</c:v>
                </c:pt>
                <c:pt idx="10">
                  <c:v>20</c:v>
                </c:pt>
                <c:pt idx="11">
                  <c:v>22</c:v>
                </c:pt>
                <c:pt idx="12">
                  <c:v>24</c:v>
                </c:pt>
                <c:pt idx="13">
                  <c:v>26</c:v>
                </c:pt>
                <c:pt idx="14">
                  <c:v>28</c:v>
                </c:pt>
                <c:pt idx="15">
                  <c:v>30</c:v>
                </c:pt>
              </c:numCache>
            </c:numRef>
          </c:xVal>
          <c:yVal>
            <c:numRef>
              <c:f>'-'!$C$21:$R$21</c:f>
              <c:numCache>
                <c:formatCode>General</c:formatCode>
                <c:ptCount val="16"/>
                <c:pt idx="0">
                  <c:v>-15</c:v>
                </c:pt>
                <c:pt idx="1">
                  <c:v>-15.055247524752476</c:v>
                </c:pt>
                <c:pt idx="2">
                  <c:v>-15.11049504950495</c:v>
                </c:pt>
                <c:pt idx="3">
                  <c:v>-15.165742574257427</c:v>
                </c:pt>
                <c:pt idx="4">
                  <c:v>-15.220990099009901</c:v>
                </c:pt>
                <c:pt idx="5">
                  <c:v>-15.276237623762377</c:v>
                </c:pt>
                <c:pt idx="6">
                  <c:v>-15.331485148514851</c:v>
                </c:pt>
                <c:pt idx="7">
                  <c:v>-15.386732673267327</c:v>
                </c:pt>
                <c:pt idx="8">
                  <c:v>-15.441980198019802</c:v>
                </c:pt>
                <c:pt idx="9">
                  <c:v>-15.497227722772278</c:v>
                </c:pt>
                <c:pt idx="10">
                  <c:v>-15.552475247524752</c:v>
                </c:pt>
                <c:pt idx="11">
                  <c:v>-15.607722772277228</c:v>
                </c:pt>
                <c:pt idx="12">
                  <c:v>-15.662970297029704</c:v>
                </c:pt>
                <c:pt idx="13">
                  <c:v>-15.718217821782179</c:v>
                </c:pt>
                <c:pt idx="14">
                  <c:v>-15.773465346534653</c:v>
                </c:pt>
                <c:pt idx="15">
                  <c:v>-15.828712871287129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32-4DFA-4D5F-B24D-8E6FA6D2C70B}"/>
            </c:ext>
          </c:extLst>
        </c:ser>
        <c:ser>
          <c:idx val="12"/>
          <c:order val="51"/>
          <c:spPr>
            <a:ln w="3175">
              <a:solidFill>
                <a:srgbClr val="000000"/>
              </a:solidFill>
              <a:prstDash val="solid"/>
            </a:ln>
          </c:spPr>
          <c:marker>
            <c:symbol val="none"/>
          </c:marker>
          <c:xVal>
            <c:numRef>
              <c:f>'-'!$C$6:$R$6</c:f>
              <c:numCache>
                <c:formatCode>General</c:formatCode>
                <c:ptCount val="16"/>
                <c:pt idx="0">
                  <c:v>0</c:v>
                </c:pt>
                <c:pt idx="1">
                  <c:v>2</c:v>
                </c:pt>
                <c:pt idx="2">
                  <c:v>4</c:v>
                </c:pt>
                <c:pt idx="3">
                  <c:v>6</c:v>
                </c:pt>
                <c:pt idx="4">
                  <c:v>8</c:v>
                </c:pt>
                <c:pt idx="5">
                  <c:v>10</c:v>
                </c:pt>
                <c:pt idx="6">
                  <c:v>12</c:v>
                </c:pt>
                <c:pt idx="7">
                  <c:v>14</c:v>
                </c:pt>
                <c:pt idx="8">
                  <c:v>16</c:v>
                </c:pt>
                <c:pt idx="9">
                  <c:v>18</c:v>
                </c:pt>
                <c:pt idx="10">
                  <c:v>20</c:v>
                </c:pt>
                <c:pt idx="11">
                  <c:v>22</c:v>
                </c:pt>
                <c:pt idx="12">
                  <c:v>24</c:v>
                </c:pt>
                <c:pt idx="13">
                  <c:v>26</c:v>
                </c:pt>
                <c:pt idx="14">
                  <c:v>28</c:v>
                </c:pt>
                <c:pt idx="15">
                  <c:v>30</c:v>
                </c:pt>
              </c:numCache>
            </c:numRef>
          </c:xVal>
          <c:yVal>
            <c:numRef>
              <c:f>'-'!$C$20:$R$20</c:f>
              <c:numCache>
                <c:formatCode>General</c:formatCode>
                <c:ptCount val="16"/>
                <c:pt idx="0">
                  <c:v>-10</c:v>
                </c:pt>
                <c:pt idx="1">
                  <c:v>-10.036831683168316</c:v>
                </c:pt>
                <c:pt idx="2">
                  <c:v>-10.073663366336634</c:v>
                </c:pt>
                <c:pt idx="3">
                  <c:v>-10.11049504950495</c:v>
                </c:pt>
                <c:pt idx="4">
                  <c:v>-10.147326732673266</c:v>
                </c:pt>
                <c:pt idx="5">
                  <c:v>-10.184158415841583</c:v>
                </c:pt>
                <c:pt idx="6">
                  <c:v>-10.220990099009901</c:v>
                </c:pt>
                <c:pt idx="7">
                  <c:v>-10.257821782178217</c:v>
                </c:pt>
                <c:pt idx="8">
                  <c:v>-10.294653465346533</c:v>
                </c:pt>
                <c:pt idx="9">
                  <c:v>-10.331485148514851</c:v>
                </c:pt>
                <c:pt idx="10">
                  <c:v>-10.368316831683169</c:v>
                </c:pt>
                <c:pt idx="11">
                  <c:v>-10.405148514851485</c:v>
                </c:pt>
                <c:pt idx="12">
                  <c:v>-10.441980198019802</c:v>
                </c:pt>
                <c:pt idx="13">
                  <c:v>-10.47881188118812</c:v>
                </c:pt>
                <c:pt idx="14">
                  <c:v>-10.515643564356434</c:v>
                </c:pt>
                <c:pt idx="15">
                  <c:v>-10.552475247524752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33-4DFA-4D5F-B24D-8E6FA6D2C70B}"/>
            </c:ext>
          </c:extLst>
        </c:ser>
        <c:ser>
          <c:idx val="11"/>
          <c:order val="52"/>
          <c:spPr>
            <a:ln w="3175">
              <a:solidFill>
                <a:srgbClr val="000000"/>
              </a:solidFill>
              <a:prstDash val="solid"/>
            </a:ln>
          </c:spPr>
          <c:marker>
            <c:symbol val="none"/>
          </c:marker>
          <c:xVal>
            <c:numRef>
              <c:f>'-'!$C$6:$R$6</c:f>
              <c:numCache>
                <c:formatCode>General</c:formatCode>
                <c:ptCount val="16"/>
                <c:pt idx="0">
                  <c:v>0</c:v>
                </c:pt>
                <c:pt idx="1">
                  <c:v>2</c:v>
                </c:pt>
                <c:pt idx="2">
                  <c:v>4</c:v>
                </c:pt>
                <c:pt idx="3">
                  <c:v>6</c:v>
                </c:pt>
                <c:pt idx="4">
                  <c:v>8</c:v>
                </c:pt>
                <c:pt idx="5">
                  <c:v>10</c:v>
                </c:pt>
                <c:pt idx="6">
                  <c:v>12</c:v>
                </c:pt>
                <c:pt idx="7">
                  <c:v>14</c:v>
                </c:pt>
                <c:pt idx="8">
                  <c:v>16</c:v>
                </c:pt>
                <c:pt idx="9">
                  <c:v>18</c:v>
                </c:pt>
                <c:pt idx="10">
                  <c:v>20</c:v>
                </c:pt>
                <c:pt idx="11">
                  <c:v>22</c:v>
                </c:pt>
                <c:pt idx="12">
                  <c:v>24</c:v>
                </c:pt>
                <c:pt idx="13">
                  <c:v>26</c:v>
                </c:pt>
                <c:pt idx="14">
                  <c:v>28</c:v>
                </c:pt>
                <c:pt idx="15">
                  <c:v>30</c:v>
                </c:pt>
              </c:numCache>
            </c:numRef>
          </c:xVal>
          <c:yVal>
            <c:numRef>
              <c:f>'-'!$C$19:$R$19</c:f>
              <c:numCache>
                <c:formatCode>General</c:formatCode>
                <c:ptCount val="16"/>
                <c:pt idx="0">
                  <c:v>-5</c:v>
                </c:pt>
                <c:pt idx="1">
                  <c:v>-5.018415841584158</c:v>
                </c:pt>
                <c:pt idx="2">
                  <c:v>-5.0368316831683169</c:v>
                </c:pt>
                <c:pt idx="3">
                  <c:v>-5.0552475247524749</c:v>
                </c:pt>
                <c:pt idx="4">
                  <c:v>-5.0736633663366328</c:v>
                </c:pt>
                <c:pt idx="5">
                  <c:v>-5.0920792079207917</c:v>
                </c:pt>
                <c:pt idx="6">
                  <c:v>-5.1104950495049506</c:v>
                </c:pt>
                <c:pt idx="7">
                  <c:v>-5.1289108910891086</c:v>
                </c:pt>
                <c:pt idx="8">
                  <c:v>-5.1473267326732666</c:v>
                </c:pt>
                <c:pt idx="9">
                  <c:v>-5.1657425742574254</c:v>
                </c:pt>
                <c:pt idx="10">
                  <c:v>-5.1841584158415843</c:v>
                </c:pt>
                <c:pt idx="11">
                  <c:v>-5.2025742574257423</c:v>
                </c:pt>
                <c:pt idx="12">
                  <c:v>-5.2209900990099012</c:v>
                </c:pt>
                <c:pt idx="13">
                  <c:v>-5.2394059405940601</c:v>
                </c:pt>
                <c:pt idx="14">
                  <c:v>-5.2578217821782172</c:v>
                </c:pt>
                <c:pt idx="15">
                  <c:v>-5.276237623762376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34-4DFA-4D5F-B24D-8E6FA6D2C70B}"/>
            </c:ext>
          </c:extLst>
        </c:ser>
        <c:ser>
          <c:idx val="9"/>
          <c:order val="53"/>
          <c:spPr>
            <a:ln w="3175">
              <a:solidFill>
                <a:srgbClr val="000000"/>
              </a:solidFill>
              <a:prstDash val="solid"/>
            </a:ln>
          </c:spPr>
          <c:marker>
            <c:symbol val="none"/>
          </c:marker>
          <c:xVal>
            <c:numRef>
              <c:f>'-'!$C$6:$R$6</c:f>
              <c:numCache>
                <c:formatCode>General</c:formatCode>
                <c:ptCount val="16"/>
                <c:pt idx="0">
                  <c:v>0</c:v>
                </c:pt>
                <c:pt idx="1">
                  <c:v>2</c:v>
                </c:pt>
                <c:pt idx="2">
                  <c:v>4</c:v>
                </c:pt>
                <c:pt idx="3">
                  <c:v>6</c:v>
                </c:pt>
                <c:pt idx="4">
                  <c:v>8</c:v>
                </c:pt>
                <c:pt idx="5">
                  <c:v>10</c:v>
                </c:pt>
                <c:pt idx="6">
                  <c:v>12</c:v>
                </c:pt>
                <c:pt idx="7">
                  <c:v>14</c:v>
                </c:pt>
                <c:pt idx="8">
                  <c:v>16</c:v>
                </c:pt>
                <c:pt idx="9">
                  <c:v>18</c:v>
                </c:pt>
                <c:pt idx="10">
                  <c:v>20</c:v>
                </c:pt>
                <c:pt idx="11">
                  <c:v>22</c:v>
                </c:pt>
                <c:pt idx="12">
                  <c:v>24</c:v>
                </c:pt>
                <c:pt idx="13">
                  <c:v>26</c:v>
                </c:pt>
                <c:pt idx="14">
                  <c:v>28</c:v>
                </c:pt>
                <c:pt idx="15">
                  <c:v>30</c:v>
                </c:pt>
              </c:numCache>
            </c:numRef>
          </c:xVal>
          <c:yVal>
            <c:numRef>
              <c:f>'-'!$C$17:$R$17</c:f>
              <c:numCache>
                <c:formatCode>General</c:formatCode>
                <c:ptCount val="16"/>
                <c:pt idx="0">
                  <c:v>5</c:v>
                </c:pt>
                <c:pt idx="1">
                  <c:v>5.018415841584158</c:v>
                </c:pt>
                <c:pt idx="2">
                  <c:v>5.0368316831683169</c:v>
                </c:pt>
                <c:pt idx="3">
                  <c:v>5.0552475247524749</c:v>
                </c:pt>
                <c:pt idx="4">
                  <c:v>5.0736633663366328</c:v>
                </c:pt>
                <c:pt idx="5">
                  <c:v>5.0920792079207917</c:v>
                </c:pt>
                <c:pt idx="6">
                  <c:v>5.1104950495049506</c:v>
                </c:pt>
                <c:pt idx="7">
                  <c:v>5.1289108910891086</c:v>
                </c:pt>
                <c:pt idx="8">
                  <c:v>5.1473267326732666</c:v>
                </c:pt>
                <c:pt idx="9">
                  <c:v>5.1657425742574254</c:v>
                </c:pt>
                <c:pt idx="10">
                  <c:v>5.1841584158415843</c:v>
                </c:pt>
                <c:pt idx="11">
                  <c:v>5.2025742574257423</c:v>
                </c:pt>
                <c:pt idx="12">
                  <c:v>5.2209900990099012</c:v>
                </c:pt>
                <c:pt idx="13">
                  <c:v>5.2394059405940601</c:v>
                </c:pt>
                <c:pt idx="14">
                  <c:v>5.2578217821782172</c:v>
                </c:pt>
                <c:pt idx="15">
                  <c:v>5.276237623762376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35-4DFA-4D5F-B24D-8E6FA6D2C70B}"/>
            </c:ext>
          </c:extLst>
        </c:ser>
        <c:ser>
          <c:idx val="8"/>
          <c:order val="54"/>
          <c:spPr>
            <a:ln w="3175">
              <a:solidFill>
                <a:srgbClr val="000000"/>
              </a:solidFill>
              <a:prstDash val="solid"/>
            </a:ln>
          </c:spPr>
          <c:marker>
            <c:symbol val="none"/>
          </c:marker>
          <c:xVal>
            <c:numRef>
              <c:f>'-'!$C$6:$R$6</c:f>
              <c:numCache>
                <c:formatCode>General</c:formatCode>
                <c:ptCount val="16"/>
                <c:pt idx="0">
                  <c:v>0</c:v>
                </c:pt>
                <c:pt idx="1">
                  <c:v>2</c:v>
                </c:pt>
                <c:pt idx="2">
                  <c:v>4</c:v>
                </c:pt>
                <c:pt idx="3">
                  <c:v>6</c:v>
                </c:pt>
                <c:pt idx="4">
                  <c:v>8</c:v>
                </c:pt>
                <c:pt idx="5">
                  <c:v>10</c:v>
                </c:pt>
                <c:pt idx="6">
                  <c:v>12</c:v>
                </c:pt>
                <c:pt idx="7">
                  <c:v>14</c:v>
                </c:pt>
                <c:pt idx="8">
                  <c:v>16</c:v>
                </c:pt>
                <c:pt idx="9">
                  <c:v>18</c:v>
                </c:pt>
                <c:pt idx="10">
                  <c:v>20</c:v>
                </c:pt>
                <c:pt idx="11">
                  <c:v>22</c:v>
                </c:pt>
                <c:pt idx="12">
                  <c:v>24</c:v>
                </c:pt>
                <c:pt idx="13">
                  <c:v>26</c:v>
                </c:pt>
                <c:pt idx="14">
                  <c:v>28</c:v>
                </c:pt>
                <c:pt idx="15">
                  <c:v>30</c:v>
                </c:pt>
              </c:numCache>
            </c:numRef>
          </c:xVal>
          <c:yVal>
            <c:numRef>
              <c:f>'-'!$C$16:$R$16</c:f>
              <c:numCache>
                <c:formatCode>General</c:formatCode>
                <c:ptCount val="16"/>
                <c:pt idx="0">
                  <c:v>10</c:v>
                </c:pt>
                <c:pt idx="1">
                  <c:v>10.036831683168316</c:v>
                </c:pt>
                <c:pt idx="2">
                  <c:v>10.073663366336634</c:v>
                </c:pt>
                <c:pt idx="3">
                  <c:v>10.11049504950495</c:v>
                </c:pt>
                <c:pt idx="4">
                  <c:v>10.147326732673266</c:v>
                </c:pt>
                <c:pt idx="5">
                  <c:v>10.184158415841583</c:v>
                </c:pt>
                <c:pt idx="6">
                  <c:v>10.220990099009901</c:v>
                </c:pt>
                <c:pt idx="7">
                  <c:v>10.257821782178217</c:v>
                </c:pt>
                <c:pt idx="8">
                  <c:v>10.294653465346533</c:v>
                </c:pt>
                <c:pt idx="9">
                  <c:v>10.331485148514851</c:v>
                </c:pt>
                <c:pt idx="10">
                  <c:v>10.368316831683169</c:v>
                </c:pt>
                <c:pt idx="11">
                  <c:v>10.405148514851485</c:v>
                </c:pt>
                <c:pt idx="12">
                  <c:v>10.441980198019802</c:v>
                </c:pt>
                <c:pt idx="13">
                  <c:v>10.47881188118812</c:v>
                </c:pt>
                <c:pt idx="14">
                  <c:v>10.515643564356434</c:v>
                </c:pt>
                <c:pt idx="15">
                  <c:v>10.552475247524752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36-4DFA-4D5F-B24D-8E6FA6D2C70B}"/>
            </c:ext>
          </c:extLst>
        </c:ser>
        <c:ser>
          <c:idx val="7"/>
          <c:order val="55"/>
          <c:spPr>
            <a:ln w="3175">
              <a:solidFill>
                <a:srgbClr val="000000"/>
              </a:solidFill>
              <a:prstDash val="solid"/>
            </a:ln>
          </c:spPr>
          <c:marker>
            <c:symbol val="none"/>
          </c:marker>
          <c:xVal>
            <c:numRef>
              <c:f>'-'!$C$6:$R$6</c:f>
              <c:numCache>
                <c:formatCode>General</c:formatCode>
                <c:ptCount val="16"/>
                <c:pt idx="0">
                  <c:v>0</c:v>
                </c:pt>
                <c:pt idx="1">
                  <c:v>2</c:v>
                </c:pt>
                <c:pt idx="2">
                  <c:v>4</c:v>
                </c:pt>
                <c:pt idx="3">
                  <c:v>6</c:v>
                </c:pt>
                <c:pt idx="4">
                  <c:v>8</c:v>
                </c:pt>
                <c:pt idx="5">
                  <c:v>10</c:v>
                </c:pt>
                <c:pt idx="6">
                  <c:v>12</c:v>
                </c:pt>
                <c:pt idx="7">
                  <c:v>14</c:v>
                </c:pt>
                <c:pt idx="8">
                  <c:v>16</c:v>
                </c:pt>
                <c:pt idx="9">
                  <c:v>18</c:v>
                </c:pt>
                <c:pt idx="10">
                  <c:v>20</c:v>
                </c:pt>
                <c:pt idx="11">
                  <c:v>22</c:v>
                </c:pt>
                <c:pt idx="12">
                  <c:v>24</c:v>
                </c:pt>
                <c:pt idx="13">
                  <c:v>26</c:v>
                </c:pt>
                <c:pt idx="14">
                  <c:v>28</c:v>
                </c:pt>
                <c:pt idx="15">
                  <c:v>30</c:v>
                </c:pt>
              </c:numCache>
            </c:numRef>
          </c:xVal>
          <c:yVal>
            <c:numRef>
              <c:f>'-'!$C$15:$R$15</c:f>
              <c:numCache>
                <c:formatCode>General</c:formatCode>
                <c:ptCount val="16"/>
                <c:pt idx="0">
                  <c:v>15</c:v>
                </c:pt>
                <c:pt idx="1">
                  <c:v>15.055247524752476</c:v>
                </c:pt>
                <c:pt idx="2">
                  <c:v>15.11049504950495</c:v>
                </c:pt>
                <c:pt idx="3">
                  <c:v>15.165742574257427</c:v>
                </c:pt>
                <c:pt idx="4">
                  <c:v>15.220990099009901</c:v>
                </c:pt>
                <c:pt idx="5">
                  <c:v>15.276237623762377</c:v>
                </c:pt>
                <c:pt idx="6">
                  <c:v>15.331485148514851</c:v>
                </c:pt>
                <c:pt idx="7">
                  <c:v>15.386732673267327</c:v>
                </c:pt>
                <c:pt idx="8">
                  <c:v>15.441980198019802</c:v>
                </c:pt>
                <c:pt idx="9">
                  <c:v>15.497227722772278</c:v>
                </c:pt>
                <c:pt idx="10">
                  <c:v>15.552475247524752</c:v>
                </c:pt>
                <c:pt idx="11">
                  <c:v>15.607722772277228</c:v>
                </c:pt>
                <c:pt idx="12">
                  <c:v>15.662970297029704</c:v>
                </c:pt>
                <c:pt idx="13">
                  <c:v>15.718217821782179</c:v>
                </c:pt>
                <c:pt idx="14">
                  <c:v>15.773465346534653</c:v>
                </c:pt>
                <c:pt idx="15">
                  <c:v>15.828712871287129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37-4DFA-4D5F-B24D-8E6FA6D2C70B}"/>
            </c:ext>
          </c:extLst>
        </c:ser>
        <c:ser>
          <c:idx val="6"/>
          <c:order val="56"/>
          <c:spPr>
            <a:ln w="3175">
              <a:solidFill>
                <a:srgbClr val="000000"/>
              </a:solidFill>
              <a:prstDash val="solid"/>
            </a:ln>
          </c:spPr>
          <c:marker>
            <c:symbol val="none"/>
          </c:marker>
          <c:xVal>
            <c:numRef>
              <c:f>'-'!$C$6:$R$6</c:f>
              <c:numCache>
                <c:formatCode>General</c:formatCode>
                <c:ptCount val="16"/>
                <c:pt idx="0">
                  <c:v>0</c:v>
                </c:pt>
                <c:pt idx="1">
                  <c:v>2</c:v>
                </c:pt>
                <c:pt idx="2">
                  <c:v>4</c:v>
                </c:pt>
                <c:pt idx="3">
                  <c:v>6</c:v>
                </c:pt>
                <c:pt idx="4">
                  <c:v>8</c:v>
                </c:pt>
                <c:pt idx="5">
                  <c:v>10</c:v>
                </c:pt>
                <c:pt idx="6">
                  <c:v>12</c:v>
                </c:pt>
                <c:pt idx="7">
                  <c:v>14</c:v>
                </c:pt>
                <c:pt idx="8">
                  <c:v>16</c:v>
                </c:pt>
                <c:pt idx="9">
                  <c:v>18</c:v>
                </c:pt>
                <c:pt idx="10">
                  <c:v>20</c:v>
                </c:pt>
                <c:pt idx="11">
                  <c:v>22</c:v>
                </c:pt>
                <c:pt idx="12">
                  <c:v>24</c:v>
                </c:pt>
                <c:pt idx="13">
                  <c:v>26</c:v>
                </c:pt>
                <c:pt idx="14">
                  <c:v>28</c:v>
                </c:pt>
                <c:pt idx="15">
                  <c:v>30</c:v>
                </c:pt>
              </c:numCache>
            </c:numRef>
          </c:xVal>
          <c:yVal>
            <c:numRef>
              <c:f>'-'!$C$14:$R$14</c:f>
              <c:numCache>
                <c:formatCode>General</c:formatCode>
                <c:ptCount val="16"/>
                <c:pt idx="0">
                  <c:v>20</c:v>
                </c:pt>
                <c:pt idx="1">
                  <c:v>20.073663366336632</c:v>
                </c:pt>
                <c:pt idx="2">
                  <c:v>20.147326732673267</c:v>
                </c:pt>
                <c:pt idx="3">
                  <c:v>20.220990099009899</c:v>
                </c:pt>
                <c:pt idx="4">
                  <c:v>20.294653465346531</c:v>
                </c:pt>
                <c:pt idx="5">
                  <c:v>20.368316831683167</c:v>
                </c:pt>
                <c:pt idx="6">
                  <c:v>20.441980198019802</c:v>
                </c:pt>
                <c:pt idx="7">
                  <c:v>20.515643564356434</c:v>
                </c:pt>
                <c:pt idx="8">
                  <c:v>20.589306930693066</c:v>
                </c:pt>
                <c:pt idx="9">
                  <c:v>20.662970297029702</c:v>
                </c:pt>
                <c:pt idx="10">
                  <c:v>20.736633663366337</c:v>
                </c:pt>
                <c:pt idx="11">
                  <c:v>20.810297029702969</c:v>
                </c:pt>
                <c:pt idx="12">
                  <c:v>20.883960396039605</c:v>
                </c:pt>
                <c:pt idx="13">
                  <c:v>20.95762376237624</c:v>
                </c:pt>
                <c:pt idx="14">
                  <c:v>21.031287128712869</c:v>
                </c:pt>
                <c:pt idx="15">
                  <c:v>21.104950495049504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38-4DFA-4D5F-B24D-8E6FA6D2C70B}"/>
            </c:ext>
          </c:extLst>
        </c:ser>
        <c:ser>
          <c:idx val="5"/>
          <c:order val="57"/>
          <c:spPr>
            <a:ln w="3175">
              <a:solidFill>
                <a:srgbClr val="000000"/>
              </a:solidFill>
              <a:prstDash val="solid"/>
            </a:ln>
          </c:spPr>
          <c:marker>
            <c:symbol val="none"/>
          </c:marker>
          <c:xVal>
            <c:numRef>
              <c:f>'-'!$C$6:$R$6</c:f>
              <c:numCache>
                <c:formatCode>General</c:formatCode>
                <c:ptCount val="16"/>
                <c:pt idx="0">
                  <c:v>0</c:v>
                </c:pt>
                <c:pt idx="1">
                  <c:v>2</c:v>
                </c:pt>
                <c:pt idx="2">
                  <c:v>4</c:v>
                </c:pt>
                <c:pt idx="3">
                  <c:v>6</c:v>
                </c:pt>
                <c:pt idx="4">
                  <c:v>8</c:v>
                </c:pt>
                <c:pt idx="5">
                  <c:v>10</c:v>
                </c:pt>
                <c:pt idx="6">
                  <c:v>12</c:v>
                </c:pt>
                <c:pt idx="7">
                  <c:v>14</c:v>
                </c:pt>
                <c:pt idx="8">
                  <c:v>16</c:v>
                </c:pt>
                <c:pt idx="9">
                  <c:v>18</c:v>
                </c:pt>
                <c:pt idx="10">
                  <c:v>20</c:v>
                </c:pt>
                <c:pt idx="11">
                  <c:v>22</c:v>
                </c:pt>
                <c:pt idx="12">
                  <c:v>24</c:v>
                </c:pt>
                <c:pt idx="13">
                  <c:v>26</c:v>
                </c:pt>
                <c:pt idx="14">
                  <c:v>28</c:v>
                </c:pt>
                <c:pt idx="15">
                  <c:v>30</c:v>
                </c:pt>
              </c:numCache>
            </c:numRef>
          </c:xVal>
          <c:yVal>
            <c:numRef>
              <c:f>'-'!$C$13:$R$13</c:f>
              <c:numCache>
                <c:formatCode>General</c:formatCode>
                <c:ptCount val="16"/>
                <c:pt idx="0">
                  <c:v>25</c:v>
                </c:pt>
                <c:pt idx="1">
                  <c:v>25.092079207920793</c:v>
                </c:pt>
                <c:pt idx="2">
                  <c:v>25.184158415841583</c:v>
                </c:pt>
                <c:pt idx="3">
                  <c:v>25.276237623762377</c:v>
                </c:pt>
                <c:pt idx="4">
                  <c:v>25.368316831683167</c:v>
                </c:pt>
                <c:pt idx="5">
                  <c:v>25.46039603960396</c:v>
                </c:pt>
                <c:pt idx="6">
                  <c:v>25.552475247524754</c:v>
                </c:pt>
                <c:pt idx="7">
                  <c:v>25.644554455445544</c:v>
                </c:pt>
                <c:pt idx="8">
                  <c:v>25.736633663366337</c:v>
                </c:pt>
                <c:pt idx="9">
                  <c:v>25.828712871287127</c:v>
                </c:pt>
                <c:pt idx="10">
                  <c:v>25.920792079207921</c:v>
                </c:pt>
                <c:pt idx="11">
                  <c:v>26.012871287128711</c:v>
                </c:pt>
                <c:pt idx="12">
                  <c:v>26.104950495049504</c:v>
                </c:pt>
                <c:pt idx="13">
                  <c:v>26.197029702970298</c:v>
                </c:pt>
                <c:pt idx="14">
                  <c:v>26.289108910891088</c:v>
                </c:pt>
                <c:pt idx="15">
                  <c:v>26.381188118811881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9-4DFA-4D5F-B24D-8E6FA6D2C70B}"/>
            </c:ext>
          </c:extLst>
        </c:ser>
        <c:ser>
          <c:idx val="4"/>
          <c:order val="58"/>
          <c:spPr>
            <a:ln w="3175">
              <a:solidFill>
                <a:srgbClr val="000000"/>
              </a:solidFill>
              <a:prstDash val="solid"/>
            </a:ln>
          </c:spPr>
          <c:marker>
            <c:symbol val="none"/>
          </c:marker>
          <c:xVal>
            <c:numRef>
              <c:f>'-'!$C$6:$R$6</c:f>
              <c:numCache>
                <c:formatCode>General</c:formatCode>
                <c:ptCount val="16"/>
                <c:pt idx="0">
                  <c:v>0</c:v>
                </c:pt>
                <c:pt idx="1">
                  <c:v>2</c:v>
                </c:pt>
                <c:pt idx="2">
                  <c:v>4</c:v>
                </c:pt>
                <c:pt idx="3">
                  <c:v>6</c:v>
                </c:pt>
                <c:pt idx="4">
                  <c:v>8</c:v>
                </c:pt>
                <c:pt idx="5">
                  <c:v>10</c:v>
                </c:pt>
                <c:pt idx="6">
                  <c:v>12</c:v>
                </c:pt>
                <c:pt idx="7">
                  <c:v>14</c:v>
                </c:pt>
                <c:pt idx="8">
                  <c:v>16</c:v>
                </c:pt>
                <c:pt idx="9">
                  <c:v>18</c:v>
                </c:pt>
                <c:pt idx="10">
                  <c:v>20</c:v>
                </c:pt>
                <c:pt idx="11">
                  <c:v>22</c:v>
                </c:pt>
                <c:pt idx="12">
                  <c:v>24</c:v>
                </c:pt>
                <c:pt idx="13">
                  <c:v>26</c:v>
                </c:pt>
                <c:pt idx="14">
                  <c:v>28</c:v>
                </c:pt>
                <c:pt idx="15">
                  <c:v>30</c:v>
                </c:pt>
              </c:numCache>
            </c:numRef>
          </c:xVal>
          <c:yVal>
            <c:numRef>
              <c:f>'-'!$C$12:$R$12</c:f>
              <c:numCache>
                <c:formatCode>General</c:formatCode>
                <c:ptCount val="16"/>
                <c:pt idx="0">
                  <c:v>30</c:v>
                </c:pt>
                <c:pt idx="1">
                  <c:v>30.110495049504951</c:v>
                </c:pt>
                <c:pt idx="2">
                  <c:v>30.220990099009899</c:v>
                </c:pt>
                <c:pt idx="3">
                  <c:v>30.331485148514854</c:v>
                </c:pt>
                <c:pt idx="4">
                  <c:v>30.441980198019802</c:v>
                </c:pt>
                <c:pt idx="5">
                  <c:v>30.552475247524754</c:v>
                </c:pt>
                <c:pt idx="6">
                  <c:v>30.662970297029702</c:v>
                </c:pt>
                <c:pt idx="7">
                  <c:v>30.773465346534653</c:v>
                </c:pt>
                <c:pt idx="8">
                  <c:v>30.883960396039605</c:v>
                </c:pt>
                <c:pt idx="9">
                  <c:v>30.994455445544556</c:v>
                </c:pt>
                <c:pt idx="10">
                  <c:v>31.104950495049504</c:v>
                </c:pt>
                <c:pt idx="11">
                  <c:v>31.215445544554456</c:v>
                </c:pt>
                <c:pt idx="12">
                  <c:v>31.325940594059407</c:v>
                </c:pt>
                <c:pt idx="13">
                  <c:v>31.436435643564359</c:v>
                </c:pt>
                <c:pt idx="14">
                  <c:v>31.546930693069307</c:v>
                </c:pt>
                <c:pt idx="15">
                  <c:v>31.657425742574258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A-4DFA-4D5F-B24D-8E6FA6D2C70B}"/>
            </c:ext>
          </c:extLst>
        </c:ser>
        <c:ser>
          <c:idx val="3"/>
          <c:order val="59"/>
          <c:spPr>
            <a:ln w="3175">
              <a:solidFill>
                <a:srgbClr val="000000"/>
              </a:solidFill>
              <a:prstDash val="solid"/>
            </a:ln>
          </c:spPr>
          <c:marker>
            <c:symbol val="none"/>
          </c:marker>
          <c:xVal>
            <c:numRef>
              <c:f>'-'!$C$6:$R$6</c:f>
              <c:numCache>
                <c:formatCode>General</c:formatCode>
                <c:ptCount val="16"/>
                <c:pt idx="0">
                  <c:v>0</c:v>
                </c:pt>
                <c:pt idx="1">
                  <c:v>2</c:v>
                </c:pt>
                <c:pt idx="2">
                  <c:v>4</c:v>
                </c:pt>
                <c:pt idx="3">
                  <c:v>6</c:v>
                </c:pt>
                <c:pt idx="4">
                  <c:v>8</c:v>
                </c:pt>
                <c:pt idx="5">
                  <c:v>10</c:v>
                </c:pt>
                <c:pt idx="6">
                  <c:v>12</c:v>
                </c:pt>
                <c:pt idx="7">
                  <c:v>14</c:v>
                </c:pt>
                <c:pt idx="8">
                  <c:v>16</c:v>
                </c:pt>
                <c:pt idx="9">
                  <c:v>18</c:v>
                </c:pt>
                <c:pt idx="10">
                  <c:v>20</c:v>
                </c:pt>
                <c:pt idx="11">
                  <c:v>22</c:v>
                </c:pt>
                <c:pt idx="12">
                  <c:v>24</c:v>
                </c:pt>
                <c:pt idx="13">
                  <c:v>26</c:v>
                </c:pt>
                <c:pt idx="14">
                  <c:v>28</c:v>
                </c:pt>
                <c:pt idx="15">
                  <c:v>30</c:v>
                </c:pt>
              </c:numCache>
            </c:numRef>
          </c:xVal>
          <c:yVal>
            <c:numRef>
              <c:f>'-'!$C$11:$R$11</c:f>
              <c:numCache>
                <c:formatCode>General</c:formatCode>
                <c:ptCount val="16"/>
                <c:pt idx="0">
                  <c:v>35</c:v>
                </c:pt>
                <c:pt idx="1">
                  <c:v>35.128910891089113</c:v>
                </c:pt>
                <c:pt idx="2">
                  <c:v>35.257821782178219</c:v>
                </c:pt>
                <c:pt idx="3">
                  <c:v>35.386732673267325</c:v>
                </c:pt>
                <c:pt idx="4">
                  <c:v>35.515643564356438</c:v>
                </c:pt>
                <c:pt idx="5">
                  <c:v>35.644554455445551</c:v>
                </c:pt>
                <c:pt idx="6">
                  <c:v>35.77346534653465</c:v>
                </c:pt>
                <c:pt idx="7">
                  <c:v>35.902376237623763</c:v>
                </c:pt>
                <c:pt idx="8">
                  <c:v>36.031287128712876</c:v>
                </c:pt>
                <c:pt idx="9">
                  <c:v>36.160198019801982</c:v>
                </c:pt>
                <c:pt idx="10">
                  <c:v>36.289108910891088</c:v>
                </c:pt>
                <c:pt idx="11">
                  <c:v>36.418019801980201</c:v>
                </c:pt>
                <c:pt idx="12">
                  <c:v>36.546930693069314</c:v>
                </c:pt>
                <c:pt idx="13">
                  <c:v>36.675841584158412</c:v>
                </c:pt>
                <c:pt idx="14">
                  <c:v>36.804752475247525</c:v>
                </c:pt>
                <c:pt idx="15">
                  <c:v>36.933663366336638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B-4DFA-4D5F-B24D-8E6FA6D2C70B}"/>
            </c:ext>
          </c:extLst>
        </c:ser>
        <c:ser>
          <c:idx val="2"/>
          <c:order val="60"/>
          <c:spPr>
            <a:ln w="3175">
              <a:solidFill>
                <a:srgbClr val="000000"/>
              </a:solidFill>
              <a:prstDash val="solid"/>
            </a:ln>
          </c:spPr>
          <c:marker>
            <c:symbol val="none"/>
          </c:marker>
          <c:xVal>
            <c:numRef>
              <c:f>'-'!$C$6:$R$6</c:f>
              <c:numCache>
                <c:formatCode>General</c:formatCode>
                <c:ptCount val="16"/>
                <c:pt idx="0">
                  <c:v>0</c:v>
                </c:pt>
                <c:pt idx="1">
                  <c:v>2</c:v>
                </c:pt>
                <c:pt idx="2">
                  <c:v>4</c:v>
                </c:pt>
                <c:pt idx="3">
                  <c:v>6</c:v>
                </c:pt>
                <c:pt idx="4">
                  <c:v>8</c:v>
                </c:pt>
                <c:pt idx="5">
                  <c:v>10</c:v>
                </c:pt>
                <c:pt idx="6">
                  <c:v>12</c:v>
                </c:pt>
                <c:pt idx="7">
                  <c:v>14</c:v>
                </c:pt>
                <c:pt idx="8">
                  <c:v>16</c:v>
                </c:pt>
                <c:pt idx="9">
                  <c:v>18</c:v>
                </c:pt>
                <c:pt idx="10">
                  <c:v>20</c:v>
                </c:pt>
                <c:pt idx="11">
                  <c:v>22</c:v>
                </c:pt>
                <c:pt idx="12">
                  <c:v>24</c:v>
                </c:pt>
                <c:pt idx="13">
                  <c:v>26</c:v>
                </c:pt>
                <c:pt idx="14">
                  <c:v>28</c:v>
                </c:pt>
                <c:pt idx="15">
                  <c:v>30</c:v>
                </c:pt>
              </c:numCache>
            </c:numRef>
          </c:xVal>
          <c:yVal>
            <c:numRef>
              <c:f>'-'!$C$10:$R$10</c:f>
              <c:numCache>
                <c:formatCode>General</c:formatCode>
                <c:ptCount val="16"/>
                <c:pt idx="0">
                  <c:v>40</c:v>
                </c:pt>
                <c:pt idx="1">
                  <c:v>40.147326732673264</c:v>
                </c:pt>
                <c:pt idx="2">
                  <c:v>40.294653465346535</c:v>
                </c:pt>
                <c:pt idx="3">
                  <c:v>40.441980198019799</c:v>
                </c:pt>
                <c:pt idx="4">
                  <c:v>40.589306930693063</c:v>
                </c:pt>
                <c:pt idx="5">
                  <c:v>40.736633663366334</c:v>
                </c:pt>
                <c:pt idx="6">
                  <c:v>40.883960396039605</c:v>
                </c:pt>
                <c:pt idx="7">
                  <c:v>41.031287128712869</c:v>
                </c:pt>
                <c:pt idx="8">
                  <c:v>41.178613861386133</c:v>
                </c:pt>
                <c:pt idx="9">
                  <c:v>41.325940594059404</c:v>
                </c:pt>
                <c:pt idx="10">
                  <c:v>41.473267326732675</c:v>
                </c:pt>
                <c:pt idx="11">
                  <c:v>41.620594059405938</c:v>
                </c:pt>
                <c:pt idx="12">
                  <c:v>41.767920792079209</c:v>
                </c:pt>
                <c:pt idx="13">
                  <c:v>41.915247524752481</c:v>
                </c:pt>
                <c:pt idx="14">
                  <c:v>42.062574257425737</c:v>
                </c:pt>
                <c:pt idx="15">
                  <c:v>42.209900990099008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C-4DFA-4D5F-B24D-8E6FA6D2C70B}"/>
            </c:ext>
          </c:extLst>
        </c:ser>
        <c:ser>
          <c:idx val="1"/>
          <c:order val="61"/>
          <c:spPr>
            <a:ln w="3175">
              <a:solidFill>
                <a:srgbClr val="000000"/>
              </a:solidFill>
              <a:prstDash val="solid"/>
            </a:ln>
          </c:spPr>
          <c:marker>
            <c:symbol val="none"/>
          </c:marker>
          <c:xVal>
            <c:numRef>
              <c:f>'-'!$C$6:$R$6</c:f>
              <c:numCache>
                <c:formatCode>General</c:formatCode>
                <c:ptCount val="16"/>
                <c:pt idx="0">
                  <c:v>0</c:v>
                </c:pt>
                <c:pt idx="1">
                  <c:v>2</c:v>
                </c:pt>
                <c:pt idx="2">
                  <c:v>4</c:v>
                </c:pt>
                <c:pt idx="3">
                  <c:v>6</c:v>
                </c:pt>
                <c:pt idx="4">
                  <c:v>8</c:v>
                </c:pt>
                <c:pt idx="5">
                  <c:v>10</c:v>
                </c:pt>
                <c:pt idx="6">
                  <c:v>12</c:v>
                </c:pt>
                <c:pt idx="7">
                  <c:v>14</c:v>
                </c:pt>
                <c:pt idx="8">
                  <c:v>16</c:v>
                </c:pt>
                <c:pt idx="9">
                  <c:v>18</c:v>
                </c:pt>
                <c:pt idx="10">
                  <c:v>20</c:v>
                </c:pt>
                <c:pt idx="11">
                  <c:v>22</c:v>
                </c:pt>
                <c:pt idx="12">
                  <c:v>24</c:v>
                </c:pt>
                <c:pt idx="13">
                  <c:v>26</c:v>
                </c:pt>
                <c:pt idx="14">
                  <c:v>28</c:v>
                </c:pt>
                <c:pt idx="15">
                  <c:v>30</c:v>
                </c:pt>
              </c:numCache>
            </c:numRef>
          </c:xVal>
          <c:yVal>
            <c:numRef>
              <c:f>'-'!$C$9:$R$9</c:f>
              <c:numCache>
                <c:formatCode>General</c:formatCode>
                <c:ptCount val="16"/>
                <c:pt idx="0">
                  <c:v>45</c:v>
                </c:pt>
                <c:pt idx="1">
                  <c:v>45.165742574257429</c:v>
                </c:pt>
                <c:pt idx="2">
                  <c:v>45.331485148514858</c:v>
                </c:pt>
                <c:pt idx="3">
                  <c:v>45.49722772277228</c:v>
                </c:pt>
                <c:pt idx="4">
                  <c:v>45.662970297029709</c:v>
                </c:pt>
                <c:pt idx="5">
                  <c:v>45.828712871287138</c:v>
                </c:pt>
                <c:pt idx="6">
                  <c:v>45.994455445544553</c:v>
                </c:pt>
                <c:pt idx="7">
                  <c:v>46.160198019801982</c:v>
                </c:pt>
                <c:pt idx="8">
                  <c:v>46.325940594059404</c:v>
                </c:pt>
                <c:pt idx="9">
                  <c:v>46.491683168316833</c:v>
                </c:pt>
                <c:pt idx="10">
                  <c:v>46.657425742574262</c:v>
                </c:pt>
                <c:pt idx="11">
                  <c:v>46.823168316831683</c:v>
                </c:pt>
                <c:pt idx="12">
                  <c:v>46.988910891089112</c:v>
                </c:pt>
                <c:pt idx="13">
                  <c:v>47.154653465346541</c:v>
                </c:pt>
                <c:pt idx="14">
                  <c:v>47.320396039603963</c:v>
                </c:pt>
                <c:pt idx="15">
                  <c:v>47.486138613861392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D-4DFA-4D5F-B24D-8E6FA6D2C70B}"/>
            </c:ext>
          </c:extLst>
        </c:ser>
        <c:ser>
          <c:idx val="0"/>
          <c:order val="62"/>
          <c:spPr>
            <a:ln w="3175">
              <a:solidFill>
                <a:srgbClr val="000000"/>
              </a:solidFill>
              <a:prstDash val="solid"/>
            </a:ln>
          </c:spPr>
          <c:marker>
            <c:symbol val="none"/>
          </c:marker>
          <c:xVal>
            <c:numRef>
              <c:f>'-'!$C$6:$R$6</c:f>
              <c:numCache>
                <c:formatCode>General</c:formatCode>
                <c:ptCount val="16"/>
                <c:pt idx="0">
                  <c:v>0</c:v>
                </c:pt>
                <c:pt idx="1">
                  <c:v>2</c:v>
                </c:pt>
                <c:pt idx="2">
                  <c:v>4</c:v>
                </c:pt>
                <c:pt idx="3">
                  <c:v>6</c:v>
                </c:pt>
                <c:pt idx="4">
                  <c:v>8</c:v>
                </c:pt>
                <c:pt idx="5">
                  <c:v>10</c:v>
                </c:pt>
                <c:pt idx="6">
                  <c:v>12</c:v>
                </c:pt>
                <c:pt idx="7">
                  <c:v>14</c:v>
                </c:pt>
                <c:pt idx="8">
                  <c:v>16</c:v>
                </c:pt>
                <c:pt idx="9">
                  <c:v>18</c:v>
                </c:pt>
                <c:pt idx="10">
                  <c:v>20</c:v>
                </c:pt>
                <c:pt idx="11">
                  <c:v>22</c:v>
                </c:pt>
                <c:pt idx="12">
                  <c:v>24</c:v>
                </c:pt>
                <c:pt idx="13">
                  <c:v>26</c:v>
                </c:pt>
                <c:pt idx="14">
                  <c:v>28</c:v>
                </c:pt>
                <c:pt idx="15">
                  <c:v>30</c:v>
                </c:pt>
              </c:numCache>
            </c:numRef>
          </c:xVal>
          <c:yVal>
            <c:numRef>
              <c:f>'-'!$C$8:$R$8</c:f>
              <c:numCache>
                <c:formatCode>General</c:formatCode>
                <c:ptCount val="16"/>
                <c:pt idx="0">
                  <c:v>50</c:v>
                </c:pt>
                <c:pt idx="1">
                  <c:v>50.184158415841587</c:v>
                </c:pt>
                <c:pt idx="2">
                  <c:v>50.368316831683167</c:v>
                </c:pt>
                <c:pt idx="3">
                  <c:v>50.552475247524754</c:v>
                </c:pt>
                <c:pt idx="4">
                  <c:v>50.736633663366334</c:v>
                </c:pt>
                <c:pt idx="5">
                  <c:v>50.920792079207921</c:v>
                </c:pt>
                <c:pt idx="6">
                  <c:v>51.104950495049508</c:v>
                </c:pt>
                <c:pt idx="7">
                  <c:v>51.289108910891088</c:v>
                </c:pt>
                <c:pt idx="8">
                  <c:v>51.473267326732675</c:v>
                </c:pt>
                <c:pt idx="9">
                  <c:v>51.657425742574254</c:v>
                </c:pt>
                <c:pt idx="10">
                  <c:v>51.841584158415841</c:v>
                </c:pt>
                <c:pt idx="11">
                  <c:v>52.025742574257421</c:v>
                </c:pt>
                <c:pt idx="12">
                  <c:v>52.209900990099008</c:v>
                </c:pt>
                <c:pt idx="13">
                  <c:v>52.394059405940595</c:v>
                </c:pt>
                <c:pt idx="14">
                  <c:v>52.578217821782175</c:v>
                </c:pt>
                <c:pt idx="15">
                  <c:v>52.762376237623762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3E-4DFA-4D5F-B24D-8E6FA6D2C70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154574832"/>
        <c:axId val="1"/>
      </c:scatterChart>
      <c:valAx>
        <c:axId val="1154574832"/>
        <c:scaling>
          <c:orientation val="minMax"/>
          <c:max val="25"/>
          <c:min val="0"/>
        </c:scaling>
        <c:delete val="0"/>
        <c:axPos val="b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i [g/kg s.v.]</a:t>
                </a:r>
              </a:p>
            </c:rich>
          </c:tx>
          <c:layout>
            <c:manualLayout>
              <c:xMode val="edge"/>
              <c:yMode val="edge"/>
              <c:x val="0.43478326789532779"/>
              <c:y val="0.96437407456989044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out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/>
            </a:pPr>
            <a:endParaRPr lang="ru-RU"/>
          </a:p>
        </c:txPr>
        <c:crossAx val="1"/>
        <c:crossesAt val="-20"/>
        <c:crossBetween val="midCat"/>
        <c:majorUnit val="1"/>
        <c:minorUnit val="0.2"/>
      </c:valAx>
      <c:valAx>
        <c:axId val="1"/>
        <c:scaling>
          <c:orientation val="minMax"/>
          <c:max val="55"/>
          <c:min val="-20"/>
        </c:scaling>
        <c:delete val="0"/>
        <c:axPos val="l"/>
        <c:numFmt formatCode="General" sourceLinked="1"/>
        <c:majorTickMark val="out"/>
        <c:minorTickMark val="out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/>
            </a:pPr>
            <a:endParaRPr lang="ru-RU"/>
          </a:p>
        </c:txPr>
        <c:crossAx val="1154574832"/>
        <c:crossesAt val="0"/>
        <c:crossBetween val="midCat"/>
        <c:majorUnit val="5"/>
        <c:minorUnit val="1"/>
      </c:valAx>
      <c:spPr>
        <a:noFill/>
        <a:ln w="12700">
          <a:solidFill>
            <a:srgbClr val="000000"/>
          </a:solidFill>
          <a:prstDash val="solid"/>
        </a:ln>
      </c:spPr>
    </c:plotArea>
    <c:plotVisOnly val="1"/>
    <c:dispBlanksAs val="gap"/>
    <c:showDLblsOverMax val="0"/>
  </c:chart>
  <c:spPr>
    <a:solidFill>
      <a:schemeClr val="bg1"/>
    </a:solidFill>
    <a:ln w="6350">
      <a:noFill/>
    </a:ln>
  </c:spPr>
  <c:txPr>
    <a:bodyPr/>
    <a:lstStyle/>
    <a:p>
      <a:pPr>
        <a:defRPr sz="1000" b="1" i="0" u="none" strike="noStrike" baseline="0">
          <a:solidFill>
            <a:srgbClr val="000000"/>
          </a:solidFill>
          <a:latin typeface="Verdana" panose="020B0604030504040204" pitchFamily="34" charset="0"/>
          <a:ea typeface="Arial"/>
          <a:cs typeface="Arial"/>
        </a:defRPr>
      </a:pPr>
      <a:endParaRPr lang="ru-RU"/>
    </a:p>
  </c:txPr>
  <c:printSettings>
    <c:headerFooter alignWithMargins="0"/>
    <c:pageMargins b="0.39370078740157483" l="0.78740157480314965" r="0.39370078740157483" t="0.39370078740157483" header="0" footer="0"/>
    <c:pageSetup orientation="portrait" horizontalDpi="300" verticalDpi="300"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AHU </a:t>
            </a:r>
            <a:r>
              <a:rPr lang="ru-RU"/>
              <a:t>Расчет</a:t>
            </a:r>
          </a:p>
        </c:rich>
      </c:tx>
      <c:layout/>
      <c:overlay val="0"/>
    </c:title>
    <c:autoTitleDeleted val="0"/>
    <c:plotArea>
      <c:layout>
        <c:manualLayout>
          <c:layoutTarget val="inner"/>
          <c:xMode val="edge"/>
          <c:yMode val="edge"/>
          <c:x val="4.9919563203821966E-2"/>
          <c:y val="4.1769066824388405E-2"/>
          <c:w val="0.87278720182166147"/>
          <c:h val="0.88943542296638833"/>
        </c:manualLayout>
      </c:layout>
      <c:scatterChart>
        <c:scatterStyle val="lineMarker"/>
        <c:varyColors val="0"/>
        <c:ser>
          <c:idx val="52"/>
          <c:order val="0"/>
          <c:spPr>
            <a:ln w="3175">
              <a:solidFill>
                <a:srgbClr val="000000"/>
              </a:solidFill>
              <a:prstDash val="solid"/>
            </a:ln>
          </c:spPr>
          <c:marker>
            <c:symbol val="none"/>
          </c:marker>
          <c:xVal>
            <c:numRef>
              <c:f>'-'!$C$26:$D$26</c:f>
              <c:numCache>
                <c:formatCode>General</c:formatCode>
                <c:ptCount val="2"/>
                <c:pt idx="0">
                  <c:v>0</c:v>
                </c:pt>
                <c:pt idx="1">
                  <c:v>25</c:v>
                </c:pt>
              </c:numCache>
            </c:numRef>
          </c:xVal>
          <c:yVal>
            <c:numRef>
              <c:f>'-'!$C$55:$D$55</c:f>
              <c:numCache>
                <c:formatCode>General</c:formatCode>
                <c:ptCount val="2"/>
                <c:pt idx="0">
                  <c:v>-19.801980198019802</c:v>
                </c:pt>
                <c:pt idx="1">
                  <c:v>-81.707920792079207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DF87-411B-A3C0-91A6451201A1}"/>
            </c:ext>
          </c:extLst>
        </c:ser>
        <c:ser>
          <c:idx val="51"/>
          <c:order val="1"/>
          <c:spPr>
            <a:ln w="3175">
              <a:solidFill>
                <a:srgbClr val="000000"/>
              </a:solidFill>
              <a:prstDash val="solid"/>
            </a:ln>
          </c:spPr>
          <c:marker>
            <c:symbol val="none"/>
          </c:marker>
          <c:xVal>
            <c:numRef>
              <c:f>'-'!$C$26:$D$26</c:f>
              <c:numCache>
                <c:formatCode>General</c:formatCode>
                <c:ptCount val="2"/>
                <c:pt idx="0">
                  <c:v>0</c:v>
                </c:pt>
                <c:pt idx="1">
                  <c:v>25</c:v>
                </c:pt>
              </c:numCache>
            </c:numRef>
          </c:xVal>
          <c:yVal>
            <c:numRef>
              <c:f>'-'!$C$54:$D$54</c:f>
              <c:numCache>
                <c:formatCode>General</c:formatCode>
                <c:ptCount val="2"/>
                <c:pt idx="0">
                  <c:v>-14.851485148514852</c:v>
                </c:pt>
                <c:pt idx="1">
                  <c:v>-76.757425742574256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DF87-411B-A3C0-91A6451201A1}"/>
            </c:ext>
          </c:extLst>
        </c:ser>
        <c:ser>
          <c:idx val="50"/>
          <c:order val="2"/>
          <c:spPr>
            <a:ln w="3175">
              <a:solidFill>
                <a:srgbClr val="000000"/>
              </a:solidFill>
              <a:prstDash val="solid"/>
            </a:ln>
          </c:spPr>
          <c:marker>
            <c:symbol val="none"/>
          </c:marker>
          <c:xVal>
            <c:numRef>
              <c:f>'-'!$C$26:$D$26</c:f>
              <c:numCache>
                <c:formatCode>General</c:formatCode>
                <c:ptCount val="2"/>
                <c:pt idx="0">
                  <c:v>0</c:v>
                </c:pt>
                <c:pt idx="1">
                  <c:v>25</c:v>
                </c:pt>
              </c:numCache>
            </c:numRef>
          </c:xVal>
          <c:yVal>
            <c:numRef>
              <c:f>'-'!$C$53:$D$53</c:f>
              <c:numCache>
                <c:formatCode>General</c:formatCode>
                <c:ptCount val="2"/>
                <c:pt idx="0">
                  <c:v>-9.9009900990099009</c:v>
                </c:pt>
                <c:pt idx="1">
                  <c:v>-71.806930693069319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DF87-411B-A3C0-91A6451201A1}"/>
            </c:ext>
          </c:extLst>
        </c:ser>
        <c:ser>
          <c:idx val="49"/>
          <c:order val="3"/>
          <c:spPr>
            <a:ln w="3175">
              <a:solidFill>
                <a:srgbClr val="000000"/>
              </a:solidFill>
              <a:prstDash val="solid"/>
            </a:ln>
          </c:spPr>
          <c:marker>
            <c:symbol val="none"/>
          </c:marker>
          <c:xVal>
            <c:numRef>
              <c:f>'-'!$C$26:$D$26</c:f>
              <c:numCache>
                <c:formatCode>General</c:formatCode>
                <c:ptCount val="2"/>
                <c:pt idx="0">
                  <c:v>0</c:v>
                </c:pt>
                <c:pt idx="1">
                  <c:v>25</c:v>
                </c:pt>
              </c:numCache>
            </c:numRef>
          </c:xVal>
          <c:yVal>
            <c:numRef>
              <c:f>'-'!$C$52:$D$52</c:f>
              <c:numCache>
                <c:formatCode>General</c:formatCode>
                <c:ptCount val="2"/>
                <c:pt idx="0">
                  <c:v>-4.9504950495049505</c:v>
                </c:pt>
                <c:pt idx="1">
                  <c:v>-66.856435643564367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DF87-411B-A3C0-91A6451201A1}"/>
            </c:ext>
          </c:extLst>
        </c:ser>
        <c:ser>
          <c:idx val="38"/>
          <c:order val="4"/>
          <c:spPr>
            <a:ln w="3175">
              <a:solidFill>
                <a:srgbClr val="000000"/>
              </a:solidFill>
              <a:prstDash val="solid"/>
            </a:ln>
          </c:spPr>
          <c:marker>
            <c:symbol val="none"/>
          </c:marker>
          <c:xVal>
            <c:numRef>
              <c:f>'-'!$C$26:$D$26</c:f>
              <c:numCache>
                <c:formatCode>General</c:formatCode>
                <c:ptCount val="2"/>
                <c:pt idx="0">
                  <c:v>0</c:v>
                </c:pt>
                <c:pt idx="1">
                  <c:v>25</c:v>
                </c:pt>
              </c:numCache>
            </c:numRef>
          </c:xVal>
          <c:yVal>
            <c:numRef>
              <c:f>'-'!$C$51:$D$51</c:f>
              <c:numCache>
                <c:formatCode>General</c:formatCode>
                <c:ptCount val="2"/>
                <c:pt idx="0">
                  <c:v>0</c:v>
                </c:pt>
                <c:pt idx="1">
                  <c:v>-61.905940594059402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DF87-411B-A3C0-91A6451201A1}"/>
            </c:ext>
          </c:extLst>
        </c:ser>
        <c:ser>
          <c:idx val="37"/>
          <c:order val="5"/>
          <c:spPr>
            <a:ln w="3175">
              <a:solidFill>
                <a:srgbClr val="000000"/>
              </a:solidFill>
              <a:prstDash val="solid"/>
            </a:ln>
          </c:spPr>
          <c:marker>
            <c:symbol val="none"/>
          </c:marker>
          <c:xVal>
            <c:numRef>
              <c:f>'-'!$C$26:$G$26</c:f>
              <c:numCache>
                <c:formatCode>General</c:formatCode>
                <c:ptCount val="5"/>
                <c:pt idx="0">
                  <c:v>0</c:v>
                </c:pt>
                <c:pt idx="1">
                  <c:v>25</c:v>
                </c:pt>
              </c:numCache>
            </c:numRef>
          </c:xVal>
          <c:yVal>
            <c:numRef>
              <c:f>'-'!$C$50:$F$50</c:f>
              <c:numCache>
                <c:formatCode>General</c:formatCode>
                <c:ptCount val="4"/>
                <c:pt idx="0">
                  <c:v>4.9504950495049505</c:v>
                </c:pt>
                <c:pt idx="1">
                  <c:v>-56.955445544554451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5-DF87-411B-A3C0-91A6451201A1}"/>
            </c:ext>
          </c:extLst>
        </c:ser>
        <c:ser>
          <c:idx val="36"/>
          <c:order val="6"/>
          <c:spPr>
            <a:ln w="3175">
              <a:solidFill>
                <a:srgbClr val="000000"/>
              </a:solidFill>
              <a:prstDash val="solid"/>
            </a:ln>
          </c:spPr>
          <c:marker>
            <c:symbol val="none"/>
          </c:marker>
          <c:xVal>
            <c:numRef>
              <c:f>'-'!$C$26:$G$26</c:f>
              <c:numCache>
                <c:formatCode>General</c:formatCode>
                <c:ptCount val="5"/>
                <c:pt idx="0">
                  <c:v>0</c:v>
                </c:pt>
                <c:pt idx="1">
                  <c:v>25</c:v>
                </c:pt>
              </c:numCache>
            </c:numRef>
          </c:xVal>
          <c:yVal>
            <c:numRef>
              <c:f>'-'!$C$49:$F$49</c:f>
              <c:numCache>
                <c:formatCode>General</c:formatCode>
                <c:ptCount val="4"/>
                <c:pt idx="0">
                  <c:v>9.9009900990099009</c:v>
                </c:pt>
                <c:pt idx="1">
                  <c:v>-52.004950495049506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6-DF87-411B-A3C0-91A6451201A1}"/>
            </c:ext>
          </c:extLst>
        </c:ser>
        <c:ser>
          <c:idx val="35"/>
          <c:order val="7"/>
          <c:spPr>
            <a:ln w="3175">
              <a:solidFill>
                <a:srgbClr val="000000"/>
              </a:solidFill>
              <a:prstDash val="solid"/>
            </a:ln>
          </c:spPr>
          <c:marker>
            <c:symbol val="none"/>
          </c:marker>
          <c:xVal>
            <c:numRef>
              <c:f>'-'!$C$26:$G$26</c:f>
              <c:numCache>
                <c:formatCode>General</c:formatCode>
                <c:ptCount val="5"/>
                <c:pt idx="0">
                  <c:v>0</c:v>
                </c:pt>
                <c:pt idx="1">
                  <c:v>25</c:v>
                </c:pt>
              </c:numCache>
            </c:numRef>
          </c:xVal>
          <c:yVal>
            <c:numRef>
              <c:f>'-'!$C$48:$F$48</c:f>
              <c:numCache>
                <c:formatCode>General</c:formatCode>
                <c:ptCount val="4"/>
                <c:pt idx="0">
                  <c:v>14.851485148514852</c:v>
                </c:pt>
                <c:pt idx="1">
                  <c:v>-47.054455445544555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7-DF87-411B-A3C0-91A6451201A1}"/>
            </c:ext>
          </c:extLst>
        </c:ser>
        <c:ser>
          <c:idx val="34"/>
          <c:order val="8"/>
          <c:spPr>
            <a:ln w="3175">
              <a:solidFill>
                <a:srgbClr val="000000"/>
              </a:solidFill>
              <a:prstDash val="solid"/>
            </a:ln>
          </c:spPr>
          <c:marker>
            <c:symbol val="none"/>
          </c:marker>
          <c:xVal>
            <c:numRef>
              <c:f>'-'!$C$26:$G$26</c:f>
              <c:numCache>
                <c:formatCode>General</c:formatCode>
                <c:ptCount val="5"/>
                <c:pt idx="0">
                  <c:v>0</c:v>
                </c:pt>
                <c:pt idx="1">
                  <c:v>25</c:v>
                </c:pt>
              </c:numCache>
            </c:numRef>
          </c:xVal>
          <c:yVal>
            <c:numRef>
              <c:f>'-'!$C$47:$F$47</c:f>
              <c:numCache>
                <c:formatCode>General</c:formatCode>
                <c:ptCount val="4"/>
                <c:pt idx="0">
                  <c:v>19.801980198019802</c:v>
                </c:pt>
                <c:pt idx="1">
                  <c:v>-42.103960396039604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8-DF87-411B-A3C0-91A6451201A1}"/>
            </c:ext>
          </c:extLst>
        </c:ser>
        <c:ser>
          <c:idx val="33"/>
          <c:order val="9"/>
          <c:spPr>
            <a:ln w="3175">
              <a:solidFill>
                <a:srgbClr val="000000"/>
              </a:solidFill>
              <a:prstDash val="solid"/>
            </a:ln>
          </c:spPr>
          <c:marker>
            <c:symbol val="none"/>
          </c:marker>
          <c:xVal>
            <c:numRef>
              <c:f>'-'!$C$26:$G$26</c:f>
              <c:numCache>
                <c:formatCode>General</c:formatCode>
                <c:ptCount val="5"/>
                <c:pt idx="0">
                  <c:v>0</c:v>
                </c:pt>
                <c:pt idx="1">
                  <c:v>25</c:v>
                </c:pt>
              </c:numCache>
            </c:numRef>
          </c:xVal>
          <c:yVal>
            <c:numRef>
              <c:f>'-'!$C$46:$F$46</c:f>
              <c:numCache>
                <c:formatCode>General</c:formatCode>
                <c:ptCount val="4"/>
                <c:pt idx="0">
                  <c:v>24.752475247524753</c:v>
                </c:pt>
                <c:pt idx="1">
                  <c:v>-37.153465346534652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9-DF87-411B-A3C0-91A6451201A1}"/>
            </c:ext>
          </c:extLst>
        </c:ser>
        <c:ser>
          <c:idx val="32"/>
          <c:order val="10"/>
          <c:spPr>
            <a:ln w="3175">
              <a:solidFill>
                <a:srgbClr val="000000"/>
              </a:solidFill>
              <a:prstDash val="solid"/>
            </a:ln>
          </c:spPr>
          <c:marker>
            <c:symbol val="none"/>
          </c:marker>
          <c:xVal>
            <c:numRef>
              <c:f>'-'!$C$26:$G$26</c:f>
              <c:numCache>
                <c:formatCode>General</c:formatCode>
                <c:ptCount val="5"/>
                <c:pt idx="0">
                  <c:v>0</c:v>
                </c:pt>
                <c:pt idx="1">
                  <c:v>25</c:v>
                </c:pt>
              </c:numCache>
            </c:numRef>
          </c:xVal>
          <c:yVal>
            <c:numRef>
              <c:f>'-'!$C$45:$F$45</c:f>
              <c:numCache>
                <c:formatCode>General</c:formatCode>
                <c:ptCount val="4"/>
                <c:pt idx="0">
                  <c:v>29.702970297029704</c:v>
                </c:pt>
                <c:pt idx="1">
                  <c:v>-32.202970297029701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A-DF87-411B-A3C0-91A6451201A1}"/>
            </c:ext>
          </c:extLst>
        </c:ser>
        <c:ser>
          <c:idx val="31"/>
          <c:order val="11"/>
          <c:spPr>
            <a:ln w="3175">
              <a:solidFill>
                <a:srgbClr val="000000"/>
              </a:solidFill>
              <a:prstDash val="solid"/>
            </a:ln>
          </c:spPr>
          <c:marker>
            <c:symbol val="none"/>
          </c:marker>
          <c:xVal>
            <c:numRef>
              <c:f>'-'!$C$26:$G$26</c:f>
              <c:numCache>
                <c:formatCode>General</c:formatCode>
                <c:ptCount val="5"/>
                <c:pt idx="0">
                  <c:v>0</c:v>
                </c:pt>
                <c:pt idx="1">
                  <c:v>25</c:v>
                </c:pt>
              </c:numCache>
            </c:numRef>
          </c:xVal>
          <c:yVal>
            <c:numRef>
              <c:f>'-'!$C$44:$F$44</c:f>
              <c:numCache>
                <c:formatCode>General</c:formatCode>
                <c:ptCount val="4"/>
                <c:pt idx="0">
                  <c:v>34.653465346534652</c:v>
                </c:pt>
                <c:pt idx="1">
                  <c:v>-27.25247524752475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B-DF87-411B-A3C0-91A6451201A1}"/>
            </c:ext>
          </c:extLst>
        </c:ser>
        <c:ser>
          <c:idx val="62"/>
          <c:order val="12"/>
          <c:tx>
            <c:v>10.bod</c:v>
          </c:tx>
          <c:spPr>
            <a:ln w="38100">
              <a:solidFill>
                <a:srgbClr val="FF0000"/>
              </a:solidFill>
              <a:prstDash val="solid"/>
            </a:ln>
          </c:spPr>
          <c:marker>
            <c:symbol val="diamond"/>
            <c:size val="6"/>
            <c:spPr>
              <a:solidFill>
                <a:srgbClr val="0000FF"/>
              </a:solidFill>
              <a:ln>
                <a:solidFill>
                  <a:srgbClr val="FF0000"/>
                </a:solidFill>
                <a:prstDash val="solid"/>
              </a:ln>
            </c:spPr>
          </c:marker>
          <c:xVal>
            <c:numRef>
              <c:f>'E01'!$E$180:$S$180</c:f>
              <c:numCache>
                <c:formatCode>General</c:formatCode>
                <c:ptCount val="15"/>
                <c:pt idx="8">
                  <c:v>5.4476262829484417E-4</c:v>
                </c:pt>
                <c:pt idx="9">
                  <c:v>5.4476262829484417E-4</c:v>
                </c:pt>
                <c:pt idx="10">
                  <c:v>15.17511246915182</c:v>
                </c:pt>
                <c:pt idx="11">
                  <c:v>9.2012211080269264</c:v>
                </c:pt>
                <c:pt idx="12">
                  <c:v>9.0684559843778378E-2</c:v>
                </c:pt>
                <c:pt idx="13">
                  <c:v>9.0684559843778378E-2</c:v>
                </c:pt>
                <c:pt idx="14">
                  <c:v>9.0671476786990859E-4</c:v>
                </c:pt>
              </c:numCache>
            </c:numRef>
          </c:xVal>
          <c:yVal>
            <c:numRef>
              <c:f>'E01'!$E$181:$S$181</c:f>
              <c:numCache>
                <c:formatCode>General</c:formatCode>
                <c:ptCount val="15"/>
                <c:pt idx="8">
                  <c:v>8.0000080258098105</c:v>
                </c:pt>
                <c:pt idx="9">
                  <c:v>20.000020064524527</c:v>
                </c:pt>
                <c:pt idx="10">
                  <c:v>35.978118635387915</c:v>
                </c:pt>
                <c:pt idx="11">
                  <c:v>16.271117168489983</c:v>
                </c:pt>
                <c:pt idx="12">
                  <c:v>16.00267205198114</c:v>
                </c:pt>
                <c:pt idx="13">
                  <c:v>20.003340064976424</c:v>
                </c:pt>
                <c:pt idx="14">
                  <c:v>20.000033395831053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C-DF87-411B-A3C0-91A6451201A1}"/>
            </c:ext>
          </c:extLst>
        </c:ser>
        <c:ser>
          <c:idx val="61"/>
          <c:order val="13"/>
          <c:tx>
            <c:v>9.bod</c:v>
          </c:tx>
          <c:spPr>
            <a:ln w="38100">
              <a:solidFill>
                <a:srgbClr val="FF0000"/>
              </a:solidFill>
              <a:prstDash val="solid"/>
            </a:ln>
          </c:spPr>
          <c:marker>
            <c:symbol val="diamond"/>
            <c:size val="6"/>
            <c:spPr>
              <a:solidFill>
                <a:srgbClr val="0000FF"/>
              </a:solidFill>
              <a:ln>
                <a:solidFill>
                  <a:srgbClr val="FF0000"/>
                </a:solidFill>
                <a:prstDash val="solid"/>
              </a:ln>
            </c:spPr>
          </c:marker>
          <c:xVal>
            <c:numRef>
              <c:f>'E01'!$E$178:$S$178</c:f>
              <c:numCache>
                <c:formatCode>General</c:formatCode>
                <c:ptCount val="15"/>
                <c:pt idx="7">
                  <c:v>5.4476262829484417E-4</c:v>
                </c:pt>
                <c:pt idx="8">
                  <c:v>5.4476262829484417E-4</c:v>
                </c:pt>
                <c:pt idx="9">
                  <c:v>5.4476262829484417E-4</c:v>
                </c:pt>
                <c:pt idx="10">
                  <c:v>5.4476262829484417E-4</c:v>
                </c:pt>
                <c:pt idx="11">
                  <c:v>5.4476262829484417E-4</c:v>
                </c:pt>
                <c:pt idx="12">
                  <c:v>5.4476262829484417E-4</c:v>
                </c:pt>
                <c:pt idx="13">
                  <c:v>5.4476262829484417E-4</c:v>
                </c:pt>
                <c:pt idx="14">
                  <c:v>5.4476262829484417E-4</c:v>
                </c:pt>
              </c:numCache>
            </c:numRef>
          </c:xVal>
          <c:yVal>
            <c:numRef>
              <c:f>'E01'!$E$179:$S$179</c:f>
              <c:numCache>
                <c:formatCode>General</c:formatCode>
                <c:ptCount val="15"/>
                <c:pt idx="7">
                  <c:v>8.0000080258098105</c:v>
                </c:pt>
                <c:pt idx="8">
                  <c:v>8.0000080258098105</c:v>
                </c:pt>
                <c:pt idx="9">
                  <c:v>8.0000080258098105</c:v>
                </c:pt>
                <c:pt idx="10">
                  <c:v>8.0000080258098105</c:v>
                </c:pt>
                <c:pt idx="11">
                  <c:v>8.0000080258098105</c:v>
                </c:pt>
                <c:pt idx="12">
                  <c:v>8.0000080258098105</c:v>
                </c:pt>
                <c:pt idx="13">
                  <c:v>8.0000080258098105</c:v>
                </c:pt>
                <c:pt idx="14">
                  <c:v>8.0000080258098105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D-DF87-411B-A3C0-91A6451201A1}"/>
            </c:ext>
          </c:extLst>
        </c:ser>
        <c:ser>
          <c:idx val="60"/>
          <c:order val="14"/>
          <c:tx>
            <c:v>8.bod</c:v>
          </c:tx>
          <c:spPr>
            <a:ln w="38100">
              <a:solidFill>
                <a:srgbClr val="FF0000"/>
              </a:solidFill>
              <a:prstDash val="solid"/>
            </a:ln>
          </c:spPr>
          <c:marker>
            <c:symbol val="diamond"/>
            <c:size val="6"/>
            <c:spPr>
              <a:solidFill>
                <a:srgbClr val="0000FF"/>
              </a:solidFill>
              <a:ln>
                <a:solidFill>
                  <a:srgbClr val="FF0000"/>
                </a:solidFill>
                <a:prstDash val="solid"/>
              </a:ln>
            </c:spPr>
          </c:marker>
          <c:xVal>
            <c:numRef>
              <c:f>'E01'!$E$176:$S$176</c:f>
              <c:numCache>
                <c:formatCode>General</c:formatCode>
                <c:ptCount val="15"/>
                <c:pt idx="6">
                  <c:v>5.4480985171597482E-2</c:v>
                </c:pt>
                <c:pt idx="7">
                  <c:v>5.4480985171597482E-2</c:v>
                </c:pt>
                <c:pt idx="8">
                  <c:v>5.4480985171597482E-2</c:v>
                </c:pt>
              </c:numCache>
            </c:numRef>
          </c:xVal>
          <c:yVal>
            <c:numRef>
              <c:f>'E01'!$E$177:$S$177</c:f>
              <c:numCache>
                <c:formatCode>General</c:formatCode>
                <c:ptCount val="15"/>
                <c:pt idx="6">
                  <c:v>4.277449722330025</c:v>
                </c:pt>
                <c:pt idx="7">
                  <c:v>8.0008026505538137</c:v>
                </c:pt>
                <c:pt idx="8">
                  <c:v>8.0008026505538137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E-DF87-411B-A3C0-91A6451201A1}"/>
            </c:ext>
          </c:extLst>
        </c:ser>
        <c:ser>
          <c:idx val="59"/>
          <c:order val="15"/>
          <c:tx>
            <c:v>7.bod</c:v>
          </c:tx>
          <c:spPr>
            <a:ln w="38100">
              <a:solidFill>
                <a:srgbClr val="FF0000"/>
              </a:solidFill>
              <a:prstDash val="solid"/>
            </a:ln>
          </c:spPr>
          <c:marker>
            <c:symbol val="diamond"/>
            <c:size val="6"/>
            <c:spPr>
              <a:solidFill>
                <a:srgbClr val="000080"/>
              </a:solidFill>
              <a:ln>
                <a:solidFill>
                  <a:srgbClr val="FF0000"/>
                </a:solidFill>
                <a:prstDash val="solid"/>
              </a:ln>
            </c:spPr>
          </c:marker>
          <c:xVal>
            <c:numRef>
              <c:f>'E01'!$E$174:$S$174</c:f>
              <c:numCache>
                <c:formatCode>General</c:formatCode>
                <c:ptCount val="15"/>
                <c:pt idx="5">
                  <c:v>5.4480985171597482E-2</c:v>
                </c:pt>
                <c:pt idx="6">
                  <c:v>5.4480985171597482E-2</c:v>
                </c:pt>
                <c:pt idx="7">
                  <c:v>5.4480985171597482E-2</c:v>
                </c:pt>
              </c:numCache>
            </c:numRef>
          </c:xVal>
          <c:yVal>
            <c:numRef>
              <c:f>'E01'!$E$175:$S$175</c:f>
              <c:numCache>
                <c:formatCode>General</c:formatCode>
                <c:ptCount val="15"/>
                <c:pt idx="5">
                  <c:v>4.277449722330025</c:v>
                </c:pt>
                <c:pt idx="6">
                  <c:v>4.277449722330025</c:v>
                </c:pt>
                <c:pt idx="7">
                  <c:v>4.277449722330025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F-DF87-411B-A3C0-91A6451201A1}"/>
            </c:ext>
          </c:extLst>
        </c:ser>
        <c:ser>
          <c:idx val="58"/>
          <c:order val="16"/>
          <c:tx>
            <c:v>6.bod</c:v>
          </c:tx>
          <c:spPr>
            <a:ln w="38100">
              <a:solidFill>
                <a:srgbClr val="FF0000"/>
              </a:solidFill>
              <a:prstDash val="solid"/>
            </a:ln>
          </c:spPr>
          <c:marker>
            <c:symbol val="diamond"/>
            <c:size val="6"/>
            <c:spPr>
              <a:solidFill>
                <a:srgbClr val="0000FF"/>
              </a:solidFill>
              <a:ln>
                <a:solidFill>
                  <a:srgbClr val="FF0000"/>
                </a:solidFill>
                <a:prstDash val="solid"/>
              </a:ln>
            </c:spPr>
          </c:marker>
          <c:xVal>
            <c:numRef>
              <c:f>'E01'!$E$172:$S$172</c:f>
              <c:numCache>
                <c:formatCode>General</c:formatCode>
                <c:ptCount val="15"/>
                <c:pt idx="4">
                  <c:v>9.3757233081908904</c:v>
                </c:pt>
                <c:pt idx="5">
                  <c:v>5.4957390094007232</c:v>
                </c:pt>
                <c:pt idx="6">
                  <c:v>8.3203757830561539E-2</c:v>
                </c:pt>
              </c:numCache>
            </c:numRef>
          </c:xVal>
          <c:yVal>
            <c:numRef>
              <c:f>'E01'!$E$173:$S$173</c:f>
              <c:numCache>
                <c:formatCode>General</c:formatCode>
                <c:ptCount val="15"/>
                <c:pt idx="4">
                  <c:v>20.345323670361086</c:v>
                </c:pt>
                <c:pt idx="5">
                  <c:v>4.3203077551807594</c:v>
                </c:pt>
                <c:pt idx="6">
                  <c:v>-25.003830668058537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0-DF87-411B-A3C0-91A6451201A1}"/>
            </c:ext>
          </c:extLst>
        </c:ser>
        <c:ser>
          <c:idx val="57"/>
          <c:order val="17"/>
          <c:tx>
            <c:v>5.bod</c:v>
          </c:tx>
          <c:spPr>
            <a:ln w="38100">
              <a:solidFill>
                <a:srgbClr val="FF0000"/>
              </a:solidFill>
              <a:prstDash val="solid"/>
            </a:ln>
          </c:spPr>
          <c:marker>
            <c:symbol val="diamond"/>
            <c:size val="6"/>
            <c:spPr>
              <a:solidFill>
                <a:srgbClr val="0000FF"/>
              </a:solidFill>
              <a:ln>
                <a:solidFill>
                  <a:srgbClr val="FF0000"/>
                </a:solidFill>
                <a:prstDash val="solid"/>
              </a:ln>
            </c:spPr>
          </c:marker>
          <c:xVal>
            <c:numRef>
              <c:f>'E01'!$E$170:$S$170</c:f>
              <c:numCache>
                <c:formatCode>General</c:formatCode>
                <c:ptCount val="15"/>
                <c:pt idx="3">
                  <c:v>9.3757233081908904</c:v>
                </c:pt>
                <c:pt idx="4">
                  <c:v>9.3757233081908904</c:v>
                </c:pt>
                <c:pt idx="5">
                  <c:v>9.3757233081908904</c:v>
                </c:pt>
              </c:numCache>
            </c:numRef>
          </c:xVal>
          <c:yVal>
            <c:numRef>
              <c:f>'E01'!$E$171:$S$171</c:f>
              <c:numCache>
                <c:formatCode>General</c:formatCode>
                <c:ptCount val="15"/>
                <c:pt idx="3">
                  <c:v>20.345323670361086</c:v>
                </c:pt>
                <c:pt idx="4">
                  <c:v>20.345323670361086</c:v>
                </c:pt>
                <c:pt idx="5">
                  <c:v>20.345323670361086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1-DF87-411B-A3C0-91A6451201A1}"/>
            </c:ext>
          </c:extLst>
        </c:ser>
        <c:ser>
          <c:idx val="56"/>
          <c:order val="18"/>
          <c:tx>
            <c:v>4.bod</c:v>
          </c:tx>
          <c:spPr>
            <a:ln w="38100">
              <a:solidFill>
                <a:srgbClr val="FF0000"/>
              </a:solidFill>
              <a:prstDash val="solid"/>
            </a:ln>
          </c:spPr>
          <c:marker>
            <c:symbol val="diamond"/>
            <c:size val="6"/>
            <c:spPr>
              <a:solidFill>
                <a:srgbClr val="0000FF"/>
              </a:solidFill>
              <a:ln>
                <a:solidFill>
                  <a:srgbClr val="FF0000"/>
                </a:solidFill>
                <a:prstDash val="solid"/>
              </a:ln>
            </c:spPr>
          </c:marker>
          <c:xVal>
            <c:numRef>
              <c:f>'E01'!$E$168:$S$168</c:f>
              <c:numCache>
                <c:formatCode>General</c:formatCode>
                <c:ptCount val="15"/>
                <c:pt idx="2">
                  <c:v>8.3203757830561539E-2</c:v>
                </c:pt>
                <c:pt idx="3">
                  <c:v>8.3203757830561539E-2</c:v>
                </c:pt>
                <c:pt idx="4">
                  <c:v>8.3203757830561539E-2</c:v>
                </c:pt>
              </c:numCache>
            </c:numRef>
          </c:xVal>
          <c:yVal>
            <c:numRef>
              <c:f>'E01'!$E$169:$S$169</c:f>
              <c:numCache>
                <c:formatCode>General</c:formatCode>
                <c:ptCount val="15"/>
                <c:pt idx="2">
                  <c:v>-25.003830668058537</c:v>
                </c:pt>
                <c:pt idx="3">
                  <c:v>-25.003830668058537</c:v>
                </c:pt>
                <c:pt idx="4">
                  <c:v>-25.003830668058537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2-DF87-411B-A3C0-91A6451201A1}"/>
            </c:ext>
          </c:extLst>
        </c:ser>
        <c:ser>
          <c:idx val="55"/>
          <c:order val="19"/>
          <c:tx>
            <c:v>3.bod</c:v>
          </c:tx>
          <c:spPr>
            <a:ln w="38100">
              <a:solidFill>
                <a:srgbClr val="FF0000"/>
              </a:solidFill>
              <a:prstDash val="solid"/>
            </a:ln>
          </c:spPr>
          <c:marker>
            <c:symbol val="diamond"/>
            <c:size val="6"/>
            <c:spPr>
              <a:solidFill>
                <a:srgbClr val="0000FF"/>
              </a:solidFill>
              <a:ln>
                <a:solidFill>
                  <a:srgbClr val="FF0000"/>
                </a:solidFill>
                <a:prstDash val="solid"/>
              </a:ln>
            </c:spPr>
          </c:marker>
          <c:xVal>
            <c:numRef>
              <c:f>'E01'!$E$166:$S$166</c:f>
              <c:numCache>
                <c:formatCode>General</c:formatCode>
                <c:ptCount val="15"/>
                <c:pt idx="1">
                  <c:v>8.3203757830561539E-2</c:v>
                </c:pt>
                <c:pt idx="2">
                  <c:v>8.3203757830561539E-2</c:v>
                </c:pt>
                <c:pt idx="3">
                  <c:v>8.3203757830561539E-2</c:v>
                </c:pt>
              </c:numCache>
            </c:numRef>
          </c:xVal>
          <c:yVal>
            <c:numRef>
              <c:f>'E01'!$E$167:$S$167</c:f>
              <c:numCache>
                <c:formatCode>General</c:formatCode>
                <c:ptCount val="15"/>
                <c:pt idx="1">
                  <c:v>-25.003830668058537</c:v>
                </c:pt>
                <c:pt idx="2">
                  <c:v>-25.003830668058537</c:v>
                </c:pt>
                <c:pt idx="3">
                  <c:v>-25.003830668058537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3-DF87-411B-A3C0-91A6451201A1}"/>
            </c:ext>
          </c:extLst>
        </c:ser>
        <c:ser>
          <c:idx val="54"/>
          <c:order val="20"/>
          <c:tx>
            <c:v>3.bod</c:v>
          </c:tx>
          <c:spPr>
            <a:ln w="38100">
              <a:solidFill>
                <a:srgbClr val="FF0000"/>
              </a:solidFill>
              <a:prstDash val="solid"/>
            </a:ln>
          </c:spPr>
          <c:marker>
            <c:symbol val="diamond"/>
            <c:size val="6"/>
            <c:spPr>
              <a:solidFill>
                <a:srgbClr val="0000FF"/>
              </a:solidFill>
              <a:ln>
                <a:solidFill>
                  <a:srgbClr val="FF0000"/>
                </a:solidFill>
                <a:prstDash val="solid"/>
              </a:ln>
            </c:spPr>
          </c:marker>
          <c:xVal>
            <c:numRef>
              <c:f>'E01'!$E$164:$S$164</c:f>
              <c:numCache>
                <c:formatCode>General</c:formatCode>
                <c:ptCount val="15"/>
                <c:pt idx="0">
                  <c:v>8.3203757830561539E-2</c:v>
                </c:pt>
                <c:pt idx="1">
                  <c:v>8.3203757830561539E-2</c:v>
                </c:pt>
              </c:numCache>
            </c:numRef>
          </c:xVal>
          <c:yVal>
            <c:numRef>
              <c:f>'E01'!$E$165:$S$165</c:f>
              <c:numCache>
                <c:formatCode>General</c:formatCode>
                <c:ptCount val="15"/>
                <c:pt idx="0">
                  <c:v>-25.003830668058537</c:v>
                </c:pt>
                <c:pt idx="1">
                  <c:v>-25.003830668058537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4-DF87-411B-A3C0-91A6451201A1}"/>
            </c:ext>
          </c:extLst>
        </c:ser>
        <c:ser>
          <c:idx val="14"/>
          <c:order val="21"/>
          <c:tx>
            <c:v>2.bod</c:v>
          </c:tx>
          <c:spPr>
            <a:ln w="38100">
              <a:solidFill>
                <a:srgbClr val="FF0000"/>
              </a:solidFill>
              <a:prstDash val="solid"/>
            </a:ln>
          </c:spPr>
          <c:marker>
            <c:symbol val="diamond"/>
            <c:size val="6"/>
            <c:spPr>
              <a:solidFill>
                <a:srgbClr val="0000FF"/>
              </a:solidFill>
              <a:ln>
                <a:solidFill>
                  <a:srgbClr val="FF0000"/>
                </a:solidFill>
                <a:prstDash val="solid"/>
              </a:ln>
            </c:spPr>
          </c:marker>
          <c:xVal>
            <c:numRef>
              <c:f>'E01'!$E$164:$S$164</c:f>
              <c:numCache>
                <c:formatCode>General</c:formatCode>
                <c:ptCount val="15"/>
                <c:pt idx="0">
                  <c:v>8.3203757830561539E-2</c:v>
                </c:pt>
                <c:pt idx="1">
                  <c:v>8.3203757830561539E-2</c:v>
                </c:pt>
              </c:numCache>
            </c:numRef>
          </c:xVal>
          <c:yVal>
            <c:numRef>
              <c:f>'E01'!$E$165:$S$165</c:f>
              <c:numCache>
                <c:formatCode>General</c:formatCode>
                <c:ptCount val="15"/>
                <c:pt idx="0">
                  <c:v>-25.003830668058537</c:v>
                </c:pt>
                <c:pt idx="1">
                  <c:v>-25.003830668058537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5-DF87-411B-A3C0-91A6451201A1}"/>
            </c:ext>
          </c:extLst>
        </c:ser>
        <c:ser>
          <c:idx val="53"/>
          <c:order val="22"/>
          <c:tx>
            <c:v>1.bod</c:v>
          </c:tx>
          <c:spPr>
            <a:ln w="38100">
              <a:solidFill>
                <a:srgbClr val="FF0000"/>
              </a:solidFill>
              <a:prstDash val="solid"/>
            </a:ln>
          </c:spPr>
          <c:marker>
            <c:symbol val="diamond"/>
            <c:size val="6"/>
            <c:spPr>
              <a:solidFill>
                <a:srgbClr val="0000FF"/>
              </a:solidFill>
              <a:ln>
                <a:solidFill>
                  <a:srgbClr val="FF0000"/>
                </a:solidFill>
                <a:prstDash val="solid"/>
              </a:ln>
            </c:spPr>
          </c:marker>
          <c:xVal>
            <c:numRef>
              <c:f>'E01'!$E$162:$S$162</c:f>
              <c:numCache>
                <c:formatCode>General</c:formatCode>
                <c:ptCount val="15"/>
                <c:pt idx="0">
                  <c:v>8.3203757830561539E-2</c:v>
                </c:pt>
              </c:numCache>
            </c:numRef>
          </c:xVal>
          <c:yVal>
            <c:numRef>
              <c:f>'E01'!$E$163:$S$163</c:f>
              <c:numCache>
                <c:formatCode>General</c:formatCode>
                <c:ptCount val="15"/>
                <c:pt idx="0">
                  <c:v>-25.003830668058537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6-DF87-411B-A3C0-91A6451201A1}"/>
            </c:ext>
          </c:extLst>
        </c:ser>
        <c:ser>
          <c:idx val="48"/>
          <c:order val="23"/>
          <c:spPr>
            <a:ln w="3175">
              <a:solidFill>
                <a:srgbClr val="000000"/>
              </a:solidFill>
              <a:prstDash val="solid"/>
            </a:ln>
          </c:spPr>
          <c:marker>
            <c:symbol val="none"/>
          </c:marker>
          <c:xVal>
            <c:numRef>
              <c:f>'-'!$D$79:$T$79</c:f>
              <c:numCache>
                <c:formatCode>General</c:formatCode>
                <c:ptCount val="17"/>
                <c:pt idx="2">
                  <c:v>0.17101280627768012</c:v>
                </c:pt>
                <c:pt idx="3">
                  <c:v>0.26443999317586409</c:v>
                </c:pt>
                <c:pt idx="4">
                  <c:v>0.40111958118109542</c:v>
                </c:pt>
                <c:pt idx="5">
                  <c:v>0.57365941965561285</c:v>
                </c:pt>
                <c:pt idx="6">
                  <c:v>0.80856460613349224</c:v>
                </c:pt>
                <c:pt idx="7">
                  <c:v>1.1242211125591719</c:v>
                </c:pt>
                <c:pt idx="8">
                  <c:v>1.5432417243466023</c:v>
                </c:pt>
                <c:pt idx="9">
                  <c:v>2.093178554164365</c:v>
                </c:pt>
                <c:pt idx="10">
                  <c:v>2.8073255116868441</c:v>
                </c:pt>
                <c:pt idx="11">
                  <c:v>3.7256286077166139</c:v>
                </c:pt>
                <c:pt idx="12">
                  <c:v>4.89572992529573</c:v>
                </c:pt>
                <c:pt idx="13">
                  <c:v>6.3741820722374358</c:v>
                </c:pt>
                <c:pt idx="14">
                  <c:v>8.2278849367789046</c:v>
                </c:pt>
                <c:pt idx="15">
                  <c:v>10.53581702830612</c:v>
                </c:pt>
                <c:pt idx="16">
                  <c:v>13.391161696827741</c:v>
                </c:pt>
              </c:numCache>
            </c:numRef>
          </c:xVal>
          <c:yVal>
            <c:numRef>
              <c:f>'-'!$D$80:$T$80</c:f>
              <c:numCache>
                <c:formatCode>General</c:formatCode>
                <c:ptCount val="17"/>
                <c:pt idx="2">
                  <c:v>-10.003149344749273</c:v>
                </c:pt>
                <c:pt idx="3">
                  <c:v>-5.002434942511421</c:v>
                </c:pt>
                <c:pt idx="4">
                  <c:v>0</c:v>
                </c:pt>
                <c:pt idx="5">
                  <c:v>5.0052822104978194</c:v>
                </c:pt>
                <c:pt idx="6">
                  <c:v>10.014890397697112</c:v>
                </c:pt>
                <c:pt idx="7">
                  <c:v>15.031055216871684</c:v>
                </c:pt>
                <c:pt idx="8">
                  <c:v>20.05684019024326</c:v>
                </c:pt>
                <c:pt idx="9">
                  <c:v>25.096369111652123</c:v>
                </c:pt>
                <c:pt idx="10">
                  <c:v>30.155097785695176</c:v>
                </c:pt>
                <c:pt idx="11">
                  <c:v>35.240137051843917</c:v>
                </c:pt>
                <c:pt idx="12">
                  <c:v>40.36063594697228</c:v>
                </c:pt>
                <c:pt idx="13">
                  <c:v>45.528236672719089</c:v>
                </c:pt>
                <c:pt idx="14">
                  <c:v>50.757617127842018</c:v>
                </c:pt>
                <c:pt idx="15">
                  <c:v>56.067142655441302</c:v>
                </c:pt>
                <c:pt idx="16">
                  <c:v>61.47965707461978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7-DF87-411B-A3C0-91A6451201A1}"/>
            </c:ext>
          </c:extLst>
        </c:ser>
        <c:ser>
          <c:idx val="47"/>
          <c:order val="24"/>
          <c:spPr>
            <a:ln w="3175">
              <a:solidFill>
                <a:srgbClr val="000000"/>
              </a:solidFill>
              <a:prstDash val="solid"/>
            </a:ln>
          </c:spPr>
          <c:marker>
            <c:symbol val="none"/>
          </c:marker>
          <c:xVal>
            <c:numRef>
              <c:f>'-'!$D$77:$T$77</c:f>
              <c:numCache>
                <c:formatCode>General</c:formatCode>
                <c:ptCount val="17"/>
                <c:pt idx="0">
                  <c:v>0.1358156797329006</c:v>
                </c:pt>
                <c:pt idx="1">
                  <c:v>0.21750328911584826</c:v>
                </c:pt>
                <c:pt idx="2">
                  <c:v>0.34211964476451118</c:v>
                </c:pt>
                <c:pt idx="3">
                  <c:v>0.52910486016338154</c:v>
                </c:pt>
                <c:pt idx="4">
                  <c:v>0.802756683134497</c:v>
                </c:pt>
                <c:pt idx="5">
                  <c:v>1.1483776269084569</c:v>
                </c:pt>
                <c:pt idx="6">
                  <c:v>1.6192334470055176</c:v>
                </c:pt>
                <c:pt idx="7">
                  <c:v>2.2525121732724562</c:v>
                </c:pt>
                <c:pt idx="8">
                  <c:v>3.0941578838395496</c:v>
                </c:pt>
                <c:pt idx="9">
                  <c:v>4.2004882106101</c:v>
                </c:pt>
                <c:pt idx="10">
                  <c:v>5.640098778418829</c:v>
                </c:pt>
                <c:pt idx="11">
                  <c:v>7.4961428539161545</c:v>
                </c:pt>
                <c:pt idx="12">
                  <c:v>9.8691141700684106</c:v>
                </c:pt>
                <c:pt idx="13">
                  <c:v>12.880317680384588</c:v>
                </c:pt>
                <c:pt idx="14">
                  <c:v>16.676294841620564</c:v>
                </c:pt>
                <c:pt idx="15">
                  <c:v>21.434589559138622</c:v>
                </c:pt>
                <c:pt idx="16">
                  <c:v>27.371418690269035</c:v>
                </c:pt>
              </c:numCache>
            </c:numRef>
          </c:xVal>
          <c:yVal>
            <c:numRef>
              <c:f>'-'!$D$78:$T$78</c:f>
              <c:numCache>
                <c:formatCode>General</c:formatCode>
                <c:ptCount val="17"/>
                <c:pt idx="0">
                  <c:v>-20.005002320085211</c:v>
                </c:pt>
                <c:pt idx="1">
                  <c:v>-15.006008259174585</c:v>
                </c:pt>
                <c:pt idx="2">
                  <c:v>-10.006300421180811</c:v>
                </c:pt>
                <c:pt idx="3">
                  <c:v>-5.0048719556430887</c:v>
                </c:pt>
                <c:pt idx="4">
                  <c:v>0</c:v>
                </c:pt>
                <c:pt idx="5">
                  <c:v>5.0105741702279687</c:v>
                </c:pt>
                <c:pt idx="6">
                  <c:v>10.029819546647824</c:v>
                </c:pt>
                <c:pt idx="7">
                  <c:v>15.062222861024061</c:v>
                </c:pt>
                <c:pt idx="8">
                  <c:v>20.113963042850326</c:v>
                </c:pt>
                <c:pt idx="9">
                  <c:v>25.193388813656799</c:v>
                </c:pt>
                <c:pt idx="10">
                  <c:v>30.311601496867098</c:v>
                </c:pt>
                <c:pt idx="11">
                  <c:v>35.483167227514798</c:v>
                </c:pt>
                <c:pt idx="12">
                  <c:v>40.726992172527808</c:v>
                </c:pt>
                <c:pt idx="13">
                  <c:v>46.067408504800191</c:v>
                </c:pt>
                <c:pt idx="14">
                  <c:v>51.535540020070016</c:v>
                </c:pt>
                <c:pt idx="15">
                  <c:v>57.171048031584036</c:v>
                </c:pt>
                <c:pt idx="16">
                  <c:v>63.024406263202003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8-DF87-411B-A3C0-91A6451201A1}"/>
            </c:ext>
          </c:extLst>
        </c:ser>
        <c:ser>
          <c:idx val="46"/>
          <c:order val="25"/>
          <c:spPr>
            <a:ln w="3175">
              <a:solidFill>
                <a:srgbClr val="000000"/>
              </a:solidFill>
              <a:prstDash val="solid"/>
            </a:ln>
          </c:spPr>
          <c:marker>
            <c:symbol val="none"/>
          </c:marker>
          <c:xVal>
            <c:numRef>
              <c:f>'-'!$D$75:$T$75</c:f>
              <c:numCache>
                <c:formatCode>General</c:formatCode>
                <c:ptCount val="17"/>
                <c:pt idx="2">
                  <c:v>0.51332059303791133</c:v>
                </c:pt>
                <c:pt idx="3">
                  <c:v>0.79399488792599981</c:v>
                </c:pt>
                <c:pt idx="4">
                  <c:v>1.2049123080574862</c:v>
                </c:pt>
                <c:pt idx="5">
                  <c:v>1.7241575557293394</c:v>
                </c:pt>
                <c:pt idx="6">
                  <c:v>2.4320147475114751</c:v>
                </c:pt>
                <c:pt idx="7">
                  <c:v>3.3848953234906629</c:v>
                </c:pt>
                <c:pt idx="8">
                  <c:v>4.6528058678341644</c:v>
                </c:pt>
                <c:pt idx="9">
                  <c:v>6.3220725531589315</c:v>
                </c:pt>
                <c:pt idx="10">
                  <c:v>8.4986673926196445</c:v>
                </c:pt>
                <c:pt idx="11">
                  <c:v>11.312358814535846</c:v>
                </c:pt>
                <c:pt idx="12">
                  <c:v>14.922015091963811</c:v>
                </c:pt>
                <c:pt idx="13">
                  <c:v>19.522547083389735</c:v>
                </c:pt>
                <c:pt idx="14">
                  <c:v>25.354215953135277</c:v>
                </c:pt>
                <c:pt idx="15">
                  <c:v>32.715401866243447</c:v>
                </c:pt>
                <c:pt idx="16">
                  <c:v>41.980517887487068</c:v>
                </c:pt>
              </c:numCache>
            </c:numRef>
          </c:xVal>
          <c:yVal>
            <c:numRef>
              <c:f>'-'!$D$76:$T$76</c:f>
              <c:numCache>
                <c:formatCode>General</c:formatCode>
                <c:ptCount val="17"/>
                <c:pt idx="2">
                  <c:v>-10.009453230723272</c:v>
                </c:pt>
                <c:pt idx="3">
                  <c:v>-5.0073110420373377</c:v>
                </c:pt>
                <c:pt idx="4">
                  <c:v>0</c:v>
                </c:pt>
                <c:pt idx="5">
                  <c:v>5.0158759062062197</c:v>
                </c:pt>
                <c:pt idx="6">
                  <c:v>10.044787598320507</c:v>
                </c:pt>
                <c:pt idx="7">
                  <c:v>15.093503544084545</c:v>
                </c:pt>
                <c:pt idx="8">
                  <c:v>20.171370671567754</c:v>
                </c:pt>
                <c:pt idx="9">
                  <c:v>25.291065716556325</c:v>
                </c:pt>
                <c:pt idx="10">
                  <c:v>30.46953033713681</c:v>
                </c:pt>
                <c:pt idx="11">
                  <c:v>35.729143127550778</c:v>
                </c:pt>
                <c:pt idx="12">
                  <c:v>41.099205864200101</c:v>
                </c:pt>
                <c:pt idx="13">
                  <c:v>46.617858604831412</c:v>
                </c:pt>
                <c:pt idx="14">
                  <c:v>52.334596122417409</c:v>
                </c:pt>
                <c:pt idx="15">
                  <c:v>58.313649119719507</c:v>
                </c:pt>
                <c:pt idx="16">
                  <c:v>64.638639402221344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9-DF87-411B-A3C0-91A6451201A1}"/>
            </c:ext>
          </c:extLst>
        </c:ser>
        <c:ser>
          <c:idx val="45"/>
          <c:order val="26"/>
          <c:spPr>
            <a:ln w="3175">
              <a:solidFill>
                <a:srgbClr val="000000"/>
              </a:solidFill>
              <a:prstDash val="solid"/>
            </a:ln>
          </c:spPr>
          <c:marker>
            <c:symbol val="none"/>
          </c:marker>
          <c:xVal>
            <c:numRef>
              <c:f>'-'!$D$73:$T$73</c:f>
              <c:numCache>
                <c:formatCode>General</c:formatCode>
                <c:ptCount val="17"/>
                <c:pt idx="0">
                  <c:v>0.27169066491795946</c:v>
                </c:pt>
                <c:pt idx="1">
                  <c:v>0.43515869724156031</c:v>
                </c:pt>
                <c:pt idx="2">
                  <c:v>0.6846157287606579</c:v>
                </c:pt>
                <c:pt idx="3">
                  <c:v>1.0591103639156361</c:v>
                </c:pt>
                <c:pt idx="4">
                  <c:v>1.6075874607367364</c:v>
                </c:pt>
                <c:pt idx="5">
                  <c:v>2.301002150939393</c:v>
                </c:pt>
                <c:pt idx="6">
                  <c:v>3.2469167754679309</c:v>
                </c:pt>
                <c:pt idx="7">
                  <c:v>4.5213928654610109</c:v>
                </c:pt>
                <c:pt idx="8">
                  <c:v>6.2192436393250885</c:v>
                </c:pt>
                <c:pt idx="9">
                  <c:v>8.4580771174857539</c:v>
                </c:pt>
                <c:pt idx="10">
                  <c:v>11.38338530604838</c:v>
                </c:pt>
                <c:pt idx="11">
                  <c:v>15.175112469151824</c:v>
                </c:pt>
                <c:pt idx="12">
                  <c:v>20.056355080942424</c:v>
                </c:pt>
                <c:pt idx="13">
                  <c:v>26.305185580831161</c:v>
                </c:pt>
                <c:pt idx="14">
                  <c:v>34.271129477061152</c:v>
                </c:pt>
                <c:pt idx="15">
                  <c:v>44.398700031379001</c:v>
                </c:pt>
                <c:pt idx="16">
                  <c:v>57.261864154498319</c:v>
                </c:pt>
              </c:numCache>
            </c:numRef>
          </c:xVal>
          <c:yVal>
            <c:numRef>
              <c:f>'-'!$D$74:$T$74</c:f>
              <c:numCache>
                <c:formatCode>General</c:formatCode>
                <c:ptCount val="17"/>
                <c:pt idx="0">
                  <c:v>-20.010006824490048</c:v>
                </c:pt>
                <c:pt idx="1">
                  <c:v>-15.012020720448554</c:v>
                </c:pt>
                <c:pt idx="2">
                  <c:v>-10.012607774806879</c:v>
                </c:pt>
                <c:pt idx="3">
                  <c:v>-5.0097522043410052</c:v>
                </c:pt>
                <c:pt idx="4">
                  <c:v>0</c:v>
                </c:pt>
                <c:pt idx="5">
                  <c:v>5.0211874455482537</c:v>
                </c:pt>
                <c:pt idx="6">
                  <c:v>10.059794704973962</c:v>
                </c:pt>
                <c:pt idx="7">
                  <c:v>15.124897882125111</c:v>
                </c:pt>
                <c:pt idx="8">
                  <c:v>20.229065211270193</c:v>
                </c:pt>
                <c:pt idx="9">
                  <c:v>25.389406520755532</c:v>
                </c:pt>
                <c:pt idx="10">
                  <c:v>30.62890386146287</c:v>
                </c:pt>
                <c:pt idx="11">
                  <c:v>35.978118635387908</c:v>
                </c:pt>
                <c:pt idx="12">
                  <c:v>41.477418631705063</c:v>
                </c:pt>
                <c:pt idx="13">
                  <c:v>47.179944587243135</c:v>
                </c:pt>
                <c:pt idx="14">
                  <c:v>53.155658456798697</c:v>
                </c:pt>
                <c:pt idx="15">
                  <c:v>59.497016844762449</c:v>
                </c:pt>
                <c:pt idx="16">
                  <c:v>66.327152514497044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A-DF87-411B-A3C0-91A6451201A1}"/>
            </c:ext>
          </c:extLst>
        </c:ser>
        <c:ser>
          <c:idx val="44"/>
          <c:order val="27"/>
          <c:spPr>
            <a:ln w="12700">
              <a:solidFill>
                <a:srgbClr val="000000"/>
              </a:solidFill>
              <a:prstDash val="solid"/>
            </a:ln>
          </c:spPr>
          <c:marker>
            <c:symbol val="none"/>
          </c:marker>
          <c:xVal>
            <c:numRef>
              <c:f>'-'!$D$71:$T$71</c:f>
              <c:numCache>
                <c:formatCode>General</c:formatCode>
                <c:ptCount val="17"/>
                <c:pt idx="2">
                  <c:v>0.85600512968100539</c:v>
                </c:pt>
                <c:pt idx="3">
                  <c:v>1.3244515760737172</c:v>
                </c:pt>
                <c:pt idx="4">
                  <c:v>2.0107831485566803</c:v>
                </c:pt>
                <c:pt idx="5">
                  <c:v>2.8789143682602814</c:v>
                </c:pt>
                <c:pt idx="6">
                  <c:v>4.0639478418929604</c:v>
                </c:pt>
                <c:pt idx="7">
                  <c:v>5.6620272637912876</c:v>
                </c:pt>
                <c:pt idx="8">
                  <c:v>7.7935297421315459</c:v>
                </c:pt>
                <c:pt idx="9">
                  <c:v>10.608649424398145</c:v>
                </c:pt>
                <c:pt idx="10">
                  <c:v>14.294612975900844</c:v>
                </c:pt>
                <c:pt idx="11">
                  <c:v>19.085260311500072</c:v>
                </c:pt>
                <c:pt idx="12">
                  <c:v>25.274118997826371</c:v>
                </c:pt>
                <c:pt idx="13">
                  <c:v>33.2327328621272</c:v>
                </c:pt>
                <c:pt idx="14">
                  <c:v>43.437046140924913</c:v>
                </c:pt>
                <c:pt idx="15">
                  <c:v>56.506415619805608</c:v>
                </c:pt>
                <c:pt idx="16">
                  <c:v>73.262951034366679</c:v>
                </c:pt>
              </c:numCache>
            </c:numRef>
          </c:xVal>
          <c:yVal>
            <c:numRef>
              <c:f>'-'!$D$72:$T$72</c:f>
              <c:numCache>
                <c:formatCode>General</c:formatCode>
                <c:ptCount val="17"/>
                <c:pt idx="2">
                  <c:v>-10.015764054863432</c:v>
                </c:pt>
                <c:pt idx="3">
                  <c:v>-5.0121954452054309</c:v>
                </c:pt>
                <c:pt idx="4">
                  <c:v>0</c:v>
                </c:pt>
                <c:pt idx="5">
                  <c:v>5.0265088154701196</c:v>
                </c:pt>
                <c:pt idx="6">
                  <c:v>10.074841019662582</c:v>
                </c:pt>
                <c:pt idx="7">
                  <c:v>15.15640649570275</c:v>
                </c:pt>
                <c:pt idx="8">
                  <c:v>20.287048818225042</c:v>
                </c:pt>
                <c:pt idx="9">
                  <c:v>25.488418018053974</c:v>
                </c:pt>
                <c:pt idx="10">
                  <c:v>30.789741984213137</c:v>
                </c:pt>
                <c:pt idx="11">
                  <c:v>36.230148956711538</c:v>
                </c:pt>
                <c:pt idx="12">
                  <c:v>41.861776686572554</c:v>
                </c:pt>
                <c:pt idx="13">
                  <c:v>47.754039347089162</c:v>
                </c:pt>
                <c:pt idx="14">
                  <c:v>53.999648803075267</c:v>
                </c:pt>
                <c:pt idx="15">
                  <c:v>60.723372591986248</c:v>
                </c:pt>
                <c:pt idx="16">
                  <c:v>68.095193401421113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B-DF87-411B-A3C0-91A6451201A1}"/>
            </c:ext>
          </c:extLst>
        </c:ser>
        <c:ser>
          <c:idx val="43"/>
          <c:order val="28"/>
          <c:spPr>
            <a:ln w="3175">
              <a:solidFill>
                <a:srgbClr val="000000"/>
              </a:solidFill>
              <a:prstDash val="solid"/>
            </a:ln>
          </c:spPr>
          <c:marker>
            <c:symbol val="none"/>
          </c:marker>
          <c:xVal>
            <c:numRef>
              <c:f>'-'!$D$69:$T$69</c:f>
              <c:numCache>
                <c:formatCode>General</c:formatCode>
                <c:ptCount val="17"/>
                <c:pt idx="0">
                  <c:v>0.40762499440825367</c:v>
                </c:pt>
                <c:pt idx="1">
                  <c:v>0.6529663840180876</c:v>
                </c:pt>
                <c:pt idx="2">
                  <c:v>1.0274888736328025</c:v>
                </c:pt>
                <c:pt idx="3">
                  <c:v>1.5900188128322221</c:v>
                </c:pt>
                <c:pt idx="4">
                  <c:v>2.4145003815079136</c:v>
                </c:pt>
                <c:pt idx="5">
                  <c:v>3.4578971743646818</c:v>
                </c:pt>
                <c:pt idx="6">
                  <c:v>4.8831163012886956</c:v>
                </c:pt>
                <c:pt idx="7">
                  <c:v>6.8068211469300222</c:v>
                </c:pt>
                <c:pt idx="8">
                  <c:v>9.3757233081908922</c:v>
                </c:pt>
                <c:pt idx="9">
                  <c:v>12.773939013799161</c:v>
                </c:pt>
                <c:pt idx="10">
                  <c:v>17.232717514957368</c:v>
                </c:pt>
                <c:pt idx="11">
                  <c:v>23.043679982608502</c:v>
                </c:pt>
                <c:pt idx="12">
                  <c:v>30.577356732686056</c:v>
                </c:pt>
                <c:pt idx="13">
                  <c:v>40.309882961444735</c:v>
                </c:pt>
                <c:pt idx="14">
                  <c:v>52.862543684490774</c:v>
                </c:pt>
                <c:pt idx="15">
                  <c:v>69.06210308333759</c:v>
                </c:pt>
                <c:pt idx="16">
                  <c:v>90.035853792752661</c:v>
                </c:pt>
              </c:numCache>
            </c:numRef>
          </c:xVal>
          <c:yVal>
            <c:numRef>
              <c:f>'-'!$D$70:$T$70</c:f>
              <c:numCache>
                <c:formatCode>General</c:formatCode>
                <c:ptCount val="17"/>
                <c:pt idx="0">
                  <c:v>-20.015013514645531</c:v>
                </c:pt>
                <c:pt idx="1">
                  <c:v>-15.018037388231788</c:v>
                </c:pt>
                <c:pt idx="2">
                  <c:v>-10.018922072326307</c:v>
                </c:pt>
                <c:pt idx="3">
                  <c:v>-5.0146407672864743</c:v>
                </c:pt>
                <c:pt idx="4">
                  <c:v>0</c:v>
                </c:pt>
                <c:pt idx="5">
                  <c:v>5.0318400432887049</c:v>
                </c:pt>
                <c:pt idx="6">
                  <c:v>10.089926696241555</c:v>
                </c:pt>
                <c:pt idx="7">
                  <c:v>15.188030009900345</c:v>
                </c:pt>
                <c:pt idx="8">
                  <c:v>20.345323670361086</c:v>
                </c:pt>
                <c:pt idx="9">
                  <c:v>25.588107093209565</c:v>
                </c:pt>
                <c:pt idx="10">
                  <c:v>30.952064987460023</c:v>
                </c:pt>
                <c:pt idx="11">
                  <c:v>36.485290660265164</c:v>
                </c:pt>
                <c:pt idx="12">
                  <c:v>42.252431030605784</c:v>
                </c:pt>
                <c:pt idx="13">
                  <c:v>48.340531885022699</c:v>
                </c:pt>
                <c:pt idx="14">
                  <c:v>54.867541151146177</c:v>
                </c:pt>
                <c:pt idx="15">
                  <c:v>61.995102124183596</c:v>
                </c:pt>
                <c:pt idx="16">
                  <c:v>69.948516122050691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C-DF87-411B-A3C0-91A6451201A1}"/>
            </c:ext>
          </c:extLst>
        </c:ser>
        <c:ser>
          <c:idx val="42"/>
          <c:order val="29"/>
          <c:spPr>
            <a:ln w="3175">
              <a:solidFill>
                <a:srgbClr val="000000"/>
              </a:solidFill>
              <a:prstDash val="solid"/>
            </a:ln>
          </c:spPr>
          <c:marker>
            <c:symbol val="none"/>
          </c:marker>
          <c:xVal>
            <c:numRef>
              <c:f>'-'!$D$67:$T$67</c:f>
              <c:numCache>
                <c:formatCode>General</c:formatCode>
                <c:ptCount val="17"/>
                <c:pt idx="2">
                  <c:v>1.199067038535611</c:v>
                </c:pt>
                <c:pt idx="3">
                  <c:v>1.8558123631147272</c:v>
                </c:pt>
                <c:pt idx="4">
                  <c:v>2.8187401721956244</c:v>
                </c:pt>
                <c:pt idx="5">
                  <c:v>4.037953546927052</c:v>
                </c:pt>
                <c:pt idx="6">
                  <c:v>5.7044305519260865</c:v>
                </c:pt>
                <c:pt idx="7">
                  <c:v>7.9557973086628939</c:v>
                </c:pt>
                <c:pt idx="8">
                  <c:v>10.965884064962339</c:v>
                </c:pt>
                <c:pt idx="9">
                  <c:v>14.954097479349752</c:v>
                </c:pt>
                <c:pt idx="10">
                  <c:v>20.198072845908442</c:v>
                </c:pt>
                <c:pt idx="11">
                  <c:v>27.051270927523234</c:v>
                </c:pt>
                <c:pt idx="12">
                  <c:v>35.968185889994302</c:v>
                </c:pt>
                <c:pt idx="13">
                  <c:v>47.541534864586765</c:v>
                </c:pt>
                <c:pt idx="14">
                  <c:v>62.558807581174477</c:v>
                </c:pt>
                <c:pt idx="15">
                  <c:v>82.091092702128677</c:v>
                </c:pt>
                <c:pt idx="16">
                  <c:v>107.63779557316913</c:v>
                </c:pt>
              </c:numCache>
            </c:numRef>
          </c:xVal>
          <c:yVal>
            <c:numRef>
              <c:f>'-'!$D$68:$T$68</c:f>
              <c:numCache>
                <c:formatCode>General</c:formatCode>
                <c:ptCount val="17"/>
                <c:pt idx="2">
                  <c:v>-10.022081828630457</c:v>
                </c:pt>
                <c:pt idx="3">
                  <c:v>-5.0170881732445221</c:v>
                </c:pt>
                <c:pt idx="4">
                  <c:v>0</c:v>
                </c:pt>
                <c:pt idx="5">
                  <c:v>5.0371811564221991</c:v>
                </c:pt>
                <c:pt idx="6">
                  <c:v>10.105051889372103</c:v>
                </c:pt>
                <c:pt idx="7">
                  <c:v>15.219769054368015</c:v>
                </c:pt>
                <c:pt idx="8">
                  <c:v>20.403891967541185</c:v>
                </c:pt>
                <c:pt idx="9">
                  <c:v>25.688480725534422</c:v>
                </c:pt>
                <c:pt idx="10">
                  <c:v>31.115893529506625</c:v>
                </c:pt>
                <c:pt idx="11">
                  <c:v>36.743601720179967</c:v>
                </c:pt>
                <c:pt idx="12">
                  <c:v>42.649537653678792</c:v>
                </c:pt>
                <c:pt idx="13">
                  <c:v>48.939828186302883</c:v>
                </c:pt>
                <c:pt idx="14">
                  <c:v>55.760365450543794</c:v>
                </c:pt>
                <c:pt idx="15">
                  <c:v>63.314771072700751</c:v>
                </c:pt>
                <c:pt idx="16">
                  <c:v>71.893443550461072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D-DF87-411B-A3C0-91A6451201A1}"/>
            </c:ext>
          </c:extLst>
        </c:ser>
        <c:ser>
          <c:idx val="41"/>
          <c:order val="30"/>
          <c:spPr>
            <a:ln w="3175">
              <a:solidFill>
                <a:srgbClr val="000000"/>
              </a:solidFill>
              <a:prstDash val="solid"/>
            </a:ln>
          </c:spPr>
          <c:marker>
            <c:symbol val="none"/>
          </c:marker>
          <c:xVal>
            <c:numRef>
              <c:f>'-'!$D$65:$T$65</c:f>
              <c:numCache>
                <c:formatCode>General</c:formatCode>
                <c:ptCount val="17"/>
                <c:pt idx="0">
                  <c:v>0.54361870709080673</c:v>
                </c:pt>
                <c:pt idx="1">
                  <c:v>0.87092650930983906</c:v>
                </c:pt>
                <c:pt idx="2">
                  <c:v>1.3707397023948227</c:v>
                </c:pt>
                <c:pt idx="3">
                  <c:v>2.1218325163374527</c:v>
                </c:pt>
                <c:pt idx="4">
                  <c:v>3.2235035358480615</c:v>
                </c:pt>
                <c:pt idx="5">
                  <c:v>4.6190864746746723</c:v>
                </c:pt>
                <c:pt idx="6">
                  <c:v>6.5278990361319016</c:v>
                </c:pt>
                <c:pt idx="7">
                  <c:v>9.1089787096255499</c:v>
                </c:pt>
                <c:pt idx="8">
                  <c:v>12.56407234294279</c:v>
                </c:pt>
                <c:pt idx="9">
                  <c:v>17.149278503847722</c:v>
                </c:pt>
                <c:pt idx="10">
                  <c:v>23.19105985999445</c:v>
                </c:pt>
                <c:pt idx="11">
                  <c:v>31.108955076661282</c:v>
                </c:pt>
                <c:pt idx="12">
                  <c:v>41.448794607937302</c:v>
                </c:pt>
                <c:pt idx="13">
                  <c:v>54.932803818225828</c:v>
                </c:pt>
                <c:pt idx="14">
                  <c:v>72.537675320012951</c:v>
                </c:pt>
                <c:pt idx="15">
                  <c:v>95.620661154705758</c:v>
                </c:pt>
                <c:pt idx="16">
                  <c:v>126.13179963008344</c:v>
                </c:pt>
              </c:numCache>
            </c:numRef>
          </c:xVal>
          <c:yVal>
            <c:numRef>
              <c:f>'-'!$D$66:$T$66</c:f>
              <c:numCache>
                <c:formatCode>General</c:formatCode>
                <c:ptCount val="17"/>
                <c:pt idx="0">
                  <c:v>-20.020022391983936</c:v>
                </c:pt>
                <c:pt idx="1">
                  <c:v>-15.02405826694034</c:v>
                </c:pt>
                <c:pt idx="2">
                  <c:v>-10.025243325212418</c:v>
                </c:pt>
                <c:pt idx="3">
                  <c:v>-5.019537665744493</c:v>
                </c:pt>
                <c:pt idx="4">
                  <c:v>0</c:v>
                </c:pt>
                <c:pt idx="5">
                  <c:v>5.042532182390568</c:v>
                </c:pt>
                <c:pt idx="6">
                  <c:v>10.120216754526785</c:v>
                </c:pt>
                <c:pt idx="7">
                  <c:v>15.251624263364905</c:v>
                </c:pt>
                <c:pt idx="8">
                  <c:v>20.46275593183908</c:v>
                </c:pt>
                <c:pt idx="9">
                  <c:v>25.789545990523681</c:v>
                </c:pt>
                <c:pt idx="10">
                  <c:v>31.281248653651179</c:v>
                </c:pt>
                <c:pt idx="11">
                  <c:v>37.005141559891733</c:v>
                </c:pt>
                <c:pt idx="12">
                  <c:v>43.053257741416374</c:v>
                </c:pt>
                <c:pt idx="13">
                  <c:v>49.552352158005448</c:v>
                </c:pt>
                <c:pt idx="14">
                  <c:v>56.679211687882379</c:v>
                </c:pt>
                <c:pt idx="15">
                  <c:v>64.685142213986538</c:v>
                </c:pt>
                <c:pt idx="16">
                  <c:v>73.936939444274572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E-DF87-411B-A3C0-91A6451201A1}"/>
            </c:ext>
          </c:extLst>
        </c:ser>
        <c:ser>
          <c:idx val="40"/>
          <c:order val="31"/>
          <c:spPr>
            <a:ln w="3175">
              <a:solidFill>
                <a:srgbClr val="000000"/>
              </a:solidFill>
              <a:prstDash val="solid"/>
            </a:ln>
          </c:spPr>
          <c:marker>
            <c:symbol val="none"/>
          </c:marker>
          <c:xVal>
            <c:numRef>
              <c:f>'-'!$D$63:$T$63</c:f>
              <c:numCache>
                <c:formatCode>General</c:formatCode>
                <c:ptCount val="17"/>
                <c:pt idx="2">
                  <c:v>1.5425069433017784</c:v>
                </c:pt>
                <c:pt idx="3">
                  <c:v>2.3880795624103173</c:v>
                </c:pt>
                <c:pt idx="4">
                  <c:v>3.6287914903250349</c:v>
                </c:pt>
                <c:pt idx="5">
                  <c:v>5.2012989574389827</c:v>
                </c:pt>
                <c:pt idx="6">
                  <c:v>7.353530240578003</c:v>
                </c:pt>
                <c:pt idx="7">
                  <c:v>10.266388478833093</c:v>
                </c:pt>
                <c:pt idx="8">
                  <c:v>14.170349083296838</c:v>
                </c:pt>
                <c:pt idx="9">
                  <c:v>19.359637895340587</c:v>
                </c:pt>
                <c:pt idx="10">
                  <c:v>26.212066580100899</c:v>
                </c:pt>
                <c:pt idx="11">
                  <c:v>35.217677552873781</c:v>
                </c:pt>
                <c:pt idx="12">
                  <c:v>47.021444519767698</c:v>
                </c:pt>
                <c:pt idx="13">
                  <c:v>62.489033396346251</c:v>
                </c:pt>
                <c:pt idx="14">
                  <c:v>82.811684616771814</c:v>
                </c:pt>
                <c:pt idx="15">
                  <c:v>109.68022213317471</c:v>
                </c:pt>
                <c:pt idx="16">
                  <c:v>145.58744330524235</c:v>
                </c:pt>
              </c:numCache>
            </c:numRef>
          </c:xVal>
          <c:yVal>
            <c:numRef>
              <c:f>'-'!$D$64:$T$64</c:f>
              <c:numCache>
                <c:formatCode>General</c:formatCode>
                <c:ptCount val="17"/>
                <c:pt idx="2">
                  <c:v>-10.028406563510309</c:v>
                </c:pt>
                <c:pt idx="3">
                  <c:v>-5.0219892474558572</c:v>
                </c:pt>
                <c:pt idx="4">
                  <c:v>0</c:v>
                </c:pt>
                <c:pt idx="5">
                  <c:v>5.0478931488160219</c:v>
                </c:pt>
                <c:pt idx="6">
                  <c:v>10.135421447994803</c:v>
                </c:pt>
                <c:pt idx="7">
                  <c:v>15.283596275801429</c:v>
                </c:pt>
                <c:pt idx="8">
                  <c:v>20.521917807820437</c:v>
                </c:pt>
                <c:pt idx="9">
                  <c:v>25.891310061518155</c:v>
                </c:pt>
                <c:pt idx="10">
                  <c:v>31.448151797197653</c:v>
                </c:pt>
                <c:pt idx="11">
                  <c:v>37.269971097714937</c:v>
                </c:pt>
                <c:pt idx="12">
                  <c:v>43.463757893337338</c:v>
                </c:pt>
                <c:pt idx="13">
                  <c:v>50.178546628984336</c:v>
                </c:pt>
                <c:pt idx="14">
                  <c:v>57.625234326098791</c:v>
                </c:pt>
                <c:pt idx="15">
                  <c:v>66.109194776459177</c:v>
                </c:pt>
                <c:pt idx="16">
                  <c:v>76.086691755311932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F-DF87-411B-A3C0-91A6451201A1}"/>
            </c:ext>
          </c:extLst>
        </c:ser>
        <c:ser>
          <c:idx val="39"/>
          <c:order val="32"/>
          <c:spPr>
            <a:ln w="25400">
              <a:solidFill>
                <a:srgbClr val="000000"/>
              </a:solidFill>
              <a:prstDash val="solid"/>
            </a:ln>
          </c:spPr>
          <c:marker>
            <c:symbol val="none"/>
          </c:marker>
          <c:xVal>
            <c:numRef>
              <c:f>'-'!$D$61:$T$61</c:f>
              <c:numCache>
                <c:formatCode>General</c:formatCode>
                <c:ptCount val="17"/>
                <c:pt idx="0">
                  <c:v>0.67967184188662499</c:v>
                </c:pt>
                <c:pt idx="1">
                  <c:v>1.0890392332050733</c:v>
                </c:pt>
                <c:pt idx="2">
                  <c:v>1.7143688394338854</c:v>
                </c:pt>
                <c:pt idx="3">
                  <c:v>2.6545537917379836</c:v>
                </c:pt>
                <c:pt idx="4">
                  <c:v>4.0346050561264439</c:v>
                </c:pt>
                <c:pt idx="5">
                  <c:v>5.7845940062071923</c:v>
                </c:pt>
                <c:pt idx="6">
                  <c:v>8.181332696572877</c:v>
                </c:pt>
                <c:pt idx="7">
                  <c:v>11.428049915226383</c:v>
                </c:pt>
                <c:pt idx="8">
                  <c:v>15.784775845602827</c:v>
                </c:pt>
                <c:pt idx="9">
                  <c:v>21.585333623990088</c:v>
                </c:pt>
                <c:pt idx="10">
                  <c:v>29.261488328455677</c:v>
                </c:pt>
                <c:pt idx="11">
                  <c:v>39.378407405358814</c:v>
                </c:pt>
                <c:pt idx="12">
                  <c:v>52.688473865619855</c:v>
                </c:pt>
                <c:pt idx="13">
                  <c:v>70.215808383711476</c:v>
                </c:pt>
                <c:pt idx="14">
                  <c:v>93.394125967033673</c:v>
                </c:pt>
                <c:pt idx="15">
                  <c:v>124.30153980679998</c:v>
                </c:pt>
                <c:pt idx="16">
                  <c:v>166.08173275780035</c:v>
                </c:pt>
              </c:numCache>
            </c:numRef>
          </c:xVal>
          <c:yVal>
            <c:numRef>
              <c:f>'-'!$D$62:$T$62</c:f>
              <c:numCache>
                <c:formatCode>General</c:formatCode>
                <c:ptCount val="17"/>
                <c:pt idx="0">
                  <c:v>-20.025033457938793</c:v>
                </c:pt>
                <c:pt idx="1">
                  <c:v>-15.030083360996457</c:v>
                </c:pt>
                <c:pt idx="2">
                  <c:v>-10.03157154496383</c:v>
                </c:pt>
                <c:pt idx="3">
                  <c:v>-5.0244429210526365</c:v>
                </c:pt>
                <c:pt idx="4">
                  <c:v>0</c:v>
                </c:pt>
                <c:pt idx="5">
                  <c:v>5.0532640834234916</c:v>
                </c:pt>
                <c:pt idx="6">
                  <c:v>10.150666126887382</c:v>
                </c:pt>
                <c:pt idx="7">
                  <c:v>15.315685735281996</c:v>
                </c:pt>
                <c:pt idx="8">
                  <c:v>20.581379862828143</c:v>
                </c:pt>
                <c:pt idx="9">
                  <c:v>25.993780211401521</c:v>
                </c:pt>
                <c:pt idx="10">
                  <c:v>31.616624800720622</c:v>
                </c:pt>
                <c:pt idx="11">
                  <c:v>37.538152794147386</c:v>
                </c:pt>
                <c:pt idx="12">
                  <c:v>43.881210352081304</c:v>
                </c:pt>
                <c:pt idx="13">
                  <c:v>50.818874417541238</c:v>
                </c:pt>
                <c:pt idx="14">
                  <c:v>58.599657143499144</c:v>
                </c:pt>
                <c:pt idx="15">
                  <c:v>67.59014606161945</c:v>
                </c:pt>
                <c:pt idx="16">
                  <c:v>78.351209282941113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20-DF87-411B-A3C0-91A6451201A1}"/>
            </c:ext>
          </c:extLst>
        </c:ser>
        <c:ser>
          <c:idx val="30"/>
          <c:order val="33"/>
          <c:spPr>
            <a:ln w="3175">
              <a:solidFill>
                <a:srgbClr val="000000"/>
              </a:solidFill>
              <a:prstDash val="solid"/>
            </a:ln>
          </c:spPr>
          <c:marker>
            <c:symbol val="none"/>
          </c:marker>
          <c:xVal>
            <c:numRef>
              <c:f>'-'!$C$26:$G$26</c:f>
              <c:numCache>
                <c:formatCode>General</c:formatCode>
                <c:ptCount val="5"/>
                <c:pt idx="0">
                  <c:v>0</c:v>
                </c:pt>
                <c:pt idx="1">
                  <c:v>25</c:v>
                </c:pt>
              </c:numCache>
            </c:numRef>
          </c:xVal>
          <c:yVal>
            <c:numRef>
              <c:f>'-'!$C$43:$F$43</c:f>
              <c:numCache>
                <c:formatCode>General</c:formatCode>
                <c:ptCount val="4"/>
                <c:pt idx="0">
                  <c:v>39.603960396039604</c:v>
                </c:pt>
                <c:pt idx="1">
                  <c:v>-22.301980198019802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1-DF87-411B-A3C0-91A6451201A1}"/>
            </c:ext>
          </c:extLst>
        </c:ser>
        <c:ser>
          <c:idx val="29"/>
          <c:order val="34"/>
          <c:spPr>
            <a:ln w="3175">
              <a:solidFill>
                <a:srgbClr val="000000"/>
              </a:solidFill>
              <a:prstDash val="solid"/>
            </a:ln>
          </c:spPr>
          <c:marker>
            <c:symbol val="none"/>
          </c:marker>
          <c:xVal>
            <c:numRef>
              <c:f>'-'!$C$26:$G$26</c:f>
              <c:numCache>
                <c:formatCode>General</c:formatCode>
                <c:ptCount val="5"/>
                <c:pt idx="0">
                  <c:v>0</c:v>
                </c:pt>
                <c:pt idx="1">
                  <c:v>25</c:v>
                </c:pt>
              </c:numCache>
            </c:numRef>
          </c:xVal>
          <c:yVal>
            <c:numRef>
              <c:f>'-'!$C$42:$F$42</c:f>
              <c:numCache>
                <c:formatCode>General</c:formatCode>
                <c:ptCount val="4"/>
                <c:pt idx="0">
                  <c:v>44.554455445544555</c:v>
                </c:pt>
                <c:pt idx="1">
                  <c:v>-17.35148514851485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2-DF87-411B-A3C0-91A6451201A1}"/>
            </c:ext>
          </c:extLst>
        </c:ser>
        <c:ser>
          <c:idx val="28"/>
          <c:order val="35"/>
          <c:spPr>
            <a:ln w="3175">
              <a:solidFill>
                <a:srgbClr val="000000"/>
              </a:solidFill>
              <a:prstDash val="solid"/>
            </a:ln>
          </c:spPr>
          <c:marker>
            <c:symbol val="none"/>
          </c:marker>
          <c:xVal>
            <c:numRef>
              <c:f>'-'!$C$26:$G$26</c:f>
              <c:numCache>
                <c:formatCode>General</c:formatCode>
                <c:ptCount val="5"/>
                <c:pt idx="0">
                  <c:v>0</c:v>
                </c:pt>
                <c:pt idx="1">
                  <c:v>25</c:v>
                </c:pt>
              </c:numCache>
            </c:numRef>
          </c:xVal>
          <c:yVal>
            <c:numRef>
              <c:f>'-'!$C$41:$F$41</c:f>
              <c:numCache>
                <c:formatCode>General</c:formatCode>
                <c:ptCount val="4"/>
                <c:pt idx="0">
                  <c:v>49.504950495049506</c:v>
                </c:pt>
                <c:pt idx="1">
                  <c:v>-12.400990099009899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3-DF87-411B-A3C0-91A6451201A1}"/>
            </c:ext>
          </c:extLst>
        </c:ser>
        <c:ser>
          <c:idx val="27"/>
          <c:order val="36"/>
          <c:tx>
            <c:v>55</c:v>
          </c:tx>
          <c:spPr>
            <a:ln w="3175">
              <a:solidFill>
                <a:srgbClr val="000000"/>
              </a:solidFill>
              <a:prstDash val="solid"/>
            </a:ln>
          </c:spPr>
          <c:marker>
            <c:symbol val="none"/>
          </c:marker>
          <c:xVal>
            <c:numRef>
              <c:f>'-'!$C$26:$G$26</c:f>
              <c:numCache>
                <c:formatCode>General</c:formatCode>
                <c:ptCount val="5"/>
                <c:pt idx="0">
                  <c:v>0</c:v>
                </c:pt>
                <c:pt idx="1">
                  <c:v>25</c:v>
                </c:pt>
              </c:numCache>
            </c:numRef>
          </c:xVal>
          <c:yVal>
            <c:numRef>
              <c:f>'-'!$C$40:$F$40</c:f>
              <c:numCache>
                <c:formatCode>General</c:formatCode>
                <c:ptCount val="4"/>
                <c:pt idx="0">
                  <c:v>54.455445544554458</c:v>
                </c:pt>
                <c:pt idx="1">
                  <c:v>-7.4504950495049487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4-DF87-411B-A3C0-91A6451201A1}"/>
            </c:ext>
          </c:extLst>
        </c:ser>
        <c:ser>
          <c:idx val="26"/>
          <c:order val="37"/>
          <c:spPr>
            <a:ln w="3175">
              <a:solidFill>
                <a:srgbClr val="000000"/>
              </a:solidFill>
              <a:prstDash val="solid"/>
            </a:ln>
          </c:spPr>
          <c:marker>
            <c:symbol val="none"/>
          </c:marker>
          <c:xVal>
            <c:numRef>
              <c:f>'-'!$C$26:$G$26</c:f>
              <c:numCache>
                <c:formatCode>General</c:formatCode>
                <c:ptCount val="5"/>
                <c:pt idx="0">
                  <c:v>0</c:v>
                </c:pt>
                <c:pt idx="1">
                  <c:v>25</c:v>
                </c:pt>
              </c:numCache>
            </c:numRef>
          </c:xVal>
          <c:yVal>
            <c:numRef>
              <c:f>'-'!$C$39:$F$39</c:f>
              <c:numCache>
                <c:formatCode>General</c:formatCode>
                <c:ptCount val="4"/>
                <c:pt idx="0">
                  <c:v>59.405940594059409</c:v>
                </c:pt>
                <c:pt idx="1">
                  <c:v>-2.4999999999999987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5-DF87-411B-A3C0-91A6451201A1}"/>
            </c:ext>
          </c:extLst>
        </c:ser>
        <c:ser>
          <c:idx val="25"/>
          <c:order val="38"/>
          <c:spPr>
            <a:ln w="3175">
              <a:solidFill>
                <a:srgbClr val="000000"/>
              </a:solidFill>
              <a:prstDash val="solid"/>
            </a:ln>
          </c:spPr>
          <c:marker>
            <c:symbol val="none"/>
          </c:marker>
          <c:xVal>
            <c:numRef>
              <c:f>'-'!$C$26:$G$26</c:f>
              <c:numCache>
                <c:formatCode>General</c:formatCode>
                <c:ptCount val="5"/>
                <c:pt idx="0">
                  <c:v>0</c:v>
                </c:pt>
                <c:pt idx="1">
                  <c:v>25</c:v>
                </c:pt>
              </c:numCache>
            </c:numRef>
          </c:xVal>
          <c:yVal>
            <c:numRef>
              <c:f>'-'!$C$38:$F$38</c:f>
              <c:numCache>
                <c:formatCode>General</c:formatCode>
                <c:ptCount val="4"/>
                <c:pt idx="0">
                  <c:v>64.356435643564353</c:v>
                </c:pt>
                <c:pt idx="1">
                  <c:v>2.4504950495049518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6-DF87-411B-A3C0-91A6451201A1}"/>
            </c:ext>
          </c:extLst>
        </c:ser>
        <c:ser>
          <c:idx val="24"/>
          <c:order val="39"/>
          <c:spPr>
            <a:ln w="3175">
              <a:solidFill>
                <a:srgbClr val="000000"/>
              </a:solidFill>
              <a:prstDash val="solid"/>
            </a:ln>
          </c:spPr>
          <c:marker>
            <c:symbol val="none"/>
          </c:marker>
          <c:xVal>
            <c:numRef>
              <c:f>'-'!$C$26:$G$26</c:f>
              <c:numCache>
                <c:formatCode>General</c:formatCode>
                <c:ptCount val="5"/>
                <c:pt idx="0">
                  <c:v>0</c:v>
                </c:pt>
                <c:pt idx="1">
                  <c:v>25</c:v>
                </c:pt>
              </c:numCache>
            </c:numRef>
          </c:xVal>
          <c:yVal>
            <c:numRef>
              <c:f>'-'!$C$37:$F$37</c:f>
              <c:numCache>
                <c:formatCode>General</c:formatCode>
                <c:ptCount val="4"/>
                <c:pt idx="0">
                  <c:v>69.306930693069305</c:v>
                </c:pt>
                <c:pt idx="1">
                  <c:v>7.4009900990099027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7-DF87-411B-A3C0-91A6451201A1}"/>
            </c:ext>
          </c:extLst>
        </c:ser>
        <c:ser>
          <c:idx val="23"/>
          <c:order val="40"/>
          <c:spPr>
            <a:ln w="3175">
              <a:solidFill>
                <a:srgbClr val="000000"/>
              </a:solidFill>
              <a:prstDash val="solid"/>
            </a:ln>
          </c:spPr>
          <c:marker>
            <c:symbol val="none"/>
          </c:marker>
          <c:xVal>
            <c:numRef>
              <c:f>'-'!$C$26:$G$26</c:f>
              <c:numCache>
                <c:formatCode>General</c:formatCode>
                <c:ptCount val="5"/>
                <c:pt idx="0">
                  <c:v>0</c:v>
                </c:pt>
                <c:pt idx="1">
                  <c:v>25</c:v>
                </c:pt>
              </c:numCache>
            </c:numRef>
          </c:xVal>
          <c:yVal>
            <c:numRef>
              <c:f>'-'!$C$36:$F$36</c:f>
              <c:numCache>
                <c:formatCode>General</c:formatCode>
                <c:ptCount val="4"/>
                <c:pt idx="0">
                  <c:v>74.257425742574256</c:v>
                </c:pt>
                <c:pt idx="1">
                  <c:v>12.351485148514852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8-DF87-411B-A3C0-91A6451201A1}"/>
            </c:ext>
          </c:extLst>
        </c:ser>
        <c:ser>
          <c:idx val="22"/>
          <c:order val="41"/>
          <c:spPr>
            <a:ln w="3175">
              <a:solidFill>
                <a:srgbClr val="000000"/>
              </a:solidFill>
              <a:prstDash val="solid"/>
            </a:ln>
          </c:spPr>
          <c:marker>
            <c:symbol val="none"/>
          </c:marker>
          <c:xVal>
            <c:numRef>
              <c:f>'-'!$C$26:$G$26</c:f>
              <c:numCache>
                <c:formatCode>General</c:formatCode>
                <c:ptCount val="5"/>
                <c:pt idx="0">
                  <c:v>0</c:v>
                </c:pt>
                <c:pt idx="1">
                  <c:v>25</c:v>
                </c:pt>
              </c:numCache>
            </c:numRef>
          </c:xVal>
          <c:yVal>
            <c:numRef>
              <c:f>'-'!$C$35:$F$35</c:f>
              <c:numCache>
                <c:formatCode>General</c:formatCode>
                <c:ptCount val="4"/>
                <c:pt idx="0">
                  <c:v>79.207920792079207</c:v>
                </c:pt>
                <c:pt idx="1">
                  <c:v>17.301980198019802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9-DF87-411B-A3C0-91A6451201A1}"/>
            </c:ext>
          </c:extLst>
        </c:ser>
        <c:ser>
          <c:idx val="21"/>
          <c:order val="42"/>
          <c:spPr>
            <a:ln w="3175">
              <a:solidFill>
                <a:srgbClr val="000000"/>
              </a:solidFill>
              <a:prstDash val="solid"/>
            </a:ln>
          </c:spPr>
          <c:marker>
            <c:symbol val="none"/>
          </c:marker>
          <c:xVal>
            <c:numRef>
              <c:f>'-'!$C$26:$G$26</c:f>
              <c:numCache>
                <c:formatCode>General</c:formatCode>
                <c:ptCount val="5"/>
                <c:pt idx="0">
                  <c:v>0</c:v>
                </c:pt>
                <c:pt idx="1">
                  <c:v>25</c:v>
                </c:pt>
              </c:numCache>
            </c:numRef>
          </c:xVal>
          <c:yVal>
            <c:numRef>
              <c:f>'-'!$C$34:$F$34</c:f>
              <c:numCache>
                <c:formatCode>General</c:formatCode>
                <c:ptCount val="4"/>
                <c:pt idx="0">
                  <c:v>84.158415841584159</c:v>
                </c:pt>
                <c:pt idx="1">
                  <c:v>22.252475247524753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A-DF87-411B-A3C0-91A6451201A1}"/>
            </c:ext>
          </c:extLst>
        </c:ser>
        <c:ser>
          <c:idx val="20"/>
          <c:order val="43"/>
          <c:spPr>
            <a:ln w="3175">
              <a:solidFill>
                <a:srgbClr val="000000"/>
              </a:solidFill>
              <a:prstDash val="solid"/>
            </a:ln>
          </c:spPr>
          <c:marker>
            <c:symbol val="none"/>
          </c:marker>
          <c:xVal>
            <c:numRef>
              <c:f>'-'!$C$26:$D$26</c:f>
              <c:numCache>
                <c:formatCode>General</c:formatCode>
                <c:ptCount val="2"/>
                <c:pt idx="0">
                  <c:v>0</c:v>
                </c:pt>
                <c:pt idx="1">
                  <c:v>25</c:v>
                </c:pt>
              </c:numCache>
            </c:numRef>
          </c:xVal>
          <c:yVal>
            <c:numRef>
              <c:f>'-'!$C$33:$D$33</c:f>
              <c:numCache>
                <c:formatCode>General</c:formatCode>
                <c:ptCount val="2"/>
                <c:pt idx="0">
                  <c:v>89.10891089108911</c:v>
                </c:pt>
                <c:pt idx="1">
                  <c:v>27.202970297029704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B-DF87-411B-A3C0-91A6451201A1}"/>
            </c:ext>
          </c:extLst>
        </c:ser>
        <c:ser>
          <c:idx val="19"/>
          <c:order val="44"/>
          <c:spPr>
            <a:ln w="3175">
              <a:solidFill>
                <a:srgbClr val="000000"/>
              </a:solidFill>
              <a:prstDash val="solid"/>
            </a:ln>
          </c:spPr>
          <c:marker>
            <c:symbol val="none"/>
          </c:marker>
          <c:xVal>
            <c:numRef>
              <c:f>'-'!$C$26:$D$26</c:f>
              <c:numCache>
                <c:formatCode>General</c:formatCode>
                <c:ptCount val="2"/>
                <c:pt idx="0">
                  <c:v>0</c:v>
                </c:pt>
                <c:pt idx="1">
                  <c:v>25</c:v>
                </c:pt>
              </c:numCache>
            </c:numRef>
          </c:xVal>
          <c:yVal>
            <c:numRef>
              <c:f>'-'!$C$32:$D$32</c:f>
              <c:numCache>
                <c:formatCode>General</c:formatCode>
                <c:ptCount val="2"/>
                <c:pt idx="0">
                  <c:v>94.059405940594061</c:v>
                </c:pt>
                <c:pt idx="1">
                  <c:v>32.153465346534652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C-DF87-411B-A3C0-91A6451201A1}"/>
            </c:ext>
          </c:extLst>
        </c:ser>
        <c:ser>
          <c:idx val="18"/>
          <c:order val="45"/>
          <c:spPr>
            <a:ln w="3175">
              <a:solidFill>
                <a:srgbClr val="000000"/>
              </a:solidFill>
              <a:prstDash val="solid"/>
            </a:ln>
          </c:spPr>
          <c:marker>
            <c:symbol val="none"/>
          </c:marker>
          <c:xVal>
            <c:numRef>
              <c:f>'-'!$C$26:$D$26</c:f>
              <c:numCache>
                <c:formatCode>General</c:formatCode>
                <c:ptCount val="2"/>
                <c:pt idx="0">
                  <c:v>0</c:v>
                </c:pt>
                <c:pt idx="1">
                  <c:v>25</c:v>
                </c:pt>
              </c:numCache>
            </c:numRef>
          </c:xVal>
          <c:yVal>
            <c:numRef>
              <c:f>'-'!$C$31:$FD$31</c:f>
              <c:numCache>
                <c:formatCode>General</c:formatCode>
                <c:ptCount val="158"/>
                <c:pt idx="0">
                  <c:v>99.009900990099013</c:v>
                </c:pt>
                <c:pt idx="1">
                  <c:v>37.103960396039604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D-DF87-411B-A3C0-91A6451201A1}"/>
            </c:ext>
          </c:extLst>
        </c:ser>
        <c:ser>
          <c:idx val="17"/>
          <c:order val="46"/>
          <c:spPr>
            <a:ln w="3175">
              <a:solidFill>
                <a:srgbClr val="000000"/>
              </a:solidFill>
              <a:prstDash val="solid"/>
            </a:ln>
          </c:spPr>
          <c:marker>
            <c:symbol val="none"/>
          </c:marker>
          <c:xVal>
            <c:numRef>
              <c:f>'-'!$C$26:$D$26</c:f>
              <c:numCache>
                <c:formatCode>General</c:formatCode>
                <c:ptCount val="2"/>
                <c:pt idx="0">
                  <c:v>0</c:v>
                </c:pt>
                <c:pt idx="1">
                  <c:v>25</c:v>
                </c:pt>
              </c:numCache>
            </c:numRef>
          </c:xVal>
          <c:yVal>
            <c:numRef>
              <c:f>'-'!$C$30:$D$30</c:f>
              <c:numCache>
                <c:formatCode>General</c:formatCode>
                <c:ptCount val="2"/>
                <c:pt idx="0">
                  <c:v>103.96039603960396</c:v>
                </c:pt>
                <c:pt idx="1">
                  <c:v>42.054455445544555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E-DF87-411B-A3C0-91A6451201A1}"/>
            </c:ext>
          </c:extLst>
        </c:ser>
        <c:ser>
          <c:idx val="16"/>
          <c:order val="47"/>
          <c:spPr>
            <a:ln w="3175">
              <a:solidFill>
                <a:srgbClr val="000000"/>
              </a:solidFill>
              <a:prstDash val="solid"/>
            </a:ln>
          </c:spPr>
          <c:marker>
            <c:symbol val="none"/>
          </c:marker>
          <c:xVal>
            <c:numRef>
              <c:f>'-'!$C$26:$D$26</c:f>
              <c:numCache>
                <c:formatCode>General</c:formatCode>
                <c:ptCount val="2"/>
                <c:pt idx="0">
                  <c:v>0</c:v>
                </c:pt>
                <c:pt idx="1">
                  <c:v>25</c:v>
                </c:pt>
              </c:numCache>
            </c:numRef>
          </c:xVal>
          <c:yVal>
            <c:numRef>
              <c:f>'-'!$C$29:$D$29</c:f>
              <c:numCache>
                <c:formatCode>General</c:formatCode>
                <c:ptCount val="2"/>
                <c:pt idx="0">
                  <c:v>108.91089108910892</c:v>
                </c:pt>
                <c:pt idx="1">
                  <c:v>47.004950495049506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F-DF87-411B-A3C0-91A6451201A1}"/>
            </c:ext>
          </c:extLst>
        </c:ser>
        <c:ser>
          <c:idx val="15"/>
          <c:order val="48"/>
          <c:spPr>
            <a:ln w="3175">
              <a:solidFill>
                <a:srgbClr val="000000"/>
              </a:solidFill>
              <a:prstDash val="solid"/>
            </a:ln>
          </c:spPr>
          <c:marker>
            <c:symbol val="none"/>
          </c:marker>
          <c:xVal>
            <c:numRef>
              <c:f>'-'!$C$26:$D$26</c:f>
              <c:numCache>
                <c:formatCode>General</c:formatCode>
                <c:ptCount val="2"/>
                <c:pt idx="0">
                  <c:v>0</c:v>
                </c:pt>
                <c:pt idx="1">
                  <c:v>25</c:v>
                </c:pt>
              </c:numCache>
            </c:numRef>
          </c:xVal>
          <c:yVal>
            <c:numRef>
              <c:f>'-'!$C$28:$D$28</c:f>
              <c:numCache>
                <c:formatCode>General</c:formatCode>
                <c:ptCount val="2"/>
                <c:pt idx="0">
                  <c:v>113.86138613861387</c:v>
                </c:pt>
                <c:pt idx="1">
                  <c:v>51.955445544554458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0-DF87-411B-A3C0-91A6451201A1}"/>
            </c:ext>
          </c:extLst>
        </c:ser>
        <c:ser>
          <c:idx val="10"/>
          <c:order val="49"/>
          <c:spPr>
            <a:ln w="3175">
              <a:solidFill>
                <a:srgbClr val="000000"/>
              </a:solidFill>
              <a:prstDash val="solid"/>
            </a:ln>
          </c:spPr>
          <c:marker>
            <c:symbol val="none"/>
          </c:marker>
          <c:xVal>
            <c:numRef>
              <c:f>'-'!$C$6:$R$6</c:f>
              <c:numCache>
                <c:formatCode>General</c:formatCode>
                <c:ptCount val="16"/>
                <c:pt idx="0">
                  <c:v>0</c:v>
                </c:pt>
                <c:pt idx="1">
                  <c:v>2</c:v>
                </c:pt>
                <c:pt idx="2">
                  <c:v>4</c:v>
                </c:pt>
                <c:pt idx="3">
                  <c:v>6</c:v>
                </c:pt>
                <c:pt idx="4">
                  <c:v>8</c:v>
                </c:pt>
                <c:pt idx="5">
                  <c:v>10</c:v>
                </c:pt>
                <c:pt idx="6">
                  <c:v>12</c:v>
                </c:pt>
                <c:pt idx="7">
                  <c:v>14</c:v>
                </c:pt>
                <c:pt idx="8">
                  <c:v>16</c:v>
                </c:pt>
                <c:pt idx="9">
                  <c:v>18</c:v>
                </c:pt>
                <c:pt idx="10">
                  <c:v>20</c:v>
                </c:pt>
                <c:pt idx="11">
                  <c:v>22</c:v>
                </c:pt>
                <c:pt idx="12">
                  <c:v>24</c:v>
                </c:pt>
                <c:pt idx="13">
                  <c:v>26</c:v>
                </c:pt>
                <c:pt idx="14">
                  <c:v>28</c:v>
                </c:pt>
                <c:pt idx="15">
                  <c:v>30</c:v>
                </c:pt>
              </c:numCache>
            </c:numRef>
          </c:xVal>
          <c:yVal>
            <c:numRef>
              <c:f>'-'!$C$18:$R$18</c:f>
              <c:numCache>
                <c:formatCode>General</c:formatCode>
                <c:ptCount val="1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1-DF87-411B-A3C0-91A6451201A1}"/>
            </c:ext>
          </c:extLst>
        </c:ser>
        <c:ser>
          <c:idx val="13"/>
          <c:order val="50"/>
          <c:spPr>
            <a:ln w="3175">
              <a:solidFill>
                <a:srgbClr val="000000"/>
              </a:solidFill>
              <a:prstDash val="solid"/>
            </a:ln>
          </c:spPr>
          <c:marker>
            <c:symbol val="none"/>
          </c:marker>
          <c:xVal>
            <c:numRef>
              <c:f>'-'!$C$6:$R$6</c:f>
              <c:numCache>
                <c:formatCode>General</c:formatCode>
                <c:ptCount val="16"/>
                <c:pt idx="0">
                  <c:v>0</c:v>
                </c:pt>
                <c:pt idx="1">
                  <c:v>2</c:v>
                </c:pt>
                <c:pt idx="2">
                  <c:v>4</c:v>
                </c:pt>
                <c:pt idx="3">
                  <c:v>6</c:v>
                </c:pt>
                <c:pt idx="4">
                  <c:v>8</c:v>
                </c:pt>
                <c:pt idx="5">
                  <c:v>10</c:v>
                </c:pt>
                <c:pt idx="6">
                  <c:v>12</c:v>
                </c:pt>
                <c:pt idx="7">
                  <c:v>14</c:v>
                </c:pt>
                <c:pt idx="8">
                  <c:v>16</c:v>
                </c:pt>
                <c:pt idx="9">
                  <c:v>18</c:v>
                </c:pt>
                <c:pt idx="10">
                  <c:v>20</c:v>
                </c:pt>
                <c:pt idx="11">
                  <c:v>22</c:v>
                </c:pt>
                <c:pt idx="12">
                  <c:v>24</c:v>
                </c:pt>
                <c:pt idx="13">
                  <c:v>26</c:v>
                </c:pt>
                <c:pt idx="14">
                  <c:v>28</c:v>
                </c:pt>
                <c:pt idx="15">
                  <c:v>30</c:v>
                </c:pt>
              </c:numCache>
            </c:numRef>
          </c:xVal>
          <c:yVal>
            <c:numRef>
              <c:f>'-'!$C$21:$R$21</c:f>
              <c:numCache>
                <c:formatCode>General</c:formatCode>
                <c:ptCount val="16"/>
                <c:pt idx="0">
                  <c:v>-15</c:v>
                </c:pt>
                <c:pt idx="1">
                  <c:v>-15.055247524752476</c:v>
                </c:pt>
                <c:pt idx="2">
                  <c:v>-15.11049504950495</c:v>
                </c:pt>
                <c:pt idx="3">
                  <c:v>-15.165742574257427</c:v>
                </c:pt>
                <c:pt idx="4">
                  <c:v>-15.220990099009901</c:v>
                </c:pt>
                <c:pt idx="5">
                  <c:v>-15.276237623762377</c:v>
                </c:pt>
                <c:pt idx="6">
                  <c:v>-15.331485148514851</c:v>
                </c:pt>
                <c:pt idx="7">
                  <c:v>-15.386732673267327</c:v>
                </c:pt>
                <c:pt idx="8">
                  <c:v>-15.441980198019802</c:v>
                </c:pt>
                <c:pt idx="9">
                  <c:v>-15.497227722772278</c:v>
                </c:pt>
                <c:pt idx="10">
                  <c:v>-15.552475247524752</c:v>
                </c:pt>
                <c:pt idx="11">
                  <c:v>-15.607722772277228</c:v>
                </c:pt>
                <c:pt idx="12">
                  <c:v>-15.662970297029704</c:v>
                </c:pt>
                <c:pt idx="13">
                  <c:v>-15.718217821782179</c:v>
                </c:pt>
                <c:pt idx="14">
                  <c:v>-15.773465346534653</c:v>
                </c:pt>
                <c:pt idx="15">
                  <c:v>-15.828712871287129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32-DF87-411B-A3C0-91A6451201A1}"/>
            </c:ext>
          </c:extLst>
        </c:ser>
        <c:ser>
          <c:idx val="12"/>
          <c:order val="51"/>
          <c:spPr>
            <a:ln w="3175">
              <a:solidFill>
                <a:srgbClr val="000000"/>
              </a:solidFill>
              <a:prstDash val="solid"/>
            </a:ln>
          </c:spPr>
          <c:marker>
            <c:symbol val="none"/>
          </c:marker>
          <c:xVal>
            <c:numRef>
              <c:f>'-'!$C$6:$R$6</c:f>
              <c:numCache>
                <c:formatCode>General</c:formatCode>
                <c:ptCount val="16"/>
                <c:pt idx="0">
                  <c:v>0</c:v>
                </c:pt>
                <c:pt idx="1">
                  <c:v>2</c:v>
                </c:pt>
                <c:pt idx="2">
                  <c:v>4</c:v>
                </c:pt>
                <c:pt idx="3">
                  <c:v>6</c:v>
                </c:pt>
                <c:pt idx="4">
                  <c:v>8</c:v>
                </c:pt>
                <c:pt idx="5">
                  <c:v>10</c:v>
                </c:pt>
                <c:pt idx="6">
                  <c:v>12</c:v>
                </c:pt>
                <c:pt idx="7">
                  <c:v>14</c:v>
                </c:pt>
                <c:pt idx="8">
                  <c:v>16</c:v>
                </c:pt>
                <c:pt idx="9">
                  <c:v>18</c:v>
                </c:pt>
                <c:pt idx="10">
                  <c:v>20</c:v>
                </c:pt>
                <c:pt idx="11">
                  <c:v>22</c:v>
                </c:pt>
                <c:pt idx="12">
                  <c:v>24</c:v>
                </c:pt>
                <c:pt idx="13">
                  <c:v>26</c:v>
                </c:pt>
                <c:pt idx="14">
                  <c:v>28</c:v>
                </c:pt>
                <c:pt idx="15">
                  <c:v>30</c:v>
                </c:pt>
              </c:numCache>
            </c:numRef>
          </c:xVal>
          <c:yVal>
            <c:numRef>
              <c:f>'-'!$C$20:$R$20</c:f>
              <c:numCache>
                <c:formatCode>General</c:formatCode>
                <c:ptCount val="16"/>
                <c:pt idx="0">
                  <c:v>-10</c:v>
                </c:pt>
                <c:pt idx="1">
                  <c:v>-10.036831683168316</c:v>
                </c:pt>
                <c:pt idx="2">
                  <c:v>-10.073663366336634</c:v>
                </c:pt>
                <c:pt idx="3">
                  <c:v>-10.11049504950495</c:v>
                </c:pt>
                <c:pt idx="4">
                  <c:v>-10.147326732673266</c:v>
                </c:pt>
                <c:pt idx="5">
                  <c:v>-10.184158415841583</c:v>
                </c:pt>
                <c:pt idx="6">
                  <c:v>-10.220990099009901</c:v>
                </c:pt>
                <c:pt idx="7">
                  <c:v>-10.257821782178217</c:v>
                </c:pt>
                <c:pt idx="8">
                  <c:v>-10.294653465346533</c:v>
                </c:pt>
                <c:pt idx="9">
                  <c:v>-10.331485148514851</c:v>
                </c:pt>
                <c:pt idx="10">
                  <c:v>-10.368316831683169</c:v>
                </c:pt>
                <c:pt idx="11">
                  <c:v>-10.405148514851485</c:v>
                </c:pt>
                <c:pt idx="12">
                  <c:v>-10.441980198019802</c:v>
                </c:pt>
                <c:pt idx="13">
                  <c:v>-10.47881188118812</c:v>
                </c:pt>
                <c:pt idx="14">
                  <c:v>-10.515643564356434</c:v>
                </c:pt>
                <c:pt idx="15">
                  <c:v>-10.552475247524752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33-DF87-411B-A3C0-91A6451201A1}"/>
            </c:ext>
          </c:extLst>
        </c:ser>
        <c:ser>
          <c:idx val="11"/>
          <c:order val="52"/>
          <c:spPr>
            <a:ln w="3175">
              <a:solidFill>
                <a:srgbClr val="000000"/>
              </a:solidFill>
              <a:prstDash val="solid"/>
            </a:ln>
          </c:spPr>
          <c:marker>
            <c:symbol val="none"/>
          </c:marker>
          <c:xVal>
            <c:numRef>
              <c:f>'-'!$C$6:$R$6</c:f>
              <c:numCache>
                <c:formatCode>General</c:formatCode>
                <c:ptCount val="16"/>
                <c:pt idx="0">
                  <c:v>0</c:v>
                </c:pt>
                <c:pt idx="1">
                  <c:v>2</c:v>
                </c:pt>
                <c:pt idx="2">
                  <c:v>4</c:v>
                </c:pt>
                <c:pt idx="3">
                  <c:v>6</c:v>
                </c:pt>
                <c:pt idx="4">
                  <c:v>8</c:v>
                </c:pt>
                <c:pt idx="5">
                  <c:v>10</c:v>
                </c:pt>
                <c:pt idx="6">
                  <c:v>12</c:v>
                </c:pt>
                <c:pt idx="7">
                  <c:v>14</c:v>
                </c:pt>
                <c:pt idx="8">
                  <c:v>16</c:v>
                </c:pt>
                <c:pt idx="9">
                  <c:v>18</c:v>
                </c:pt>
                <c:pt idx="10">
                  <c:v>20</c:v>
                </c:pt>
                <c:pt idx="11">
                  <c:v>22</c:v>
                </c:pt>
                <c:pt idx="12">
                  <c:v>24</c:v>
                </c:pt>
                <c:pt idx="13">
                  <c:v>26</c:v>
                </c:pt>
                <c:pt idx="14">
                  <c:v>28</c:v>
                </c:pt>
                <c:pt idx="15">
                  <c:v>30</c:v>
                </c:pt>
              </c:numCache>
            </c:numRef>
          </c:xVal>
          <c:yVal>
            <c:numRef>
              <c:f>'-'!$C$19:$R$19</c:f>
              <c:numCache>
                <c:formatCode>General</c:formatCode>
                <c:ptCount val="16"/>
                <c:pt idx="0">
                  <c:v>-5</c:v>
                </c:pt>
                <c:pt idx="1">
                  <c:v>-5.018415841584158</c:v>
                </c:pt>
                <c:pt idx="2">
                  <c:v>-5.0368316831683169</c:v>
                </c:pt>
                <c:pt idx="3">
                  <c:v>-5.0552475247524749</c:v>
                </c:pt>
                <c:pt idx="4">
                  <c:v>-5.0736633663366328</c:v>
                </c:pt>
                <c:pt idx="5">
                  <c:v>-5.0920792079207917</c:v>
                </c:pt>
                <c:pt idx="6">
                  <c:v>-5.1104950495049506</c:v>
                </c:pt>
                <c:pt idx="7">
                  <c:v>-5.1289108910891086</c:v>
                </c:pt>
                <c:pt idx="8">
                  <c:v>-5.1473267326732666</c:v>
                </c:pt>
                <c:pt idx="9">
                  <c:v>-5.1657425742574254</c:v>
                </c:pt>
                <c:pt idx="10">
                  <c:v>-5.1841584158415843</c:v>
                </c:pt>
                <c:pt idx="11">
                  <c:v>-5.2025742574257423</c:v>
                </c:pt>
                <c:pt idx="12">
                  <c:v>-5.2209900990099012</c:v>
                </c:pt>
                <c:pt idx="13">
                  <c:v>-5.2394059405940601</c:v>
                </c:pt>
                <c:pt idx="14">
                  <c:v>-5.2578217821782172</c:v>
                </c:pt>
                <c:pt idx="15">
                  <c:v>-5.276237623762376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34-DF87-411B-A3C0-91A6451201A1}"/>
            </c:ext>
          </c:extLst>
        </c:ser>
        <c:ser>
          <c:idx val="9"/>
          <c:order val="53"/>
          <c:spPr>
            <a:ln w="3175">
              <a:solidFill>
                <a:srgbClr val="000000"/>
              </a:solidFill>
              <a:prstDash val="solid"/>
            </a:ln>
          </c:spPr>
          <c:marker>
            <c:symbol val="none"/>
          </c:marker>
          <c:xVal>
            <c:numRef>
              <c:f>'-'!$C$6:$R$6</c:f>
              <c:numCache>
                <c:formatCode>General</c:formatCode>
                <c:ptCount val="16"/>
                <c:pt idx="0">
                  <c:v>0</c:v>
                </c:pt>
                <c:pt idx="1">
                  <c:v>2</c:v>
                </c:pt>
                <c:pt idx="2">
                  <c:v>4</c:v>
                </c:pt>
                <c:pt idx="3">
                  <c:v>6</c:v>
                </c:pt>
                <c:pt idx="4">
                  <c:v>8</c:v>
                </c:pt>
                <c:pt idx="5">
                  <c:v>10</c:v>
                </c:pt>
                <c:pt idx="6">
                  <c:v>12</c:v>
                </c:pt>
                <c:pt idx="7">
                  <c:v>14</c:v>
                </c:pt>
                <c:pt idx="8">
                  <c:v>16</c:v>
                </c:pt>
                <c:pt idx="9">
                  <c:v>18</c:v>
                </c:pt>
                <c:pt idx="10">
                  <c:v>20</c:v>
                </c:pt>
                <c:pt idx="11">
                  <c:v>22</c:v>
                </c:pt>
                <c:pt idx="12">
                  <c:v>24</c:v>
                </c:pt>
                <c:pt idx="13">
                  <c:v>26</c:v>
                </c:pt>
                <c:pt idx="14">
                  <c:v>28</c:v>
                </c:pt>
                <c:pt idx="15">
                  <c:v>30</c:v>
                </c:pt>
              </c:numCache>
            </c:numRef>
          </c:xVal>
          <c:yVal>
            <c:numRef>
              <c:f>'-'!$C$17:$R$17</c:f>
              <c:numCache>
                <c:formatCode>General</c:formatCode>
                <c:ptCount val="16"/>
                <c:pt idx="0">
                  <c:v>5</c:v>
                </c:pt>
                <c:pt idx="1">
                  <c:v>5.018415841584158</c:v>
                </c:pt>
                <c:pt idx="2">
                  <c:v>5.0368316831683169</c:v>
                </c:pt>
                <c:pt idx="3">
                  <c:v>5.0552475247524749</c:v>
                </c:pt>
                <c:pt idx="4">
                  <c:v>5.0736633663366328</c:v>
                </c:pt>
                <c:pt idx="5">
                  <c:v>5.0920792079207917</c:v>
                </c:pt>
                <c:pt idx="6">
                  <c:v>5.1104950495049506</c:v>
                </c:pt>
                <c:pt idx="7">
                  <c:v>5.1289108910891086</c:v>
                </c:pt>
                <c:pt idx="8">
                  <c:v>5.1473267326732666</c:v>
                </c:pt>
                <c:pt idx="9">
                  <c:v>5.1657425742574254</c:v>
                </c:pt>
                <c:pt idx="10">
                  <c:v>5.1841584158415843</c:v>
                </c:pt>
                <c:pt idx="11">
                  <c:v>5.2025742574257423</c:v>
                </c:pt>
                <c:pt idx="12">
                  <c:v>5.2209900990099012</c:v>
                </c:pt>
                <c:pt idx="13">
                  <c:v>5.2394059405940601</c:v>
                </c:pt>
                <c:pt idx="14">
                  <c:v>5.2578217821782172</c:v>
                </c:pt>
                <c:pt idx="15">
                  <c:v>5.276237623762376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35-DF87-411B-A3C0-91A6451201A1}"/>
            </c:ext>
          </c:extLst>
        </c:ser>
        <c:ser>
          <c:idx val="8"/>
          <c:order val="54"/>
          <c:spPr>
            <a:ln w="3175">
              <a:solidFill>
                <a:srgbClr val="000000"/>
              </a:solidFill>
              <a:prstDash val="solid"/>
            </a:ln>
          </c:spPr>
          <c:marker>
            <c:symbol val="none"/>
          </c:marker>
          <c:xVal>
            <c:numRef>
              <c:f>'-'!$C$6:$R$6</c:f>
              <c:numCache>
                <c:formatCode>General</c:formatCode>
                <c:ptCount val="16"/>
                <c:pt idx="0">
                  <c:v>0</c:v>
                </c:pt>
                <c:pt idx="1">
                  <c:v>2</c:v>
                </c:pt>
                <c:pt idx="2">
                  <c:v>4</c:v>
                </c:pt>
                <c:pt idx="3">
                  <c:v>6</c:v>
                </c:pt>
                <c:pt idx="4">
                  <c:v>8</c:v>
                </c:pt>
                <c:pt idx="5">
                  <c:v>10</c:v>
                </c:pt>
                <c:pt idx="6">
                  <c:v>12</c:v>
                </c:pt>
                <c:pt idx="7">
                  <c:v>14</c:v>
                </c:pt>
                <c:pt idx="8">
                  <c:v>16</c:v>
                </c:pt>
                <c:pt idx="9">
                  <c:v>18</c:v>
                </c:pt>
                <c:pt idx="10">
                  <c:v>20</c:v>
                </c:pt>
                <c:pt idx="11">
                  <c:v>22</c:v>
                </c:pt>
                <c:pt idx="12">
                  <c:v>24</c:v>
                </c:pt>
                <c:pt idx="13">
                  <c:v>26</c:v>
                </c:pt>
                <c:pt idx="14">
                  <c:v>28</c:v>
                </c:pt>
                <c:pt idx="15">
                  <c:v>30</c:v>
                </c:pt>
              </c:numCache>
            </c:numRef>
          </c:xVal>
          <c:yVal>
            <c:numRef>
              <c:f>'-'!$C$16:$R$16</c:f>
              <c:numCache>
                <c:formatCode>General</c:formatCode>
                <c:ptCount val="16"/>
                <c:pt idx="0">
                  <c:v>10</c:v>
                </c:pt>
                <c:pt idx="1">
                  <c:v>10.036831683168316</c:v>
                </c:pt>
                <c:pt idx="2">
                  <c:v>10.073663366336634</c:v>
                </c:pt>
                <c:pt idx="3">
                  <c:v>10.11049504950495</c:v>
                </c:pt>
                <c:pt idx="4">
                  <c:v>10.147326732673266</c:v>
                </c:pt>
                <c:pt idx="5">
                  <c:v>10.184158415841583</c:v>
                </c:pt>
                <c:pt idx="6">
                  <c:v>10.220990099009901</c:v>
                </c:pt>
                <c:pt idx="7">
                  <c:v>10.257821782178217</c:v>
                </c:pt>
                <c:pt idx="8">
                  <c:v>10.294653465346533</c:v>
                </c:pt>
                <c:pt idx="9">
                  <c:v>10.331485148514851</c:v>
                </c:pt>
                <c:pt idx="10">
                  <c:v>10.368316831683169</c:v>
                </c:pt>
                <c:pt idx="11">
                  <c:v>10.405148514851485</c:v>
                </c:pt>
                <c:pt idx="12">
                  <c:v>10.441980198019802</c:v>
                </c:pt>
                <c:pt idx="13">
                  <c:v>10.47881188118812</c:v>
                </c:pt>
                <c:pt idx="14">
                  <c:v>10.515643564356434</c:v>
                </c:pt>
                <c:pt idx="15">
                  <c:v>10.552475247524752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36-DF87-411B-A3C0-91A6451201A1}"/>
            </c:ext>
          </c:extLst>
        </c:ser>
        <c:ser>
          <c:idx val="7"/>
          <c:order val="55"/>
          <c:spPr>
            <a:ln w="3175">
              <a:solidFill>
                <a:srgbClr val="000000"/>
              </a:solidFill>
              <a:prstDash val="solid"/>
            </a:ln>
          </c:spPr>
          <c:marker>
            <c:symbol val="none"/>
          </c:marker>
          <c:xVal>
            <c:numRef>
              <c:f>'-'!$C$6:$R$6</c:f>
              <c:numCache>
                <c:formatCode>General</c:formatCode>
                <c:ptCount val="16"/>
                <c:pt idx="0">
                  <c:v>0</c:v>
                </c:pt>
                <c:pt idx="1">
                  <c:v>2</c:v>
                </c:pt>
                <c:pt idx="2">
                  <c:v>4</c:v>
                </c:pt>
                <c:pt idx="3">
                  <c:v>6</c:v>
                </c:pt>
                <c:pt idx="4">
                  <c:v>8</c:v>
                </c:pt>
                <c:pt idx="5">
                  <c:v>10</c:v>
                </c:pt>
                <c:pt idx="6">
                  <c:v>12</c:v>
                </c:pt>
                <c:pt idx="7">
                  <c:v>14</c:v>
                </c:pt>
                <c:pt idx="8">
                  <c:v>16</c:v>
                </c:pt>
                <c:pt idx="9">
                  <c:v>18</c:v>
                </c:pt>
                <c:pt idx="10">
                  <c:v>20</c:v>
                </c:pt>
                <c:pt idx="11">
                  <c:v>22</c:v>
                </c:pt>
                <c:pt idx="12">
                  <c:v>24</c:v>
                </c:pt>
                <c:pt idx="13">
                  <c:v>26</c:v>
                </c:pt>
                <c:pt idx="14">
                  <c:v>28</c:v>
                </c:pt>
                <c:pt idx="15">
                  <c:v>30</c:v>
                </c:pt>
              </c:numCache>
            </c:numRef>
          </c:xVal>
          <c:yVal>
            <c:numRef>
              <c:f>'-'!$C$15:$R$15</c:f>
              <c:numCache>
                <c:formatCode>General</c:formatCode>
                <c:ptCount val="16"/>
                <c:pt idx="0">
                  <c:v>15</c:v>
                </c:pt>
                <c:pt idx="1">
                  <c:v>15.055247524752476</c:v>
                </c:pt>
                <c:pt idx="2">
                  <c:v>15.11049504950495</c:v>
                </c:pt>
                <c:pt idx="3">
                  <c:v>15.165742574257427</c:v>
                </c:pt>
                <c:pt idx="4">
                  <c:v>15.220990099009901</c:v>
                </c:pt>
                <c:pt idx="5">
                  <c:v>15.276237623762377</c:v>
                </c:pt>
                <c:pt idx="6">
                  <c:v>15.331485148514851</c:v>
                </c:pt>
                <c:pt idx="7">
                  <c:v>15.386732673267327</c:v>
                </c:pt>
                <c:pt idx="8">
                  <c:v>15.441980198019802</c:v>
                </c:pt>
                <c:pt idx="9">
                  <c:v>15.497227722772278</c:v>
                </c:pt>
                <c:pt idx="10">
                  <c:v>15.552475247524752</c:v>
                </c:pt>
                <c:pt idx="11">
                  <c:v>15.607722772277228</c:v>
                </c:pt>
                <c:pt idx="12">
                  <c:v>15.662970297029704</c:v>
                </c:pt>
                <c:pt idx="13">
                  <c:v>15.718217821782179</c:v>
                </c:pt>
                <c:pt idx="14">
                  <c:v>15.773465346534653</c:v>
                </c:pt>
                <c:pt idx="15">
                  <c:v>15.828712871287129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37-DF87-411B-A3C0-91A6451201A1}"/>
            </c:ext>
          </c:extLst>
        </c:ser>
        <c:ser>
          <c:idx val="6"/>
          <c:order val="56"/>
          <c:spPr>
            <a:ln w="3175">
              <a:solidFill>
                <a:srgbClr val="000000"/>
              </a:solidFill>
              <a:prstDash val="solid"/>
            </a:ln>
          </c:spPr>
          <c:marker>
            <c:symbol val="none"/>
          </c:marker>
          <c:xVal>
            <c:numRef>
              <c:f>'-'!$C$6:$R$6</c:f>
              <c:numCache>
                <c:formatCode>General</c:formatCode>
                <c:ptCount val="16"/>
                <c:pt idx="0">
                  <c:v>0</c:v>
                </c:pt>
                <c:pt idx="1">
                  <c:v>2</c:v>
                </c:pt>
                <c:pt idx="2">
                  <c:v>4</c:v>
                </c:pt>
                <c:pt idx="3">
                  <c:v>6</c:v>
                </c:pt>
                <c:pt idx="4">
                  <c:v>8</c:v>
                </c:pt>
                <c:pt idx="5">
                  <c:v>10</c:v>
                </c:pt>
                <c:pt idx="6">
                  <c:v>12</c:v>
                </c:pt>
                <c:pt idx="7">
                  <c:v>14</c:v>
                </c:pt>
                <c:pt idx="8">
                  <c:v>16</c:v>
                </c:pt>
                <c:pt idx="9">
                  <c:v>18</c:v>
                </c:pt>
                <c:pt idx="10">
                  <c:v>20</c:v>
                </c:pt>
                <c:pt idx="11">
                  <c:v>22</c:v>
                </c:pt>
                <c:pt idx="12">
                  <c:v>24</c:v>
                </c:pt>
                <c:pt idx="13">
                  <c:v>26</c:v>
                </c:pt>
                <c:pt idx="14">
                  <c:v>28</c:v>
                </c:pt>
                <c:pt idx="15">
                  <c:v>30</c:v>
                </c:pt>
              </c:numCache>
            </c:numRef>
          </c:xVal>
          <c:yVal>
            <c:numRef>
              <c:f>'-'!$C$14:$R$14</c:f>
              <c:numCache>
                <c:formatCode>General</c:formatCode>
                <c:ptCount val="16"/>
                <c:pt idx="0">
                  <c:v>20</c:v>
                </c:pt>
                <c:pt idx="1">
                  <c:v>20.073663366336632</c:v>
                </c:pt>
                <c:pt idx="2">
                  <c:v>20.147326732673267</c:v>
                </c:pt>
                <c:pt idx="3">
                  <c:v>20.220990099009899</c:v>
                </c:pt>
                <c:pt idx="4">
                  <c:v>20.294653465346531</c:v>
                </c:pt>
                <c:pt idx="5">
                  <c:v>20.368316831683167</c:v>
                </c:pt>
                <c:pt idx="6">
                  <c:v>20.441980198019802</c:v>
                </c:pt>
                <c:pt idx="7">
                  <c:v>20.515643564356434</c:v>
                </c:pt>
                <c:pt idx="8">
                  <c:v>20.589306930693066</c:v>
                </c:pt>
                <c:pt idx="9">
                  <c:v>20.662970297029702</c:v>
                </c:pt>
                <c:pt idx="10">
                  <c:v>20.736633663366337</c:v>
                </c:pt>
                <c:pt idx="11">
                  <c:v>20.810297029702969</c:v>
                </c:pt>
                <c:pt idx="12">
                  <c:v>20.883960396039605</c:v>
                </c:pt>
                <c:pt idx="13">
                  <c:v>20.95762376237624</c:v>
                </c:pt>
                <c:pt idx="14">
                  <c:v>21.031287128712869</c:v>
                </c:pt>
                <c:pt idx="15">
                  <c:v>21.104950495049504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38-DF87-411B-A3C0-91A6451201A1}"/>
            </c:ext>
          </c:extLst>
        </c:ser>
        <c:ser>
          <c:idx val="5"/>
          <c:order val="57"/>
          <c:spPr>
            <a:ln w="3175">
              <a:solidFill>
                <a:srgbClr val="000000"/>
              </a:solidFill>
              <a:prstDash val="solid"/>
            </a:ln>
          </c:spPr>
          <c:marker>
            <c:symbol val="none"/>
          </c:marker>
          <c:xVal>
            <c:numRef>
              <c:f>'-'!$C$6:$R$6</c:f>
              <c:numCache>
                <c:formatCode>General</c:formatCode>
                <c:ptCount val="16"/>
                <c:pt idx="0">
                  <c:v>0</c:v>
                </c:pt>
                <c:pt idx="1">
                  <c:v>2</c:v>
                </c:pt>
                <c:pt idx="2">
                  <c:v>4</c:v>
                </c:pt>
                <c:pt idx="3">
                  <c:v>6</c:v>
                </c:pt>
                <c:pt idx="4">
                  <c:v>8</c:v>
                </c:pt>
                <c:pt idx="5">
                  <c:v>10</c:v>
                </c:pt>
                <c:pt idx="6">
                  <c:v>12</c:v>
                </c:pt>
                <c:pt idx="7">
                  <c:v>14</c:v>
                </c:pt>
                <c:pt idx="8">
                  <c:v>16</c:v>
                </c:pt>
                <c:pt idx="9">
                  <c:v>18</c:v>
                </c:pt>
                <c:pt idx="10">
                  <c:v>20</c:v>
                </c:pt>
                <c:pt idx="11">
                  <c:v>22</c:v>
                </c:pt>
                <c:pt idx="12">
                  <c:v>24</c:v>
                </c:pt>
                <c:pt idx="13">
                  <c:v>26</c:v>
                </c:pt>
                <c:pt idx="14">
                  <c:v>28</c:v>
                </c:pt>
                <c:pt idx="15">
                  <c:v>30</c:v>
                </c:pt>
              </c:numCache>
            </c:numRef>
          </c:xVal>
          <c:yVal>
            <c:numRef>
              <c:f>'-'!$C$13:$R$13</c:f>
              <c:numCache>
                <c:formatCode>General</c:formatCode>
                <c:ptCount val="16"/>
                <c:pt idx="0">
                  <c:v>25</c:v>
                </c:pt>
                <c:pt idx="1">
                  <c:v>25.092079207920793</c:v>
                </c:pt>
                <c:pt idx="2">
                  <c:v>25.184158415841583</c:v>
                </c:pt>
                <c:pt idx="3">
                  <c:v>25.276237623762377</c:v>
                </c:pt>
                <c:pt idx="4">
                  <c:v>25.368316831683167</c:v>
                </c:pt>
                <c:pt idx="5">
                  <c:v>25.46039603960396</c:v>
                </c:pt>
                <c:pt idx="6">
                  <c:v>25.552475247524754</c:v>
                </c:pt>
                <c:pt idx="7">
                  <c:v>25.644554455445544</c:v>
                </c:pt>
                <c:pt idx="8">
                  <c:v>25.736633663366337</c:v>
                </c:pt>
                <c:pt idx="9">
                  <c:v>25.828712871287127</c:v>
                </c:pt>
                <c:pt idx="10">
                  <c:v>25.920792079207921</c:v>
                </c:pt>
                <c:pt idx="11">
                  <c:v>26.012871287128711</c:v>
                </c:pt>
                <c:pt idx="12">
                  <c:v>26.104950495049504</c:v>
                </c:pt>
                <c:pt idx="13">
                  <c:v>26.197029702970298</c:v>
                </c:pt>
                <c:pt idx="14">
                  <c:v>26.289108910891088</c:v>
                </c:pt>
                <c:pt idx="15">
                  <c:v>26.381188118811881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9-DF87-411B-A3C0-91A6451201A1}"/>
            </c:ext>
          </c:extLst>
        </c:ser>
        <c:ser>
          <c:idx val="4"/>
          <c:order val="58"/>
          <c:spPr>
            <a:ln w="3175">
              <a:solidFill>
                <a:srgbClr val="000000"/>
              </a:solidFill>
              <a:prstDash val="solid"/>
            </a:ln>
          </c:spPr>
          <c:marker>
            <c:symbol val="none"/>
          </c:marker>
          <c:xVal>
            <c:numRef>
              <c:f>'-'!$C$6:$R$6</c:f>
              <c:numCache>
                <c:formatCode>General</c:formatCode>
                <c:ptCount val="16"/>
                <c:pt idx="0">
                  <c:v>0</c:v>
                </c:pt>
                <c:pt idx="1">
                  <c:v>2</c:v>
                </c:pt>
                <c:pt idx="2">
                  <c:v>4</c:v>
                </c:pt>
                <c:pt idx="3">
                  <c:v>6</c:v>
                </c:pt>
                <c:pt idx="4">
                  <c:v>8</c:v>
                </c:pt>
                <c:pt idx="5">
                  <c:v>10</c:v>
                </c:pt>
                <c:pt idx="6">
                  <c:v>12</c:v>
                </c:pt>
                <c:pt idx="7">
                  <c:v>14</c:v>
                </c:pt>
                <c:pt idx="8">
                  <c:v>16</c:v>
                </c:pt>
                <c:pt idx="9">
                  <c:v>18</c:v>
                </c:pt>
                <c:pt idx="10">
                  <c:v>20</c:v>
                </c:pt>
                <c:pt idx="11">
                  <c:v>22</c:v>
                </c:pt>
                <c:pt idx="12">
                  <c:v>24</c:v>
                </c:pt>
                <c:pt idx="13">
                  <c:v>26</c:v>
                </c:pt>
                <c:pt idx="14">
                  <c:v>28</c:v>
                </c:pt>
                <c:pt idx="15">
                  <c:v>30</c:v>
                </c:pt>
              </c:numCache>
            </c:numRef>
          </c:xVal>
          <c:yVal>
            <c:numRef>
              <c:f>'-'!$C$12:$R$12</c:f>
              <c:numCache>
                <c:formatCode>General</c:formatCode>
                <c:ptCount val="16"/>
                <c:pt idx="0">
                  <c:v>30</c:v>
                </c:pt>
                <c:pt idx="1">
                  <c:v>30.110495049504951</c:v>
                </c:pt>
                <c:pt idx="2">
                  <c:v>30.220990099009899</c:v>
                </c:pt>
                <c:pt idx="3">
                  <c:v>30.331485148514854</c:v>
                </c:pt>
                <c:pt idx="4">
                  <c:v>30.441980198019802</c:v>
                </c:pt>
                <c:pt idx="5">
                  <c:v>30.552475247524754</c:v>
                </c:pt>
                <c:pt idx="6">
                  <c:v>30.662970297029702</c:v>
                </c:pt>
                <c:pt idx="7">
                  <c:v>30.773465346534653</c:v>
                </c:pt>
                <c:pt idx="8">
                  <c:v>30.883960396039605</c:v>
                </c:pt>
                <c:pt idx="9">
                  <c:v>30.994455445544556</c:v>
                </c:pt>
                <c:pt idx="10">
                  <c:v>31.104950495049504</c:v>
                </c:pt>
                <c:pt idx="11">
                  <c:v>31.215445544554456</c:v>
                </c:pt>
                <c:pt idx="12">
                  <c:v>31.325940594059407</c:v>
                </c:pt>
                <c:pt idx="13">
                  <c:v>31.436435643564359</c:v>
                </c:pt>
                <c:pt idx="14">
                  <c:v>31.546930693069307</c:v>
                </c:pt>
                <c:pt idx="15">
                  <c:v>31.657425742574258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A-DF87-411B-A3C0-91A6451201A1}"/>
            </c:ext>
          </c:extLst>
        </c:ser>
        <c:ser>
          <c:idx val="3"/>
          <c:order val="59"/>
          <c:spPr>
            <a:ln w="3175">
              <a:solidFill>
                <a:srgbClr val="000000"/>
              </a:solidFill>
              <a:prstDash val="solid"/>
            </a:ln>
          </c:spPr>
          <c:marker>
            <c:symbol val="none"/>
          </c:marker>
          <c:xVal>
            <c:numRef>
              <c:f>'-'!$C$6:$R$6</c:f>
              <c:numCache>
                <c:formatCode>General</c:formatCode>
                <c:ptCount val="16"/>
                <c:pt idx="0">
                  <c:v>0</c:v>
                </c:pt>
                <c:pt idx="1">
                  <c:v>2</c:v>
                </c:pt>
                <c:pt idx="2">
                  <c:v>4</c:v>
                </c:pt>
                <c:pt idx="3">
                  <c:v>6</c:v>
                </c:pt>
                <c:pt idx="4">
                  <c:v>8</c:v>
                </c:pt>
                <c:pt idx="5">
                  <c:v>10</c:v>
                </c:pt>
                <c:pt idx="6">
                  <c:v>12</c:v>
                </c:pt>
                <c:pt idx="7">
                  <c:v>14</c:v>
                </c:pt>
                <c:pt idx="8">
                  <c:v>16</c:v>
                </c:pt>
                <c:pt idx="9">
                  <c:v>18</c:v>
                </c:pt>
                <c:pt idx="10">
                  <c:v>20</c:v>
                </c:pt>
                <c:pt idx="11">
                  <c:v>22</c:v>
                </c:pt>
                <c:pt idx="12">
                  <c:v>24</c:v>
                </c:pt>
                <c:pt idx="13">
                  <c:v>26</c:v>
                </c:pt>
                <c:pt idx="14">
                  <c:v>28</c:v>
                </c:pt>
                <c:pt idx="15">
                  <c:v>30</c:v>
                </c:pt>
              </c:numCache>
            </c:numRef>
          </c:xVal>
          <c:yVal>
            <c:numRef>
              <c:f>'-'!$C$11:$R$11</c:f>
              <c:numCache>
                <c:formatCode>General</c:formatCode>
                <c:ptCount val="16"/>
                <c:pt idx="0">
                  <c:v>35</c:v>
                </c:pt>
                <c:pt idx="1">
                  <c:v>35.128910891089113</c:v>
                </c:pt>
                <c:pt idx="2">
                  <c:v>35.257821782178219</c:v>
                </c:pt>
                <c:pt idx="3">
                  <c:v>35.386732673267325</c:v>
                </c:pt>
                <c:pt idx="4">
                  <c:v>35.515643564356438</c:v>
                </c:pt>
                <c:pt idx="5">
                  <c:v>35.644554455445551</c:v>
                </c:pt>
                <c:pt idx="6">
                  <c:v>35.77346534653465</c:v>
                </c:pt>
                <c:pt idx="7">
                  <c:v>35.902376237623763</c:v>
                </c:pt>
                <c:pt idx="8">
                  <c:v>36.031287128712876</c:v>
                </c:pt>
                <c:pt idx="9">
                  <c:v>36.160198019801982</c:v>
                </c:pt>
                <c:pt idx="10">
                  <c:v>36.289108910891088</c:v>
                </c:pt>
                <c:pt idx="11">
                  <c:v>36.418019801980201</c:v>
                </c:pt>
                <c:pt idx="12">
                  <c:v>36.546930693069314</c:v>
                </c:pt>
                <c:pt idx="13">
                  <c:v>36.675841584158412</c:v>
                </c:pt>
                <c:pt idx="14">
                  <c:v>36.804752475247525</c:v>
                </c:pt>
                <c:pt idx="15">
                  <c:v>36.933663366336638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B-DF87-411B-A3C0-91A6451201A1}"/>
            </c:ext>
          </c:extLst>
        </c:ser>
        <c:ser>
          <c:idx val="2"/>
          <c:order val="60"/>
          <c:spPr>
            <a:ln w="3175">
              <a:solidFill>
                <a:srgbClr val="000000"/>
              </a:solidFill>
              <a:prstDash val="solid"/>
            </a:ln>
          </c:spPr>
          <c:marker>
            <c:symbol val="none"/>
          </c:marker>
          <c:xVal>
            <c:numRef>
              <c:f>'-'!$C$6:$R$6</c:f>
              <c:numCache>
                <c:formatCode>General</c:formatCode>
                <c:ptCount val="16"/>
                <c:pt idx="0">
                  <c:v>0</c:v>
                </c:pt>
                <c:pt idx="1">
                  <c:v>2</c:v>
                </c:pt>
                <c:pt idx="2">
                  <c:v>4</c:v>
                </c:pt>
                <c:pt idx="3">
                  <c:v>6</c:v>
                </c:pt>
                <c:pt idx="4">
                  <c:v>8</c:v>
                </c:pt>
                <c:pt idx="5">
                  <c:v>10</c:v>
                </c:pt>
                <c:pt idx="6">
                  <c:v>12</c:v>
                </c:pt>
                <c:pt idx="7">
                  <c:v>14</c:v>
                </c:pt>
                <c:pt idx="8">
                  <c:v>16</c:v>
                </c:pt>
                <c:pt idx="9">
                  <c:v>18</c:v>
                </c:pt>
                <c:pt idx="10">
                  <c:v>20</c:v>
                </c:pt>
                <c:pt idx="11">
                  <c:v>22</c:v>
                </c:pt>
                <c:pt idx="12">
                  <c:v>24</c:v>
                </c:pt>
                <c:pt idx="13">
                  <c:v>26</c:v>
                </c:pt>
                <c:pt idx="14">
                  <c:v>28</c:v>
                </c:pt>
                <c:pt idx="15">
                  <c:v>30</c:v>
                </c:pt>
              </c:numCache>
            </c:numRef>
          </c:xVal>
          <c:yVal>
            <c:numRef>
              <c:f>'-'!$C$10:$R$10</c:f>
              <c:numCache>
                <c:formatCode>General</c:formatCode>
                <c:ptCount val="16"/>
                <c:pt idx="0">
                  <c:v>40</c:v>
                </c:pt>
                <c:pt idx="1">
                  <c:v>40.147326732673264</c:v>
                </c:pt>
                <c:pt idx="2">
                  <c:v>40.294653465346535</c:v>
                </c:pt>
                <c:pt idx="3">
                  <c:v>40.441980198019799</c:v>
                </c:pt>
                <c:pt idx="4">
                  <c:v>40.589306930693063</c:v>
                </c:pt>
                <c:pt idx="5">
                  <c:v>40.736633663366334</c:v>
                </c:pt>
                <c:pt idx="6">
                  <c:v>40.883960396039605</c:v>
                </c:pt>
                <c:pt idx="7">
                  <c:v>41.031287128712869</c:v>
                </c:pt>
                <c:pt idx="8">
                  <c:v>41.178613861386133</c:v>
                </c:pt>
                <c:pt idx="9">
                  <c:v>41.325940594059404</c:v>
                </c:pt>
                <c:pt idx="10">
                  <c:v>41.473267326732675</c:v>
                </c:pt>
                <c:pt idx="11">
                  <c:v>41.620594059405938</c:v>
                </c:pt>
                <c:pt idx="12">
                  <c:v>41.767920792079209</c:v>
                </c:pt>
                <c:pt idx="13">
                  <c:v>41.915247524752481</c:v>
                </c:pt>
                <c:pt idx="14">
                  <c:v>42.062574257425737</c:v>
                </c:pt>
                <c:pt idx="15">
                  <c:v>42.209900990099008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C-DF87-411B-A3C0-91A6451201A1}"/>
            </c:ext>
          </c:extLst>
        </c:ser>
        <c:ser>
          <c:idx val="1"/>
          <c:order val="61"/>
          <c:spPr>
            <a:ln w="3175">
              <a:solidFill>
                <a:srgbClr val="000000"/>
              </a:solidFill>
              <a:prstDash val="solid"/>
            </a:ln>
          </c:spPr>
          <c:marker>
            <c:symbol val="none"/>
          </c:marker>
          <c:xVal>
            <c:numRef>
              <c:f>'-'!$C$6:$R$6</c:f>
              <c:numCache>
                <c:formatCode>General</c:formatCode>
                <c:ptCount val="16"/>
                <c:pt idx="0">
                  <c:v>0</c:v>
                </c:pt>
                <c:pt idx="1">
                  <c:v>2</c:v>
                </c:pt>
                <c:pt idx="2">
                  <c:v>4</c:v>
                </c:pt>
                <c:pt idx="3">
                  <c:v>6</c:v>
                </c:pt>
                <c:pt idx="4">
                  <c:v>8</c:v>
                </c:pt>
                <c:pt idx="5">
                  <c:v>10</c:v>
                </c:pt>
                <c:pt idx="6">
                  <c:v>12</c:v>
                </c:pt>
                <c:pt idx="7">
                  <c:v>14</c:v>
                </c:pt>
                <c:pt idx="8">
                  <c:v>16</c:v>
                </c:pt>
                <c:pt idx="9">
                  <c:v>18</c:v>
                </c:pt>
                <c:pt idx="10">
                  <c:v>20</c:v>
                </c:pt>
                <c:pt idx="11">
                  <c:v>22</c:v>
                </c:pt>
                <c:pt idx="12">
                  <c:v>24</c:v>
                </c:pt>
                <c:pt idx="13">
                  <c:v>26</c:v>
                </c:pt>
                <c:pt idx="14">
                  <c:v>28</c:v>
                </c:pt>
                <c:pt idx="15">
                  <c:v>30</c:v>
                </c:pt>
              </c:numCache>
            </c:numRef>
          </c:xVal>
          <c:yVal>
            <c:numRef>
              <c:f>'-'!$C$9:$R$9</c:f>
              <c:numCache>
                <c:formatCode>General</c:formatCode>
                <c:ptCount val="16"/>
                <c:pt idx="0">
                  <c:v>45</c:v>
                </c:pt>
                <c:pt idx="1">
                  <c:v>45.165742574257429</c:v>
                </c:pt>
                <c:pt idx="2">
                  <c:v>45.331485148514858</c:v>
                </c:pt>
                <c:pt idx="3">
                  <c:v>45.49722772277228</c:v>
                </c:pt>
                <c:pt idx="4">
                  <c:v>45.662970297029709</c:v>
                </c:pt>
                <c:pt idx="5">
                  <c:v>45.828712871287138</c:v>
                </c:pt>
                <c:pt idx="6">
                  <c:v>45.994455445544553</c:v>
                </c:pt>
                <c:pt idx="7">
                  <c:v>46.160198019801982</c:v>
                </c:pt>
                <c:pt idx="8">
                  <c:v>46.325940594059404</c:v>
                </c:pt>
                <c:pt idx="9">
                  <c:v>46.491683168316833</c:v>
                </c:pt>
                <c:pt idx="10">
                  <c:v>46.657425742574262</c:v>
                </c:pt>
                <c:pt idx="11">
                  <c:v>46.823168316831683</c:v>
                </c:pt>
                <c:pt idx="12">
                  <c:v>46.988910891089112</c:v>
                </c:pt>
                <c:pt idx="13">
                  <c:v>47.154653465346541</c:v>
                </c:pt>
                <c:pt idx="14">
                  <c:v>47.320396039603963</c:v>
                </c:pt>
                <c:pt idx="15">
                  <c:v>47.486138613861392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D-DF87-411B-A3C0-91A6451201A1}"/>
            </c:ext>
          </c:extLst>
        </c:ser>
        <c:ser>
          <c:idx val="0"/>
          <c:order val="62"/>
          <c:spPr>
            <a:ln w="3175">
              <a:solidFill>
                <a:srgbClr val="000000"/>
              </a:solidFill>
              <a:prstDash val="solid"/>
            </a:ln>
          </c:spPr>
          <c:marker>
            <c:symbol val="none"/>
          </c:marker>
          <c:xVal>
            <c:numRef>
              <c:f>'-'!$C$6:$R$6</c:f>
              <c:numCache>
                <c:formatCode>General</c:formatCode>
                <c:ptCount val="16"/>
                <c:pt idx="0">
                  <c:v>0</c:v>
                </c:pt>
                <c:pt idx="1">
                  <c:v>2</c:v>
                </c:pt>
                <c:pt idx="2">
                  <c:v>4</c:v>
                </c:pt>
                <c:pt idx="3">
                  <c:v>6</c:v>
                </c:pt>
                <c:pt idx="4">
                  <c:v>8</c:v>
                </c:pt>
                <c:pt idx="5">
                  <c:v>10</c:v>
                </c:pt>
                <c:pt idx="6">
                  <c:v>12</c:v>
                </c:pt>
                <c:pt idx="7">
                  <c:v>14</c:v>
                </c:pt>
                <c:pt idx="8">
                  <c:v>16</c:v>
                </c:pt>
                <c:pt idx="9">
                  <c:v>18</c:v>
                </c:pt>
                <c:pt idx="10">
                  <c:v>20</c:v>
                </c:pt>
                <c:pt idx="11">
                  <c:v>22</c:v>
                </c:pt>
                <c:pt idx="12">
                  <c:v>24</c:v>
                </c:pt>
                <c:pt idx="13">
                  <c:v>26</c:v>
                </c:pt>
                <c:pt idx="14">
                  <c:v>28</c:v>
                </c:pt>
                <c:pt idx="15">
                  <c:v>30</c:v>
                </c:pt>
              </c:numCache>
            </c:numRef>
          </c:xVal>
          <c:yVal>
            <c:numRef>
              <c:f>'-'!$C$8:$R$8</c:f>
              <c:numCache>
                <c:formatCode>General</c:formatCode>
                <c:ptCount val="16"/>
                <c:pt idx="0">
                  <c:v>50</c:v>
                </c:pt>
                <c:pt idx="1">
                  <c:v>50.184158415841587</c:v>
                </c:pt>
                <c:pt idx="2">
                  <c:v>50.368316831683167</c:v>
                </c:pt>
                <c:pt idx="3">
                  <c:v>50.552475247524754</c:v>
                </c:pt>
                <c:pt idx="4">
                  <c:v>50.736633663366334</c:v>
                </c:pt>
                <c:pt idx="5">
                  <c:v>50.920792079207921</c:v>
                </c:pt>
                <c:pt idx="6">
                  <c:v>51.104950495049508</c:v>
                </c:pt>
                <c:pt idx="7">
                  <c:v>51.289108910891088</c:v>
                </c:pt>
                <c:pt idx="8">
                  <c:v>51.473267326732675</c:v>
                </c:pt>
                <c:pt idx="9">
                  <c:v>51.657425742574254</c:v>
                </c:pt>
                <c:pt idx="10">
                  <c:v>51.841584158415841</c:v>
                </c:pt>
                <c:pt idx="11">
                  <c:v>52.025742574257421</c:v>
                </c:pt>
                <c:pt idx="12">
                  <c:v>52.209900990099008</c:v>
                </c:pt>
                <c:pt idx="13">
                  <c:v>52.394059405940595</c:v>
                </c:pt>
                <c:pt idx="14">
                  <c:v>52.578217821782175</c:v>
                </c:pt>
                <c:pt idx="15">
                  <c:v>52.762376237623762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3E-DF87-411B-A3C0-91A6451201A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154574832"/>
        <c:axId val="1"/>
      </c:scatterChart>
      <c:valAx>
        <c:axId val="1154574832"/>
        <c:scaling>
          <c:orientation val="minMax"/>
          <c:max val="25"/>
          <c:min val="0"/>
        </c:scaling>
        <c:delete val="0"/>
        <c:axPos val="b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i [g/kg s.v.]</a:t>
                </a:r>
              </a:p>
            </c:rich>
          </c:tx>
          <c:layout>
            <c:manualLayout>
              <c:xMode val="edge"/>
              <c:yMode val="edge"/>
              <c:x val="0.43478326789532779"/>
              <c:y val="0.96437407456989044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out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/>
            </a:pPr>
            <a:endParaRPr lang="ru-RU"/>
          </a:p>
        </c:txPr>
        <c:crossAx val="1"/>
        <c:crossesAt val="-20"/>
        <c:crossBetween val="midCat"/>
        <c:majorUnit val="1"/>
        <c:minorUnit val="0.2"/>
      </c:valAx>
      <c:valAx>
        <c:axId val="1"/>
        <c:scaling>
          <c:orientation val="minMax"/>
          <c:max val="55"/>
          <c:min val="-20"/>
        </c:scaling>
        <c:delete val="0"/>
        <c:axPos val="l"/>
        <c:numFmt formatCode="General" sourceLinked="1"/>
        <c:majorTickMark val="out"/>
        <c:minorTickMark val="out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/>
            </a:pPr>
            <a:endParaRPr lang="ru-RU"/>
          </a:p>
        </c:txPr>
        <c:crossAx val="1154574832"/>
        <c:crossesAt val="0"/>
        <c:crossBetween val="midCat"/>
        <c:majorUnit val="5"/>
        <c:minorUnit val="1"/>
      </c:valAx>
      <c:spPr>
        <a:noFill/>
        <a:ln w="12700">
          <a:solidFill>
            <a:srgbClr val="000000"/>
          </a:solidFill>
          <a:prstDash val="solid"/>
        </a:ln>
      </c:spPr>
    </c:plotArea>
    <c:plotVisOnly val="1"/>
    <c:dispBlanksAs val="gap"/>
    <c:showDLblsOverMax val="0"/>
  </c:chart>
  <c:spPr>
    <a:solidFill>
      <a:schemeClr val="bg1"/>
    </a:solidFill>
    <a:ln w="6350">
      <a:noFill/>
    </a:ln>
  </c:spPr>
  <c:txPr>
    <a:bodyPr/>
    <a:lstStyle/>
    <a:p>
      <a:pPr>
        <a:defRPr sz="1000" b="1" i="0" u="none" strike="noStrike" baseline="0">
          <a:solidFill>
            <a:srgbClr val="000000"/>
          </a:solidFill>
          <a:latin typeface="Verdana" panose="020B0604030504040204" pitchFamily="34" charset="0"/>
          <a:ea typeface="Arial"/>
          <a:cs typeface="Arial"/>
        </a:defRPr>
      </a:pPr>
      <a:endParaRPr lang="ru-RU"/>
    </a:p>
  </c:txPr>
  <c:printSettings>
    <c:headerFooter alignWithMargins="0"/>
    <c:pageMargins b="0.39370078740157483" l="0.78740157480314965" r="0.39370078740157483" t="0.39370078740157483" header="0" footer="0"/>
    <c:pageSetup orientation="portrait" horizontalDpi="300" verticalDpi="300"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AHU </a:t>
            </a:r>
            <a:r>
              <a:rPr lang="ru-RU"/>
              <a:t>Расчет</a:t>
            </a:r>
          </a:p>
        </c:rich>
      </c:tx>
      <c:layout/>
      <c:overlay val="0"/>
    </c:title>
    <c:autoTitleDeleted val="0"/>
    <c:plotArea>
      <c:layout>
        <c:manualLayout>
          <c:layoutTarget val="inner"/>
          <c:xMode val="edge"/>
          <c:yMode val="edge"/>
          <c:x val="4.9919563203821966E-2"/>
          <c:y val="4.1769066824388405E-2"/>
          <c:w val="0.87278720182166147"/>
          <c:h val="0.88943542296638833"/>
        </c:manualLayout>
      </c:layout>
      <c:scatterChart>
        <c:scatterStyle val="lineMarker"/>
        <c:varyColors val="0"/>
        <c:ser>
          <c:idx val="52"/>
          <c:order val="0"/>
          <c:spPr>
            <a:ln w="3175">
              <a:solidFill>
                <a:srgbClr val="000000"/>
              </a:solidFill>
              <a:prstDash val="solid"/>
            </a:ln>
          </c:spPr>
          <c:marker>
            <c:symbol val="none"/>
          </c:marker>
          <c:xVal>
            <c:numRef>
              <c:f>'-'!$C$26:$D$26</c:f>
              <c:numCache>
                <c:formatCode>General</c:formatCode>
                <c:ptCount val="2"/>
                <c:pt idx="0">
                  <c:v>0</c:v>
                </c:pt>
                <c:pt idx="1">
                  <c:v>25</c:v>
                </c:pt>
              </c:numCache>
            </c:numRef>
          </c:xVal>
          <c:yVal>
            <c:numRef>
              <c:f>'-'!$C$55:$D$55</c:f>
              <c:numCache>
                <c:formatCode>General</c:formatCode>
                <c:ptCount val="2"/>
                <c:pt idx="0">
                  <c:v>-19.801980198019802</c:v>
                </c:pt>
                <c:pt idx="1">
                  <c:v>-81.707920792079207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EBE6-4D25-8405-5E039FCEC7B0}"/>
            </c:ext>
          </c:extLst>
        </c:ser>
        <c:ser>
          <c:idx val="51"/>
          <c:order val="1"/>
          <c:spPr>
            <a:ln w="3175">
              <a:solidFill>
                <a:srgbClr val="000000"/>
              </a:solidFill>
              <a:prstDash val="solid"/>
            </a:ln>
          </c:spPr>
          <c:marker>
            <c:symbol val="none"/>
          </c:marker>
          <c:xVal>
            <c:numRef>
              <c:f>'-'!$C$26:$D$26</c:f>
              <c:numCache>
                <c:formatCode>General</c:formatCode>
                <c:ptCount val="2"/>
                <c:pt idx="0">
                  <c:v>0</c:v>
                </c:pt>
                <c:pt idx="1">
                  <c:v>25</c:v>
                </c:pt>
              </c:numCache>
            </c:numRef>
          </c:xVal>
          <c:yVal>
            <c:numRef>
              <c:f>'-'!$C$54:$D$54</c:f>
              <c:numCache>
                <c:formatCode>General</c:formatCode>
                <c:ptCount val="2"/>
                <c:pt idx="0">
                  <c:v>-14.851485148514852</c:v>
                </c:pt>
                <c:pt idx="1">
                  <c:v>-76.757425742574256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EBE6-4D25-8405-5E039FCEC7B0}"/>
            </c:ext>
          </c:extLst>
        </c:ser>
        <c:ser>
          <c:idx val="50"/>
          <c:order val="2"/>
          <c:spPr>
            <a:ln w="3175">
              <a:solidFill>
                <a:srgbClr val="000000"/>
              </a:solidFill>
              <a:prstDash val="solid"/>
            </a:ln>
          </c:spPr>
          <c:marker>
            <c:symbol val="none"/>
          </c:marker>
          <c:xVal>
            <c:numRef>
              <c:f>'-'!$C$26:$D$26</c:f>
              <c:numCache>
                <c:formatCode>General</c:formatCode>
                <c:ptCount val="2"/>
                <c:pt idx="0">
                  <c:v>0</c:v>
                </c:pt>
                <c:pt idx="1">
                  <c:v>25</c:v>
                </c:pt>
              </c:numCache>
            </c:numRef>
          </c:xVal>
          <c:yVal>
            <c:numRef>
              <c:f>'-'!$C$53:$D$53</c:f>
              <c:numCache>
                <c:formatCode>General</c:formatCode>
                <c:ptCount val="2"/>
                <c:pt idx="0">
                  <c:v>-9.9009900990099009</c:v>
                </c:pt>
                <c:pt idx="1">
                  <c:v>-71.806930693069319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EBE6-4D25-8405-5E039FCEC7B0}"/>
            </c:ext>
          </c:extLst>
        </c:ser>
        <c:ser>
          <c:idx val="49"/>
          <c:order val="3"/>
          <c:spPr>
            <a:ln w="3175">
              <a:solidFill>
                <a:srgbClr val="000000"/>
              </a:solidFill>
              <a:prstDash val="solid"/>
            </a:ln>
          </c:spPr>
          <c:marker>
            <c:symbol val="none"/>
          </c:marker>
          <c:xVal>
            <c:numRef>
              <c:f>'-'!$C$26:$D$26</c:f>
              <c:numCache>
                <c:formatCode>General</c:formatCode>
                <c:ptCount val="2"/>
                <c:pt idx="0">
                  <c:v>0</c:v>
                </c:pt>
                <c:pt idx="1">
                  <c:v>25</c:v>
                </c:pt>
              </c:numCache>
            </c:numRef>
          </c:xVal>
          <c:yVal>
            <c:numRef>
              <c:f>'-'!$C$52:$D$52</c:f>
              <c:numCache>
                <c:formatCode>General</c:formatCode>
                <c:ptCount val="2"/>
                <c:pt idx="0">
                  <c:v>-4.9504950495049505</c:v>
                </c:pt>
                <c:pt idx="1">
                  <c:v>-66.856435643564367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EBE6-4D25-8405-5E039FCEC7B0}"/>
            </c:ext>
          </c:extLst>
        </c:ser>
        <c:ser>
          <c:idx val="38"/>
          <c:order val="4"/>
          <c:spPr>
            <a:ln w="3175">
              <a:solidFill>
                <a:srgbClr val="000000"/>
              </a:solidFill>
              <a:prstDash val="solid"/>
            </a:ln>
          </c:spPr>
          <c:marker>
            <c:symbol val="none"/>
          </c:marker>
          <c:xVal>
            <c:numRef>
              <c:f>'-'!$C$26:$D$26</c:f>
              <c:numCache>
                <c:formatCode>General</c:formatCode>
                <c:ptCount val="2"/>
                <c:pt idx="0">
                  <c:v>0</c:v>
                </c:pt>
                <c:pt idx="1">
                  <c:v>25</c:v>
                </c:pt>
              </c:numCache>
            </c:numRef>
          </c:xVal>
          <c:yVal>
            <c:numRef>
              <c:f>'-'!$C$51:$D$51</c:f>
              <c:numCache>
                <c:formatCode>General</c:formatCode>
                <c:ptCount val="2"/>
                <c:pt idx="0">
                  <c:v>0</c:v>
                </c:pt>
                <c:pt idx="1">
                  <c:v>-61.905940594059402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EBE6-4D25-8405-5E039FCEC7B0}"/>
            </c:ext>
          </c:extLst>
        </c:ser>
        <c:ser>
          <c:idx val="37"/>
          <c:order val="5"/>
          <c:spPr>
            <a:ln w="3175">
              <a:solidFill>
                <a:srgbClr val="000000"/>
              </a:solidFill>
              <a:prstDash val="solid"/>
            </a:ln>
          </c:spPr>
          <c:marker>
            <c:symbol val="none"/>
          </c:marker>
          <c:xVal>
            <c:numRef>
              <c:f>'-'!$C$26:$G$26</c:f>
              <c:numCache>
                <c:formatCode>General</c:formatCode>
                <c:ptCount val="5"/>
                <c:pt idx="0">
                  <c:v>0</c:v>
                </c:pt>
                <c:pt idx="1">
                  <c:v>25</c:v>
                </c:pt>
              </c:numCache>
            </c:numRef>
          </c:xVal>
          <c:yVal>
            <c:numRef>
              <c:f>'-'!$C$50:$F$50</c:f>
              <c:numCache>
                <c:formatCode>General</c:formatCode>
                <c:ptCount val="4"/>
                <c:pt idx="0">
                  <c:v>4.9504950495049505</c:v>
                </c:pt>
                <c:pt idx="1">
                  <c:v>-56.955445544554451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5-EBE6-4D25-8405-5E039FCEC7B0}"/>
            </c:ext>
          </c:extLst>
        </c:ser>
        <c:ser>
          <c:idx val="36"/>
          <c:order val="6"/>
          <c:spPr>
            <a:ln w="3175">
              <a:solidFill>
                <a:srgbClr val="000000"/>
              </a:solidFill>
              <a:prstDash val="solid"/>
            </a:ln>
          </c:spPr>
          <c:marker>
            <c:symbol val="none"/>
          </c:marker>
          <c:xVal>
            <c:numRef>
              <c:f>'-'!$C$26:$G$26</c:f>
              <c:numCache>
                <c:formatCode>General</c:formatCode>
                <c:ptCount val="5"/>
                <c:pt idx="0">
                  <c:v>0</c:v>
                </c:pt>
                <c:pt idx="1">
                  <c:v>25</c:v>
                </c:pt>
              </c:numCache>
            </c:numRef>
          </c:xVal>
          <c:yVal>
            <c:numRef>
              <c:f>'-'!$C$49:$F$49</c:f>
              <c:numCache>
                <c:formatCode>General</c:formatCode>
                <c:ptCount val="4"/>
                <c:pt idx="0">
                  <c:v>9.9009900990099009</c:v>
                </c:pt>
                <c:pt idx="1">
                  <c:v>-52.004950495049506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6-EBE6-4D25-8405-5E039FCEC7B0}"/>
            </c:ext>
          </c:extLst>
        </c:ser>
        <c:ser>
          <c:idx val="35"/>
          <c:order val="7"/>
          <c:spPr>
            <a:ln w="3175">
              <a:solidFill>
                <a:srgbClr val="000000"/>
              </a:solidFill>
              <a:prstDash val="solid"/>
            </a:ln>
          </c:spPr>
          <c:marker>
            <c:symbol val="none"/>
          </c:marker>
          <c:xVal>
            <c:numRef>
              <c:f>'-'!$C$26:$G$26</c:f>
              <c:numCache>
                <c:formatCode>General</c:formatCode>
                <c:ptCount val="5"/>
                <c:pt idx="0">
                  <c:v>0</c:v>
                </c:pt>
                <c:pt idx="1">
                  <c:v>25</c:v>
                </c:pt>
              </c:numCache>
            </c:numRef>
          </c:xVal>
          <c:yVal>
            <c:numRef>
              <c:f>'-'!$C$48:$F$48</c:f>
              <c:numCache>
                <c:formatCode>General</c:formatCode>
                <c:ptCount val="4"/>
                <c:pt idx="0">
                  <c:v>14.851485148514852</c:v>
                </c:pt>
                <c:pt idx="1">
                  <c:v>-47.054455445544555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7-EBE6-4D25-8405-5E039FCEC7B0}"/>
            </c:ext>
          </c:extLst>
        </c:ser>
        <c:ser>
          <c:idx val="34"/>
          <c:order val="8"/>
          <c:spPr>
            <a:ln w="3175">
              <a:solidFill>
                <a:srgbClr val="000000"/>
              </a:solidFill>
              <a:prstDash val="solid"/>
            </a:ln>
          </c:spPr>
          <c:marker>
            <c:symbol val="none"/>
          </c:marker>
          <c:xVal>
            <c:numRef>
              <c:f>'-'!$C$26:$G$26</c:f>
              <c:numCache>
                <c:formatCode>General</c:formatCode>
                <c:ptCount val="5"/>
                <c:pt idx="0">
                  <c:v>0</c:v>
                </c:pt>
                <c:pt idx="1">
                  <c:v>25</c:v>
                </c:pt>
              </c:numCache>
            </c:numRef>
          </c:xVal>
          <c:yVal>
            <c:numRef>
              <c:f>'-'!$C$47:$F$47</c:f>
              <c:numCache>
                <c:formatCode>General</c:formatCode>
                <c:ptCount val="4"/>
                <c:pt idx="0">
                  <c:v>19.801980198019802</c:v>
                </c:pt>
                <c:pt idx="1">
                  <c:v>-42.103960396039604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8-EBE6-4D25-8405-5E039FCEC7B0}"/>
            </c:ext>
          </c:extLst>
        </c:ser>
        <c:ser>
          <c:idx val="33"/>
          <c:order val="9"/>
          <c:spPr>
            <a:ln w="3175">
              <a:solidFill>
                <a:srgbClr val="000000"/>
              </a:solidFill>
              <a:prstDash val="solid"/>
            </a:ln>
          </c:spPr>
          <c:marker>
            <c:symbol val="none"/>
          </c:marker>
          <c:xVal>
            <c:numRef>
              <c:f>'-'!$C$26:$G$26</c:f>
              <c:numCache>
                <c:formatCode>General</c:formatCode>
                <c:ptCount val="5"/>
                <c:pt idx="0">
                  <c:v>0</c:v>
                </c:pt>
                <c:pt idx="1">
                  <c:v>25</c:v>
                </c:pt>
              </c:numCache>
            </c:numRef>
          </c:xVal>
          <c:yVal>
            <c:numRef>
              <c:f>'-'!$C$46:$F$46</c:f>
              <c:numCache>
                <c:formatCode>General</c:formatCode>
                <c:ptCount val="4"/>
                <c:pt idx="0">
                  <c:v>24.752475247524753</c:v>
                </c:pt>
                <c:pt idx="1">
                  <c:v>-37.153465346534652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9-EBE6-4D25-8405-5E039FCEC7B0}"/>
            </c:ext>
          </c:extLst>
        </c:ser>
        <c:ser>
          <c:idx val="32"/>
          <c:order val="10"/>
          <c:spPr>
            <a:ln w="3175">
              <a:solidFill>
                <a:srgbClr val="000000"/>
              </a:solidFill>
              <a:prstDash val="solid"/>
            </a:ln>
          </c:spPr>
          <c:marker>
            <c:symbol val="none"/>
          </c:marker>
          <c:xVal>
            <c:numRef>
              <c:f>'-'!$C$26:$G$26</c:f>
              <c:numCache>
                <c:formatCode>General</c:formatCode>
                <c:ptCount val="5"/>
                <c:pt idx="0">
                  <c:v>0</c:v>
                </c:pt>
                <c:pt idx="1">
                  <c:v>25</c:v>
                </c:pt>
              </c:numCache>
            </c:numRef>
          </c:xVal>
          <c:yVal>
            <c:numRef>
              <c:f>'-'!$C$45:$F$45</c:f>
              <c:numCache>
                <c:formatCode>General</c:formatCode>
                <c:ptCount val="4"/>
                <c:pt idx="0">
                  <c:v>29.702970297029704</c:v>
                </c:pt>
                <c:pt idx="1">
                  <c:v>-32.202970297029701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A-EBE6-4D25-8405-5E039FCEC7B0}"/>
            </c:ext>
          </c:extLst>
        </c:ser>
        <c:ser>
          <c:idx val="31"/>
          <c:order val="11"/>
          <c:spPr>
            <a:ln w="3175">
              <a:solidFill>
                <a:srgbClr val="000000"/>
              </a:solidFill>
              <a:prstDash val="solid"/>
            </a:ln>
          </c:spPr>
          <c:marker>
            <c:symbol val="none"/>
          </c:marker>
          <c:xVal>
            <c:numRef>
              <c:f>'-'!$C$26:$G$26</c:f>
              <c:numCache>
                <c:formatCode>General</c:formatCode>
                <c:ptCount val="5"/>
                <c:pt idx="0">
                  <c:v>0</c:v>
                </c:pt>
                <c:pt idx="1">
                  <c:v>25</c:v>
                </c:pt>
              </c:numCache>
            </c:numRef>
          </c:xVal>
          <c:yVal>
            <c:numRef>
              <c:f>'-'!$C$44:$F$44</c:f>
              <c:numCache>
                <c:formatCode>General</c:formatCode>
                <c:ptCount val="4"/>
                <c:pt idx="0">
                  <c:v>34.653465346534652</c:v>
                </c:pt>
                <c:pt idx="1">
                  <c:v>-27.25247524752475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B-EBE6-4D25-8405-5E039FCEC7B0}"/>
            </c:ext>
          </c:extLst>
        </c:ser>
        <c:ser>
          <c:idx val="62"/>
          <c:order val="12"/>
          <c:tx>
            <c:v>10.bod</c:v>
          </c:tx>
          <c:spPr>
            <a:ln w="38100">
              <a:solidFill>
                <a:srgbClr val="FF0000"/>
              </a:solidFill>
              <a:prstDash val="solid"/>
            </a:ln>
          </c:spPr>
          <c:marker>
            <c:symbol val="diamond"/>
            <c:size val="6"/>
            <c:spPr>
              <a:solidFill>
                <a:srgbClr val="0000FF"/>
              </a:solidFill>
              <a:ln>
                <a:solidFill>
                  <a:srgbClr val="FF0000"/>
                </a:solidFill>
                <a:prstDash val="solid"/>
              </a:ln>
            </c:spPr>
          </c:marker>
          <c:xVal>
            <c:numRef>
              <c:f>'S04'!$E$180:$S$180</c:f>
              <c:numCache>
                <c:formatCode>General</c:formatCode>
                <c:ptCount val="15"/>
                <c:pt idx="8">
                  <c:v>6.0113562015513496E-4</c:v>
                </c:pt>
                <c:pt idx="9">
                  <c:v>6.0113562015513496E-4</c:v>
                </c:pt>
                <c:pt idx="10">
                  <c:v>15.17511246915182</c:v>
                </c:pt>
                <c:pt idx="11">
                  <c:v>9.2012211080269264</c:v>
                </c:pt>
                <c:pt idx="12">
                  <c:v>9.0684559843778378E-2</c:v>
                </c:pt>
                <c:pt idx="13">
                  <c:v>9.0684559843778378E-2</c:v>
                </c:pt>
                <c:pt idx="14">
                  <c:v>9.0671476786990859E-4</c:v>
                </c:pt>
              </c:numCache>
            </c:numRef>
          </c:xVal>
          <c:yVal>
            <c:numRef>
              <c:f>'S04'!$E$181:$S$181</c:f>
              <c:numCache>
                <c:formatCode>General</c:formatCode>
                <c:ptCount val="15"/>
                <c:pt idx="8">
                  <c:v>8.0000088563346807</c:v>
                </c:pt>
                <c:pt idx="9">
                  <c:v>20.000022140836705</c:v>
                </c:pt>
                <c:pt idx="10">
                  <c:v>35.978118635387915</c:v>
                </c:pt>
                <c:pt idx="11">
                  <c:v>16.271117168489983</c:v>
                </c:pt>
                <c:pt idx="12">
                  <c:v>16.00267205198114</c:v>
                </c:pt>
                <c:pt idx="13">
                  <c:v>20.003340064976424</c:v>
                </c:pt>
                <c:pt idx="14">
                  <c:v>20.000033395831053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C-EBE6-4D25-8405-5E039FCEC7B0}"/>
            </c:ext>
          </c:extLst>
        </c:ser>
        <c:ser>
          <c:idx val="61"/>
          <c:order val="13"/>
          <c:tx>
            <c:v>9.bod</c:v>
          </c:tx>
          <c:spPr>
            <a:ln w="38100">
              <a:solidFill>
                <a:srgbClr val="FF0000"/>
              </a:solidFill>
              <a:prstDash val="solid"/>
            </a:ln>
          </c:spPr>
          <c:marker>
            <c:symbol val="diamond"/>
            <c:size val="6"/>
            <c:spPr>
              <a:solidFill>
                <a:srgbClr val="0000FF"/>
              </a:solidFill>
              <a:ln>
                <a:solidFill>
                  <a:srgbClr val="FF0000"/>
                </a:solidFill>
                <a:prstDash val="solid"/>
              </a:ln>
            </c:spPr>
          </c:marker>
          <c:xVal>
            <c:numRef>
              <c:f>'S04'!$E$178:$S$178</c:f>
              <c:numCache>
                <c:formatCode>General</c:formatCode>
                <c:ptCount val="15"/>
                <c:pt idx="7">
                  <c:v>6.0113562015513496E-4</c:v>
                </c:pt>
                <c:pt idx="8">
                  <c:v>6.0113562015513496E-4</c:v>
                </c:pt>
                <c:pt idx="9">
                  <c:v>6.0113562015513496E-4</c:v>
                </c:pt>
                <c:pt idx="10">
                  <c:v>6.0113562015513496E-4</c:v>
                </c:pt>
                <c:pt idx="11">
                  <c:v>6.0113562015513496E-4</c:v>
                </c:pt>
                <c:pt idx="12">
                  <c:v>6.0113562015513496E-4</c:v>
                </c:pt>
                <c:pt idx="13">
                  <c:v>6.0113562015513496E-4</c:v>
                </c:pt>
                <c:pt idx="14">
                  <c:v>6.0113562015513496E-4</c:v>
                </c:pt>
              </c:numCache>
            </c:numRef>
          </c:xVal>
          <c:yVal>
            <c:numRef>
              <c:f>'S04'!$E$179:$S$179</c:f>
              <c:numCache>
                <c:formatCode>General</c:formatCode>
                <c:ptCount val="15"/>
                <c:pt idx="7">
                  <c:v>8.0000088563346807</c:v>
                </c:pt>
                <c:pt idx="8">
                  <c:v>8.0000088563346807</c:v>
                </c:pt>
                <c:pt idx="9">
                  <c:v>8.0000088563346807</c:v>
                </c:pt>
                <c:pt idx="10">
                  <c:v>8.0000088563346807</c:v>
                </c:pt>
                <c:pt idx="11">
                  <c:v>8.0000088563346807</c:v>
                </c:pt>
                <c:pt idx="12">
                  <c:v>8.0000088563346807</c:v>
                </c:pt>
                <c:pt idx="13">
                  <c:v>8.0000088563346807</c:v>
                </c:pt>
                <c:pt idx="14">
                  <c:v>8.0000088563346807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D-EBE6-4D25-8405-5E039FCEC7B0}"/>
            </c:ext>
          </c:extLst>
        </c:ser>
        <c:ser>
          <c:idx val="60"/>
          <c:order val="14"/>
          <c:tx>
            <c:v>8.bod</c:v>
          </c:tx>
          <c:spPr>
            <a:ln w="38100">
              <a:solidFill>
                <a:srgbClr val="FF0000"/>
              </a:solidFill>
              <a:prstDash val="solid"/>
            </a:ln>
          </c:spPr>
          <c:marker>
            <c:symbol val="diamond"/>
            <c:size val="6"/>
            <c:spPr>
              <a:solidFill>
                <a:srgbClr val="0000FF"/>
              </a:solidFill>
              <a:ln>
                <a:solidFill>
                  <a:srgbClr val="FF0000"/>
                </a:solidFill>
                <a:prstDash val="solid"/>
              </a:ln>
            </c:spPr>
          </c:marker>
          <c:xVal>
            <c:numRef>
              <c:f>'S04'!$E$176:$S$176</c:f>
              <c:numCache>
                <c:formatCode>General</c:formatCode>
                <c:ptCount val="15"/>
                <c:pt idx="6">
                  <c:v>6.0119312330765867E-2</c:v>
                </c:pt>
                <c:pt idx="7">
                  <c:v>6.0119312330765867E-2</c:v>
                </c:pt>
                <c:pt idx="8">
                  <c:v>6.0119312330765867E-2</c:v>
                </c:pt>
              </c:numCache>
            </c:numRef>
          </c:xVal>
          <c:yVal>
            <c:numRef>
              <c:f>'S04'!$E$177:$S$177</c:f>
              <c:numCache>
                <c:formatCode>General</c:formatCode>
                <c:ptCount val="15"/>
                <c:pt idx="6">
                  <c:v>5.684042761244898</c:v>
                </c:pt>
                <c:pt idx="7">
                  <c:v>8.0008857181856268</c:v>
                </c:pt>
                <c:pt idx="8">
                  <c:v>8.0008857181856268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E-EBE6-4D25-8405-5E039FCEC7B0}"/>
            </c:ext>
          </c:extLst>
        </c:ser>
        <c:ser>
          <c:idx val="59"/>
          <c:order val="15"/>
          <c:tx>
            <c:v>7.bod</c:v>
          </c:tx>
          <c:spPr>
            <a:ln w="38100">
              <a:solidFill>
                <a:srgbClr val="FF0000"/>
              </a:solidFill>
              <a:prstDash val="solid"/>
            </a:ln>
          </c:spPr>
          <c:marker>
            <c:symbol val="diamond"/>
            <c:size val="6"/>
            <c:spPr>
              <a:solidFill>
                <a:srgbClr val="000080"/>
              </a:solidFill>
              <a:ln>
                <a:solidFill>
                  <a:srgbClr val="FF0000"/>
                </a:solidFill>
                <a:prstDash val="solid"/>
              </a:ln>
            </c:spPr>
          </c:marker>
          <c:xVal>
            <c:numRef>
              <c:f>'S04'!$E$174:$S$174</c:f>
              <c:numCache>
                <c:formatCode>General</c:formatCode>
                <c:ptCount val="15"/>
                <c:pt idx="5">
                  <c:v>6.0119312330765867E-2</c:v>
                </c:pt>
                <c:pt idx="6">
                  <c:v>6.0119312330765867E-2</c:v>
                </c:pt>
                <c:pt idx="7">
                  <c:v>6.0119312330765867E-2</c:v>
                </c:pt>
              </c:numCache>
            </c:numRef>
          </c:xVal>
          <c:yVal>
            <c:numRef>
              <c:f>'S04'!$E$175:$S$175</c:f>
              <c:numCache>
                <c:formatCode>General</c:formatCode>
                <c:ptCount val="15"/>
                <c:pt idx="5">
                  <c:v>5.684042761244898</c:v>
                </c:pt>
                <c:pt idx="6">
                  <c:v>5.684042761244898</c:v>
                </c:pt>
                <c:pt idx="7">
                  <c:v>5.684042761244898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F-EBE6-4D25-8405-5E039FCEC7B0}"/>
            </c:ext>
          </c:extLst>
        </c:ser>
        <c:ser>
          <c:idx val="58"/>
          <c:order val="16"/>
          <c:tx>
            <c:v>6.bod</c:v>
          </c:tx>
          <c:spPr>
            <a:ln w="38100">
              <a:solidFill>
                <a:srgbClr val="FF0000"/>
              </a:solidFill>
              <a:prstDash val="solid"/>
            </a:ln>
          </c:spPr>
          <c:marker>
            <c:symbol val="diamond"/>
            <c:size val="6"/>
            <c:spPr>
              <a:solidFill>
                <a:srgbClr val="0000FF"/>
              </a:solidFill>
              <a:ln>
                <a:solidFill>
                  <a:srgbClr val="FF0000"/>
                </a:solidFill>
                <a:prstDash val="solid"/>
              </a:ln>
            </c:spPr>
          </c:marker>
          <c:xVal>
            <c:numRef>
              <c:f>'S04'!$E$172:$S$172</c:f>
              <c:numCache>
                <c:formatCode>General</c:formatCode>
                <c:ptCount val="15"/>
                <c:pt idx="4">
                  <c:v>9.3757233081908904</c:v>
                </c:pt>
                <c:pt idx="5">
                  <c:v>6.0699953128936093</c:v>
                </c:pt>
                <c:pt idx="6">
                  <c:v>8.3203757830561539E-2</c:v>
                </c:pt>
              </c:numCache>
            </c:numRef>
          </c:xVal>
          <c:yVal>
            <c:numRef>
              <c:f>'S04'!$E$173:$S$173</c:f>
              <c:numCache>
                <c:formatCode>General</c:formatCode>
                <c:ptCount val="15"/>
                <c:pt idx="4">
                  <c:v>20.345323670361086</c:v>
                </c:pt>
                <c:pt idx="5">
                  <c:v>5.7469450341124224</c:v>
                </c:pt>
                <c:pt idx="6">
                  <c:v>-25.003830668058537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0-EBE6-4D25-8405-5E039FCEC7B0}"/>
            </c:ext>
          </c:extLst>
        </c:ser>
        <c:ser>
          <c:idx val="57"/>
          <c:order val="17"/>
          <c:tx>
            <c:v>5.bod</c:v>
          </c:tx>
          <c:spPr>
            <a:ln w="38100">
              <a:solidFill>
                <a:srgbClr val="FF0000"/>
              </a:solidFill>
              <a:prstDash val="solid"/>
            </a:ln>
          </c:spPr>
          <c:marker>
            <c:symbol val="diamond"/>
            <c:size val="6"/>
            <c:spPr>
              <a:solidFill>
                <a:srgbClr val="0000FF"/>
              </a:solidFill>
              <a:ln>
                <a:solidFill>
                  <a:srgbClr val="FF0000"/>
                </a:solidFill>
                <a:prstDash val="solid"/>
              </a:ln>
            </c:spPr>
          </c:marker>
          <c:xVal>
            <c:numRef>
              <c:f>'S04'!$E$170:$S$170</c:f>
              <c:numCache>
                <c:formatCode>General</c:formatCode>
                <c:ptCount val="15"/>
                <c:pt idx="3">
                  <c:v>9.3757233081908904</c:v>
                </c:pt>
                <c:pt idx="4">
                  <c:v>9.3757233081908904</c:v>
                </c:pt>
                <c:pt idx="5">
                  <c:v>9.3757233081908904</c:v>
                </c:pt>
              </c:numCache>
            </c:numRef>
          </c:xVal>
          <c:yVal>
            <c:numRef>
              <c:f>'S04'!$E$171:$S$171</c:f>
              <c:numCache>
                <c:formatCode>General</c:formatCode>
                <c:ptCount val="15"/>
                <c:pt idx="3">
                  <c:v>20.345323670361086</c:v>
                </c:pt>
                <c:pt idx="4">
                  <c:v>20.345323670361086</c:v>
                </c:pt>
                <c:pt idx="5">
                  <c:v>20.345323670361086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1-EBE6-4D25-8405-5E039FCEC7B0}"/>
            </c:ext>
          </c:extLst>
        </c:ser>
        <c:ser>
          <c:idx val="56"/>
          <c:order val="18"/>
          <c:tx>
            <c:v>4.bod</c:v>
          </c:tx>
          <c:spPr>
            <a:ln w="38100">
              <a:solidFill>
                <a:srgbClr val="FF0000"/>
              </a:solidFill>
              <a:prstDash val="solid"/>
            </a:ln>
          </c:spPr>
          <c:marker>
            <c:symbol val="diamond"/>
            <c:size val="6"/>
            <c:spPr>
              <a:solidFill>
                <a:srgbClr val="0000FF"/>
              </a:solidFill>
              <a:ln>
                <a:solidFill>
                  <a:srgbClr val="FF0000"/>
                </a:solidFill>
                <a:prstDash val="solid"/>
              </a:ln>
            </c:spPr>
          </c:marker>
          <c:xVal>
            <c:numRef>
              <c:f>'S04'!$E$168:$S$168</c:f>
              <c:numCache>
                <c:formatCode>General</c:formatCode>
                <c:ptCount val="15"/>
                <c:pt idx="2">
                  <c:v>8.3203757830561539E-2</c:v>
                </c:pt>
                <c:pt idx="3">
                  <c:v>8.3203757830561539E-2</c:v>
                </c:pt>
                <c:pt idx="4">
                  <c:v>8.3203757830561539E-2</c:v>
                </c:pt>
              </c:numCache>
            </c:numRef>
          </c:xVal>
          <c:yVal>
            <c:numRef>
              <c:f>'S04'!$E$169:$S$169</c:f>
              <c:numCache>
                <c:formatCode>General</c:formatCode>
                <c:ptCount val="15"/>
                <c:pt idx="2">
                  <c:v>-25.003830668058537</c:v>
                </c:pt>
                <c:pt idx="3">
                  <c:v>-25.003830668058537</c:v>
                </c:pt>
                <c:pt idx="4">
                  <c:v>-25.003830668058537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2-EBE6-4D25-8405-5E039FCEC7B0}"/>
            </c:ext>
          </c:extLst>
        </c:ser>
        <c:ser>
          <c:idx val="55"/>
          <c:order val="19"/>
          <c:tx>
            <c:v>3.bod</c:v>
          </c:tx>
          <c:spPr>
            <a:ln w="38100">
              <a:solidFill>
                <a:srgbClr val="FF0000"/>
              </a:solidFill>
              <a:prstDash val="solid"/>
            </a:ln>
          </c:spPr>
          <c:marker>
            <c:symbol val="diamond"/>
            <c:size val="6"/>
            <c:spPr>
              <a:solidFill>
                <a:srgbClr val="0000FF"/>
              </a:solidFill>
              <a:ln>
                <a:solidFill>
                  <a:srgbClr val="FF0000"/>
                </a:solidFill>
                <a:prstDash val="solid"/>
              </a:ln>
            </c:spPr>
          </c:marker>
          <c:xVal>
            <c:numRef>
              <c:f>'S04'!$E$166:$S$166</c:f>
              <c:numCache>
                <c:formatCode>General</c:formatCode>
                <c:ptCount val="15"/>
                <c:pt idx="1">
                  <c:v>8.3203757830561539E-2</c:v>
                </c:pt>
                <c:pt idx="2">
                  <c:v>8.3203757830561539E-2</c:v>
                </c:pt>
                <c:pt idx="3">
                  <c:v>8.3203757830561539E-2</c:v>
                </c:pt>
              </c:numCache>
            </c:numRef>
          </c:xVal>
          <c:yVal>
            <c:numRef>
              <c:f>'S04'!$E$167:$S$167</c:f>
              <c:numCache>
                <c:formatCode>General</c:formatCode>
                <c:ptCount val="15"/>
                <c:pt idx="1">
                  <c:v>-25.003830668058537</c:v>
                </c:pt>
                <c:pt idx="2">
                  <c:v>-25.003830668058537</c:v>
                </c:pt>
                <c:pt idx="3">
                  <c:v>-25.003830668058537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3-EBE6-4D25-8405-5E039FCEC7B0}"/>
            </c:ext>
          </c:extLst>
        </c:ser>
        <c:ser>
          <c:idx val="54"/>
          <c:order val="20"/>
          <c:tx>
            <c:v>3.bod</c:v>
          </c:tx>
          <c:spPr>
            <a:ln w="38100">
              <a:solidFill>
                <a:srgbClr val="FF0000"/>
              </a:solidFill>
              <a:prstDash val="solid"/>
            </a:ln>
          </c:spPr>
          <c:marker>
            <c:symbol val="diamond"/>
            <c:size val="6"/>
            <c:spPr>
              <a:solidFill>
                <a:srgbClr val="0000FF"/>
              </a:solidFill>
              <a:ln>
                <a:solidFill>
                  <a:srgbClr val="FF0000"/>
                </a:solidFill>
                <a:prstDash val="solid"/>
              </a:ln>
            </c:spPr>
          </c:marker>
          <c:xVal>
            <c:numRef>
              <c:f>'S04'!$E$164:$S$164</c:f>
              <c:numCache>
                <c:formatCode>General</c:formatCode>
                <c:ptCount val="15"/>
                <c:pt idx="0">
                  <c:v>8.3203757830561539E-2</c:v>
                </c:pt>
                <c:pt idx="1">
                  <c:v>8.3203757830561539E-2</c:v>
                </c:pt>
              </c:numCache>
            </c:numRef>
          </c:xVal>
          <c:yVal>
            <c:numRef>
              <c:f>'S04'!$E$165:$S$165</c:f>
              <c:numCache>
                <c:formatCode>General</c:formatCode>
                <c:ptCount val="15"/>
                <c:pt idx="0">
                  <c:v>-25.003830668058537</c:v>
                </c:pt>
                <c:pt idx="1">
                  <c:v>-25.003830668058537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4-EBE6-4D25-8405-5E039FCEC7B0}"/>
            </c:ext>
          </c:extLst>
        </c:ser>
        <c:ser>
          <c:idx val="14"/>
          <c:order val="21"/>
          <c:tx>
            <c:v>2.bod</c:v>
          </c:tx>
          <c:spPr>
            <a:ln w="38100">
              <a:solidFill>
                <a:srgbClr val="FF0000"/>
              </a:solidFill>
              <a:prstDash val="solid"/>
            </a:ln>
          </c:spPr>
          <c:marker>
            <c:symbol val="diamond"/>
            <c:size val="6"/>
            <c:spPr>
              <a:solidFill>
                <a:srgbClr val="0000FF"/>
              </a:solidFill>
              <a:ln>
                <a:solidFill>
                  <a:srgbClr val="FF0000"/>
                </a:solidFill>
                <a:prstDash val="solid"/>
              </a:ln>
            </c:spPr>
          </c:marker>
          <c:xVal>
            <c:numRef>
              <c:f>'S04'!$E$164:$S$164</c:f>
              <c:numCache>
                <c:formatCode>General</c:formatCode>
                <c:ptCount val="15"/>
                <c:pt idx="0">
                  <c:v>8.3203757830561539E-2</c:v>
                </c:pt>
                <c:pt idx="1">
                  <c:v>8.3203757830561539E-2</c:v>
                </c:pt>
              </c:numCache>
            </c:numRef>
          </c:xVal>
          <c:yVal>
            <c:numRef>
              <c:f>'S04'!$E$165:$S$165</c:f>
              <c:numCache>
                <c:formatCode>General</c:formatCode>
                <c:ptCount val="15"/>
                <c:pt idx="0">
                  <c:v>-25.003830668058537</c:v>
                </c:pt>
                <c:pt idx="1">
                  <c:v>-25.003830668058537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5-EBE6-4D25-8405-5E039FCEC7B0}"/>
            </c:ext>
          </c:extLst>
        </c:ser>
        <c:ser>
          <c:idx val="53"/>
          <c:order val="22"/>
          <c:tx>
            <c:v>1.bod</c:v>
          </c:tx>
          <c:spPr>
            <a:ln w="38100">
              <a:solidFill>
                <a:srgbClr val="FF0000"/>
              </a:solidFill>
              <a:prstDash val="solid"/>
            </a:ln>
          </c:spPr>
          <c:marker>
            <c:symbol val="diamond"/>
            <c:size val="6"/>
            <c:spPr>
              <a:solidFill>
                <a:srgbClr val="0000FF"/>
              </a:solidFill>
              <a:ln>
                <a:solidFill>
                  <a:srgbClr val="FF0000"/>
                </a:solidFill>
                <a:prstDash val="solid"/>
              </a:ln>
            </c:spPr>
          </c:marker>
          <c:xVal>
            <c:numRef>
              <c:f>'S04'!$E$162:$S$162</c:f>
              <c:numCache>
                <c:formatCode>General</c:formatCode>
                <c:ptCount val="15"/>
                <c:pt idx="0">
                  <c:v>8.3203757830561539E-2</c:v>
                </c:pt>
              </c:numCache>
            </c:numRef>
          </c:xVal>
          <c:yVal>
            <c:numRef>
              <c:f>'S04'!$E$163:$S$163</c:f>
              <c:numCache>
                <c:formatCode>General</c:formatCode>
                <c:ptCount val="15"/>
                <c:pt idx="0">
                  <c:v>-25.003830668058537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6-EBE6-4D25-8405-5E039FCEC7B0}"/>
            </c:ext>
          </c:extLst>
        </c:ser>
        <c:ser>
          <c:idx val="48"/>
          <c:order val="23"/>
          <c:spPr>
            <a:ln w="3175">
              <a:solidFill>
                <a:srgbClr val="000000"/>
              </a:solidFill>
              <a:prstDash val="solid"/>
            </a:ln>
          </c:spPr>
          <c:marker>
            <c:symbol val="none"/>
          </c:marker>
          <c:xVal>
            <c:numRef>
              <c:f>'-'!$D$79:$T$79</c:f>
              <c:numCache>
                <c:formatCode>General</c:formatCode>
                <c:ptCount val="17"/>
                <c:pt idx="2">
                  <c:v>0.17101280627768012</c:v>
                </c:pt>
                <c:pt idx="3">
                  <c:v>0.26443999317586409</c:v>
                </c:pt>
                <c:pt idx="4">
                  <c:v>0.40111958118109542</c:v>
                </c:pt>
                <c:pt idx="5">
                  <c:v>0.57365941965561285</c:v>
                </c:pt>
                <c:pt idx="6">
                  <c:v>0.80856460613349224</c:v>
                </c:pt>
                <c:pt idx="7">
                  <c:v>1.1242211125591719</c:v>
                </c:pt>
                <c:pt idx="8">
                  <c:v>1.5432417243466023</c:v>
                </c:pt>
                <c:pt idx="9">
                  <c:v>2.093178554164365</c:v>
                </c:pt>
                <c:pt idx="10">
                  <c:v>2.8073255116868441</c:v>
                </c:pt>
                <c:pt idx="11">
                  <c:v>3.7256286077166139</c:v>
                </c:pt>
                <c:pt idx="12">
                  <c:v>4.89572992529573</c:v>
                </c:pt>
                <c:pt idx="13">
                  <c:v>6.3741820722374358</c:v>
                </c:pt>
                <c:pt idx="14">
                  <c:v>8.2278849367789046</c:v>
                </c:pt>
                <c:pt idx="15">
                  <c:v>10.53581702830612</c:v>
                </c:pt>
                <c:pt idx="16">
                  <c:v>13.391161696827741</c:v>
                </c:pt>
              </c:numCache>
            </c:numRef>
          </c:xVal>
          <c:yVal>
            <c:numRef>
              <c:f>'-'!$D$80:$T$80</c:f>
              <c:numCache>
                <c:formatCode>General</c:formatCode>
                <c:ptCount val="17"/>
                <c:pt idx="2">
                  <c:v>-10.003149344749273</c:v>
                </c:pt>
                <c:pt idx="3">
                  <c:v>-5.002434942511421</c:v>
                </c:pt>
                <c:pt idx="4">
                  <c:v>0</c:v>
                </c:pt>
                <c:pt idx="5">
                  <c:v>5.0052822104978194</c:v>
                </c:pt>
                <c:pt idx="6">
                  <c:v>10.014890397697112</c:v>
                </c:pt>
                <c:pt idx="7">
                  <c:v>15.031055216871684</c:v>
                </c:pt>
                <c:pt idx="8">
                  <c:v>20.05684019024326</c:v>
                </c:pt>
                <c:pt idx="9">
                  <c:v>25.096369111652123</c:v>
                </c:pt>
                <c:pt idx="10">
                  <c:v>30.155097785695176</c:v>
                </c:pt>
                <c:pt idx="11">
                  <c:v>35.240137051843917</c:v>
                </c:pt>
                <c:pt idx="12">
                  <c:v>40.36063594697228</c:v>
                </c:pt>
                <c:pt idx="13">
                  <c:v>45.528236672719089</c:v>
                </c:pt>
                <c:pt idx="14">
                  <c:v>50.757617127842018</c:v>
                </c:pt>
                <c:pt idx="15">
                  <c:v>56.067142655441302</c:v>
                </c:pt>
                <c:pt idx="16">
                  <c:v>61.47965707461978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7-EBE6-4D25-8405-5E039FCEC7B0}"/>
            </c:ext>
          </c:extLst>
        </c:ser>
        <c:ser>
          <c:idx val="47"/>
          <c:order val="24"/>
          <c:spPr>
            <a:ln w="3175">
              <a:solidFill>
                <a:srgbClr val="000000"/>
              </a:solidFill>
              <a:prstDash val="solid"/>
            </a:ln>
          </c:spPr>
          <c:marker>
            <c:symbol val="none"/>
          </c:marker>
          <c:xVal>
            <c:numRef>
              <c:f>'-'!$D$77:$T$77</c:f>
              <c:numCache>
                <c:formatCode>General</c:formatCode>
                <c:ptCount val="17"/>
                <c:pt idx="0">
                  <c:v>0.1358156797329006</c:v>
                </c:pt>
                <c:pt idx="1">
                  <c:v>0.21750328911584826</c:v>
                </c:pt>
                <c:pt idx="2">
                  <c:v>0.34211964476451118</c:v>
                </c:pt>
                <c:pt idx="3">
                  <c:v>0.52910486016338154</c:v>
                </c:pt>
                <c:pt idx="4">
                  <c:v>0.802756683134497</c:v>
                </c:pt>
                <c:pt idx="5">
                  <c:v>1.1483776269084569</c:v>
                </c:pt>
                <c:pt idx="6">
                  <c:v>1.6192334470055176</c:v>
                </c:pt>
                <c:pt idx="7">
                  <c:v>2.2525121732724562</c:v>
                </c:pt>
                <c:pt idx="8">
                  <c:v>3.0941578838395496</c:v>
                </c:pt>
                <c:pt idx="9">
                  <c:v>4.2004882106101</c:v>
                </c:pt>
                <c:pt idx="10">
                  <c:v>5.640098778418829</c:v>
                </c:pt>
                <c:pt idx="11">
                  <c:v>7.4961428539161545</c:v>
                </c:pt>
                <c:pt idx="12">
                  <c:v>9.8691141700684106</c:v>
                </c:pt>
                <c:pt idx="13">
                  <c:v>12.880317680384588</c:v>
                </c:pt>
                <c:pt idx="14">
                  <c:v>16.676294841620564</c:v>
                </c:pt>
                <c:pt idx="15">
                  <c:v>21.434589559138622</c:v>
                </c:pt>
                <c:pt idx="16">
                  <c:v>27.371418690269035</c:v>
                </c:pt>
              </c:numCache>
            </c:numRef>
          </c:xVal>
          <c:yVal>
            <c:numRef>
              <c:f>'-'!$D$78:$T$78</c:f>
              <c:numCache>
                <c:formatCode>General</c:formatCode>
                <c:ptCount val="17"/>
                <c:pt idx="0">
                  <c:v>-20.005002320085211</c:v>
                </c:pt>
                <c:pt idx="1">
                  <c:v>-15.006008259174585</c:v>
                </c:pt>
                <c:pt idx="2">
                  <c:v>-10.006300421180811</c:v>
                </c:pt>
                <c:pt idx="3">
                  <c:v>-5.0048719556430887</c:v>
                </c:pt>
                <c:pt idx="4">
                  <c:v>0</c:v>
                </c:pt>
                <c:pt idx="5">
                  <c:v>5.0105741702279687</c:v>
                </c:pt>
                <c:pt idx="6">
                  <c:v>10.029819546647824</c:v>
                </c:pt>
                <c:pt idx="7">
                  <c:v>15.062222861024061</c:v>
                </c:pt>
                <c:pt idx="8">
                  <c:v>20.113963042850326</c:v>
                </c:pt>
                <c:pt idx="9">
                  <c:v>25.193388813656799</c:v>
                </c:pt>
                <c:pt idx="10">
                  <c:v>30.311601496867098</c:v>
                </c:pt>
                <c:pt idx="11">
                  <c:v>35.483167227514798</c:v>
                </c:pt>
                <c:pt idx="12">
                  <c:v>40.726992172527808</c:v>
                </c:pt>
                <c:pt idx="13">
                  <c:v>46.067408504800191</c:v>
                </c:pt>
                <c:pt idx="14">
                  <c:v>51.535540020070016</c:v>
                </c:pt>
                <c:pt idx="15">
                  <c:v>57.171048031584036</c:v>
                </c:pt>
                <c:pt idx="16">
                  <c:v>63.024406263202003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8-EBE6-4D25-8405-5E039FCEC7B0}"/>
            </c:ext>
          </c:extLst>
        </c:ser>
        <c:ser>
          <c:idx val="46"/>
          <c:order val="25"/>
          <c:spPr>
            <a:ln w="3175">
              <a:solidFill>
                <a:srgbClr val="000000"/>
              </a:solidFill>
              <a:prstDash val="solid"/>
            </a:ln>
          </c:spPr>
          <c:marker>
            <c:symbol val="none"/>
          </c:marker>
          <c:xVal>
            <c:numRef>
              <c:f>'-'!$D$75:$T$75</c:f>
              <c:numCache>
                <c:formatCode>General</c:formatCode>
                <c:ptCount val="17"/>
                <c:pt idx="2">
                  <c:v>0.51332059303791133</c:v>
                </c:pt>
                <c:pt idx="3">
                  <c:v>0.79399488792599981</c:v>
                </c:pt>
                <c:pt idx="4">
                  <c:v>1.2049123080574862</c:v>
                </c:pt>
                <c:pt idx="5">
                  <c:v>1.7241575557293394</c:v>
                </c:pt>
                <c:pt idx="6">
                  <c:v>2.4320147475114751</c:v>
                </c:pt>
                <c:pt idx="7">
                  <c:v>3.3848953234906629</c:v>
                </c:pt>
                <c:pt idx="8">
                  <c:v>4.6528058678341644</c:v>
                </c:pt>
                <c:pt idx="9">
                  <c:v>6.3220725531589315</c:v>
                </c:pt>
                <c:pt idx="10">
                  <c:v>8.4986673926196445</c:v>
                </c:pt>
                <c:pt idx="11">
                  <c:v>11.312358814535846</c:v>
                </c:pt>
                <c:pt idx="12">
                  <c:v>14.922015091963811</c:v>
                </c:pt>
                <c:pt idx="13">
                  <c:v>19.522547083389735</c:v>
                </c:pt>
                <c:pt idx="14">
                  <c:v>25.354215953135277</c:v>
                </c:pt>
                <c:pt idx="15">
                  <c:v>32.715401866243447</c:v>
                </c:pt>
                <c:pt idx="16">
                  <c:v>41.980517887487068</c:v>
                </c:pt>
              </c:numCache>
            </c:numRef>
          </c:xVal>
          <c:yVal>
            <c:numRef>
              <c:f>'-'!$D$76:$T$76</c:f>
              <c:numCache>
                <c:formatCode>General</c:formatCode>
                <c:ptCount val="17"/>
                <c:pt idx="2">
                  <c:v>-10.009453230723272</c:v>
                </c:pt>
                <c:pt idx="3">
                  <c:v>-5.0073110420373377</c:v>
                </c:pt>
                <c:pt idx="4">
                  <c:v>0</c:v>
                </c:pt>
                <c:pt idx="5">
                  <c:v>5.0158759062062197</c:v>
                </c:pt>
                <c:pt idx="6">
                  <c:v>10.044787598320507</c:v>
                </c:pt>
                <c:pt idx="7">
                  <c:v>15.093503544084545</c:v>
                </c:pt>
                <c:pt idx="8">
                  <c:v>20.171370671567754</c:v>
                </c:pt>
                <c:pt idx="9">
                  <c:v>25.291065716556325</c:v>
                </c:pt>
                <c:pt idx="10">
                  <c:v>30.46953033713681</c:v>
                </c:pt>
                <c:pt idx="11">
                  <c:v>35.729143127550778</c:v>
                </c:pt>
                <c:pt idx="12">
                  <c:v>41.099205864200101</c:v>
                </c:pt>
                <c:pt idx="13">
                  <c:v>46.617858604831412</c:v>
                </c:pt>
                <c:pt idx="14">
                  <c:v>52.334596122417409</c:v>
                </c:pt>
                <c:pt idx="15">
                  <c:v>58.313649119719507</c:v>
                </c:pt>
                <c:pt idx="16">
                  <c:v>64.638639402221344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9-EBE6-4D25-8405-5E039FCEC7B0}"/>
            </c:ext>
          </c:extLst>
        </c:ser>
        <c:ser>
          <c:idx val="45"/>
          <c:order val="26"/>
          <c:spPr>
            <a:ln w="3175">
              <a:solidFill>
                <a:srgbClr val="000000"/>
              </a:solidFill>
              <a:prstDash val="solid"/>
            </a:ln>
          </c:spPr>
          <c:marker>
            <c:symbol val="none"/>
          </c:marker>
          <c:xVal>
            <c:numRef>
              <c:f>'-'!$D$73:$T$73</c:f>
              <c:numCache>
                <c:formatCode>General</c:formatCode>
                <c:ptCount val="17"/>
                <c:pt idx="0">
                  <c:v>0.27169066491795946</c:v>
                </c:pt>
                <c:pt idx="1">
                  <c:v>0.43515869724156031</c:v>
                </c:pt>
                <c:pt idx="2">
                  <c:v>0.6846157287606579</c:v>
                </c:pt>
                <c:pt idx="3">
                  <c:v>1.0591103639156361</c:v>
                </c:pt>
                <c:pt idx="4">
                  <c:v>1.6075874607367364</c:v>
                </c:pt>
                <c:pt idx="5">
                  <c:v>2.301002150939393</c:v>
                </c:pt>
                <c:pt idx="6">
                  <c:v>3.2469167754679309</c:v>
                </c:pt>
                <c:pt idx="7">
                  <c:v>4.5213928654610109</c:v>
                </c:pt>
                <c:pt idx="8">
                  <c:v>6.2192436393250885</c:v>
                </c:pt>
                <c:pt idx="9">
                  <c:v>8.4580771174857539</c:v>
                </c:pt>
                <c:pt idx="10">
                  <c:v>11.38338530604838</c:v>
                </c:pt>
                <c:pt idx="11">
                  <c:v>15.175112469151824</c:v>
                </c:pt>
                <c:pt idx="12">
                  <c:v>20.056355080942424</c:v>
                </c:pt>
                <c:pt idx="13">
                  <c:v>26.305185580831161</c:v>
                </c:pt>
                <c:pt idx="14">
                  <c:v>34.271129477061152</c:v>
                </c:pt>
                <c:pt idx="15">
                  <c:v>44.398700031379001</c:v>
                </c:pt>
                <c:pt idx="16">
                  <c:v>57.261864154498319</c:v>
                </c:pt>
              </c:numCache>
            </c:numRef>
          </c:xVal>
          <c:yVal>
            <c:numRef>
              <c:f>'-'!$D$74:$T$74</c:f>
              <c:numCache>
                <c:formatCode>General</c:formatCode>
                <c:ptCount val="17"/>
                <c:pt idx="0">
                  <c:v>-20.010006824490048</c:v>
                </c:pt>
                <c:pt idx="1">
                  <c:v>-15.012020720448554</c:v>
                </c:pt>
                <c:pt idx="2">
                  <c:v>-10.012607774806879</c:v>
                </c:pt>
                <c:pt idx="3">
                  <c:v>-5.0097522043410052</c:v>
                </c:pt>
                <c:pt idx="4">
                  <c:v>0</c:v>
                </c:pt>
                <c:pt idx="5">
                  <c:v>5.0211874455482537</c:v>
                </c:pt>
                <c:pt idx="6">
                  <c:v>10.059794704973962</c:v>
                </c:pt>
                <c:pt idx="7">
                  <c:v>15.124897882125111</c:v>
                </c:pt>
                <c:pt idx="8">
                  <c:v>20.229065211270193</c:v>
                </c:pt>
                <c:pt idx="9">
                  <c:v>25.389406520755532</c:v>
                </c:pt>
                <c:pt idx="10">
                  <c:v>30.62890386146287</c:v>
                </c:pt>
                <c:pt idx="11">
                  <c:v>35.978118635387908</c:v>
                </c:pt>
                <c:pt idx="12">
                  <c:v>41.477418631705063</c:v>
                </c:pt>
                <c:pt idx="13">
                  <c:v>47.179944587243135</c:v>
                </c:pt>
                <c:pt idx="14">
                  <c:v>53.155658456798697</c:v>
                </c:pt>
                <c:pt idx="15">
                  <c:v>59.497016844762449</c:v>
                </c:pt>
                <c:pt idx="16">
                  <c:v>66.327152514497044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A-EBE6-4D25-8405-5E039FCEC7B0}"/>
            </c:ext>
          </c:extLst>
        </c:ser>
        <c:ser>
          <c:idx val="44"/>
          <c:order val="27"/>
          <c:spPr>
            <a:ln w="12700">
              <a:solidFill>
                <a:srgbClr val="000000"/>
              </a:solidFill>
              <a:prstDash val="solid"/>
            </a:ln>
          </c:spPr>
          <c:marker>
            <c:symbol val="none"/>
          </c:marker>
          <c:xVal>
            <c:numRef>
              <c:f>'-'!$D$71:$T$71</c:f>
              <c:numCache>
                <c:formatCode>General</c:formatCode>
                <c:ptCount val="17"/>
                <c:pt idx="2">
                  <c:v>0.85600512968100539</c:v>
                </c:pt>
                <c:pt idx="3">
                  <c:v>1.3244515760737172</c:v>
                </c:pt>
                <c:pt idx="4">
                  <c:v>2.0107831485566803</c:v>
                </c:pt>
                <c:pt idx="5">
                  <c:v>2.8789143682602814</c:v>
                </c:pt>
                <c:pt idx="6">
                  <c:v>4.0639478418929604</c:v>
                </c:pt>
                <c:pt idx="7">
                  <c:v>5.6620272637912876</c:v>
                </c:pt>
                <c:pt idx="8">
                  <c:v>7.7935297421315459</c:v>
                </c:pt>
                <c:pt idx="9">
                  <c:v>10.608649424398145</c:v>
                </c:pt>
                <c:pt idx="10">
                  <c:v>14.294612975900844</c:v>
                </c:pt>
                <c:pt idx="11">
                  <c:v>19.085260311500072</c:v>
                </c:pt>
                <c:pt idx="12">
                  <c:v>25.274118997826371</c:v>
                </c:pt>
                <c:pt idx="13">
                  <c:v>33.2327328621272</c:v>
                </c:pt>
                <c:pt idx="14">
                  <c:v>43.437046140924913</c:v>
                </c:pt>
                <c:pt idx="15">
                  <c:v>56.506415619805608</c:v>
                </c:pt>
                <c:pt idx="16">
                  <c:v>73.262951034366679</c:v>
                </c:pt>
              </c:numCache>
            </c:numRef>
          </c:xVal>
          <c:yVal>
            <c:numRef>
              <c:f>'-'!$D$72:$T$72</c:f>
              <c:numCache>
                <c:formatCode>General</c:formatCode>
                <c:ptCount val="17"/>
                <c:pt idx="2">
                  <c:v>-10.015764054863432</c:v>
                </c:pt>
                <c:pt idx="3">
                  <c:v>-5.0121954452054309</c:v>
                </c:pt>
                <c:pt idx="4">
                  <c:v>0</c:v>
                </c:pt>
                <c:pt idx="5">
                  <c:v>5.0265088154701196</c:v>
                </c:pt>
                <c:pt idx="6">
                  <c:v>10.074841019662582</c:v>
                </c:pt>
                <c:pt idx="7">
                  <c:v>15.15640649570275</c:v>
                </c:pt>
                <c:pt idx="8">
                  <c:v>20.287048818225042</c:v>
                </c:pt>
                <c:pt idx="9">
                  <c:v>25.488418018053974</c:v>
                </c:pt>
                <c:pt idx="10">
                  <c:v>30.789741984213137</c:v>
                </c:pt>
                <c:pt idx="11">
                  <c:v>36.230148956711538</c:v>
                </c:pt>
                <c:pt idx="12">
                  <c:v>41.861776686572554</c:v>
                </c:pt>
                <c:pt idx="13">
                  <c:v>47.754039347089162</c:v>
                </c:pt>
                <c:pt idx="14">
                  <c:v>53.999648803075267</c:v>
                </c:pt>
                <c:pt idx="15">
                  <c:v>60.723372591986248</c:v>
                </c:pt>
                <c:pt idx="16">
                  <c:v>68.095193401421113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B-EBE6-4D25-8405-5E039FCEC7B0}"/>
            </c:ext>
          </c:extLst>
        </c:ser>
        <c:ser>
          <c:idx val="43"/>
          <c:order val="28"/>
          <c:spPr>
            <a:ln w="3175">
              <a:solidFill>
                <a:srgbClr val="000000"/>
              </a:solidFill>
              <a:prstDash val="solid"/>
            </a:ln>
          </c:spPr>
          <c:marker>
            <c:symbol val="none"/>
          </c:marker>
          <c:xVal>
            <c:numRef>
              <c:f>'-'!$D$69:$T$69</c:f>
              <c:numCache>
                <c:formatCode>General</c:formatCode>
                <c:ptCount val="17"/>
                <c:pt idx="0">
                  <c:v>0.40762499440825367</c:v>
                </c:pt>
                <c:pt idx="1">
                  <c:v>0.6529663840180876</c:v>
                </c:pt>
                <c:pt idx="2">
                  <c:v>1.0274888736328025</c:v>
                </c:pt>
                <c:pt idx="3">
                  <c:v>1.5900188128322221</c:v>
                </c:pt>
                <c:pt idx="4">
                  <c:v>2.4145003815079136</c:v>
                </c:pt>
                <c:pt idx="5">
                  <c:v>3.4578971743646818</c:v>
                </c:pt>
                <c:pt idx="6">
                  <c:v>4.8831163012886956</c:v>
                </c:pt>
                <c:pt idx="7">
                  <c:v>6.8068211469300222</c:v>
                </c:pt>
                <c:pt idx="8">
                  <c:v>9.3757233081908922</c:v>
                </c:pt>
                <c:pt idx="9">
                  <c:v>12.773939013799161</c:v>
                </c:pt>
                <c:pt idx="10">
                  <c:v>17.232717514957368</c:v>
                </c:pt>
                <c:pt idx="11">
                  <c:v>23.043679982608502</c:v>
                </c:pt>
                <c:pt idx="12">
                  <c:v>30.577356732686056</c:v>
                </c:pt>
                <c:pt idx="13">
                  <c:v>40.309882961444735</c:v>
                </c:pt>
                <c:pt idx="14">
                  <c:v>52.862543684490774</c:v>
                </c:pt>
                <c:pt idx="15">
                  <c:v>69.06210308333759</c:v>
                </c:pt>
                <c:pt idx="16">
                  <c:v>90.035853792752661</c:v>
                </c:pt>
              </c:numCache>
            </c:numRef>
          </c:xVal>
          <c:yVal>
            <c:numRef>
              <c:f>'-'!$D$70:$T$70</c:f>
              <c:numCache>
                <c:formatCode>General</c:formatCode>
                <c:ptCount val="17"/>
                <c:pt idx="0">
                  <c:v>-20.015013514645531</c:v>
                </c:pt>
                <c:pt idx="1">
                  <c:v>-15.018037388231788</c:v>
                </c:pt>
                <c:pt idx="2">
                  <c:v>-10.018922072326307</c:v>
                </c:pt>
                <c:pt idx="3">
                  <c:v>-5.0146407672864743</c:v>
                </c:pt>
                <c:pt idx="4">
                  <c:v>0</c:v>
                </c:pt>
                <c:pt idx="5">
                  <c:v>5.0318400432887049</c:v>
                </c:pt>
                <c:pt idx="6">
                  <c:v>10.089926696241555</c:v>
                </c:pt>
                <c:pt idx="7">
                  <c:v>15.188030009900345</c:v>
                </c:pt>
                <c:pt idx="8">
                  <c:v>20.345323670361086</c:v>
                </c:pt>
                <c:pt idx="9">
                  <c:v>25.588107093209565</c:v>
                </c:pt>
                <c:pt idx="10">
                  <c:v>30.952064987460023</c:v>
                </c:pt>
                <c:pt idx="11">
                  <c:v>36.485290660265164</c:v>
                </c:pt>
                <c:pt idx="12">
                  <c:v>42.252431030605784</c:v>
                </c:pt>
                <c:pt idx="13">
                  <c:v>48.340531885022699</c:v>
                </c:pt>
                <c:pt idx="14">
                  <c:v>54.867541151146177</c:v>
                </c:pt>
                <c:pt idx="15">
                  <c:v>61.995102124183596</c:v>
                </c:pt>
                <c:pt idx="16">
                  <c:v>69.948516122050691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C-EBE6-4D25-8405-5E039FCEC7B0}"/>
            </c:ext>
          </c:extLst>
        </c:ser>
        <c:ser>
          <c:idx val="42"/>
          <c:order val="29"/>
          <c:spPr>
            <a:ln w="3175">
              <a:solidFill>
                <a:srgbClr val="000000"/>
              </a:solidFill>
              <a:prstDash val="solid"/>
            </a:ln>
          </c:spPr>
          <c:marker>
            <c:symbol val="none"/>
          </c:marker>
          <c:xVal>
            <c:numRef>
              <c:f>'-'!$D$67:$T$67</c:f>
              <c:numCache>
                <c:formatCode>General</c:formatCode>
                <c:ptCount val="17"/>
                <c:pt idx="2">
                  <c:v>1.199067038535611</c:v>
                </c:pt>
                <c:pt idx="3">
                  <c:v>1.8558123631147272</c:v>
                </c:pt>
                <c:pt idx="4">
                  <c:v>2.8187401721956244</c:v>
                </c:pt>
                <c:pt idx="5">
                  <c:v>4.037953546927052</c:v>
                </c:pt>
                <c:pt idx="6">
                  <c:v>5.7044305519260865</c:v>
                </c:pt>
                <c:pt idx="7">
                  <c:v>7.9557973086628939</c:v>
                </c:pt>
                <c:pt idx="8">
                  <c:v>10.965884064962339</c:v>
                </c:pt>
                <c:pt idx="9">
                  <c:v>14.954097479349752</c:v>
                </c:pt>
                <c:pt idx="10">
                  <c:v>20.198072845908442</c:v>
                </c:pt>
                <c:pt idx="11">
                  <c:v>27.051270927523234</c:v>
                </c:pt>
                <c:pt idx="12">
                  <c:v>35.968185889994302</c:v>
                </c:pt>
                <c:pt idx="13">
                  <c:v>47.541534864586765</c:v>
                </c:pt>
                <c:pt idx="14">
                  <c:v>62.558807581174477</c:v>
                </c:pt>
                <c:pt idx="15">
                  <c:v>82.091092702128677</c:v>
                </c:pt>
                <c:pt idx="16">
                  <c:v>107.63779557316913</c:v>
                </c:pt>
              </c:numCache>
            </c:numRef>
          </c:xVal>
          <c:yVal>
            <c:numRef>
              <c:f>'-'!$D$68:$T$68</c:f>
              <c:numCache>
                <c:formatCode>General</c:formatCode>
                <c:ptCount val="17"/>
                <c:pt idx="2">
                  <c:v>-10.022081828630457</c:v>
                </c:pt>
                <c:pt idx="3">
                  <c:v>-5.0170881732445221</c:v>
                </c:pt>
                <c:pt idx="4">
                  <c:v>0</c:v>
                </c:pt>
                <c:pt idx="5">
                  <c:v>5.0371811564221991</c:v>
                </c:pt>
                <c:pt idx="6">
                  <c:v>10.105051889372103</c:v>
                </c:pt>
                <c:pt idx="7">
                  <c:v>15.219769054368015</c:v>
                </c:pt>
                <c:pt idx="8">
                  <c:v>20.403891967541185</c:v>
                </c:pt>
                <c:pt idx="9">
                  <c:v>25.688480725534422</c:v>
                </c:pt>
                <c:pt idx="10">
                  <c:v>31.115893529506625</c:v>
                </c:pt>
                <c:pt idx="11">
                  <c:v>36.743601720179967</c:v>
                </c:pt>
                <c:pt idx="12">
                  <c:v>42.649537653678792</c:v>
                </c:pt>
                <c:pt idx="13">
                  <c:v>48.939828186302883</c:v>
                </c:pt>
                <c:pt idx="14">
                  <c:v>55.760365450543794</c:v>
                </c:pt>
                <c:pt idx="15">
                  <c:v>63.314771072700751</c:v>
                </c:pt>
                <c:pt idx="16">
                  <c:v>71.893443550461072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D-EBE6-4D25-8405-5E039FCEC7B0}"/>
            </c:ext>
          </c:extLst>
        </c:ser>
        <c:ser>
          <c:idx val="41"/>
          <c:order val="30"/>
          <c:spPr>
            <a:ln w="3175">
              <a:solidFill>
                <a:srgbClr val="000000"/>
              </a:solidFill>
              <a:prstDash val="solid"/>
            </a:ln>
          </c:spPr>
          <c:marker>
            <c:symbol val="none"/>
          </c:marker>
          <c:xVal>
            <c:numRef>
              <c:f>'-'!$D$65:$T$65</c:f>
              <c:numCache>
                <c:formatCode>General</c:formatCode>
                <c:ptCount val="17"/>
                <c:pt idx="0">
                  <c:v>0.54361870709080673</c:v>
                </c:pt>
                <c:pt idx="1">
                  <c:v>0.87092650930983906</c:v>
                </c:pt>
                <c:pt idx="2">
                  <c:v>1.3707397023948227</c:v>
                </c:pt>
                <c:pt idx="3">
                  <c:v>2.1218325163374527</c:v>
                </c:pt>
                <c:pt idx="4">
                  <c:v>3.2235035358480615</c:v>
                </c:pt>
                <c:pt idx="5">
                  <c:v>4.6190864746746723</c:v>
                </c:pt>
                <c:pt idx="6">
                  <c:v>6.5278990361319016</c:v>
                </c:pt>
                <c:pt idx="7">
                  <c:v>9.1089787096255499</c:v>
                </c:pt>
                <c:pt idx="8">
                  <c:v>12.56407234294279</c:v>
                </c:pt>
                <c:pt idx="9">
                  <c:v>17.149278503847722</c:v>
                </c:pt>
                <c:pt idx="10">
                  <c:v>23.19105985999445</c:v>
                </c:pt>
                <c:pt idx="11">
                  <c:v>31.108955076661282</c:v>
                </c:pt>
                <c:pt idx="12">
                  <c:v>41.448794607937302</c:v>
                </c:pt>
                <c:pt idx="13">
                  <c:v>54.932803818225828</c:v>
                </c:pt>
                <c:pt idx="14">
                  <c:v>72.537675320012951</c:v>
                </c:pt>
                <c:pt idx="15">
                  <c:v>95.620661154705758</c:v>
                </c:pt>
                <c:pt idx="16">
                  <c:v>126.13179963008344</c:v>
                </c:pt>
              </c:numCache>
            </c:numRef>
          </c:xVal>
          <c:yVal>
            <c:numRef>
              <c:f>'-'!$D$66:$T$66</c:f>
              <c:numCache>
                <c:formatCode>General</c:formatCode>
                <c:ptCount val="17"/>
                <c:pt idx="0">
                  <c:v>-20.020022391983936</c:v>
                </c:pt>
                <c:pt idx="1">
                  <c:v>-15.02405826694034</c:v>
                </c:pt>
                <c:pt idx="2">
                  <c:v>-10.025243325212418</c:v>
                </c:pt>
                <c:pt idx="3">
                  <c:v>-5.019537665744493</c:v>
                </c:pt>
                <c:pt idx="4">
                  <c:v>0</c:v>
                </c:pt>
                <c:pt idx="5">
                  <c:v>5.042532182390568</c:v>
                </c:pt>
                <c:pt idx="6">
                  <c:v>10.120216754526785</c:v>
                </c:pt>
                <c:pt idx="7">
                  <c:v>15.251624263364905</c:v>
                </c:pt>
                <c:pt idx="8">
                  <c:v>20.46275593183908</c:v>
                </c:pt>
                <c:pt idx="9">
                  <c:v>25.789545990523681</c:v>
                </c:pt>
                <c:pt idx="10">
                  <c:v>31.281248653651179</c:v>
                </c:pt>
                <c:pt idx="11">
                  <c:v>37.005141559891733</c:v>
                </c:pt>
                <c:pt idx="12">
                  <c:v>43.053257741416374</c:v>
                </c:pt>
                <c:pt idx="13">
                  <c:v>49.552352158005448</c:v>
                </c:pt>
                <c:pt idx="14">
                  <c:v>56.679211687882379</c:v>
                </c:pt>
                <c:pt idx="15">
                  <c:v>64.685142213986538</c:v>
                </c:pt>
                <c:pt idx="16">
                  <c:v>73.936939444274572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E-EBE6-4D25-8405-5E039FCEC7B0}"/>
            </c:ext>
          </c:extLst>
        </c:ser>
        <c:ser>
          <c:idx val="40"/>
          <c:order val="31"/>
          <c:spPr>
            <a:ln w="3175">
              <a:solidFill>
                <a:srgbClr val="000000"/>
              </a:solidFill>
              <a:prstDash val="solid"/>
            </a:ln>
          </c:spPr>
          <c:marker>
            <c:symbol val="none"/>
          </c:marker>
          <c:xVal>
            <c:numRef>
              <c:f>'-'!$D$63:$T$63</c:f>
              <c:numCache>
                <c:formatCode>General</c:formatCode>
                <c:ptCount val="17"/>
                <c:pt idx="2">
                  <c:v>1.5425069433017784</c:v>
                </c:pt>
                <c:pt idx="3">
                  <c:v>2.3880795624103173</c:v>
                </c:pt>
                <c:pt idx="4">
                  <c:v>3.6287914903250349</c:v>
                </c:pt>
                <c:pt idx="5">
                  <c:v>5.2012989574389827</c:v>
                </c:pt>
                <c:pt idx="6">
                  <c:v>7.353530240578003</c:v>
                </c:pt>
                <c:pt idx="7">
                  <c:v>10.266388478833093</c:v>
                </c:pt>
                <c:pt idx="8">
                  <c:v>14.170349083296838</c:v>
                </c:pt>
                <c:pt idx="9">
                  <c:v>19.359637895340587</c:v>
                </c:pt>
                <c:pt idx="10">
                  <c:v>26.212066580100899</c:v>
                </c:pt>
                <c:pt idx="11">
                  <c:v>35.217677552873781</c:v>
                </c:pt>
                <c:pt idx="12">
                  <c:v>47.021444519767698</c:v>
                </c:pt>
                <c:pt idx="13">
                  <c:v>62.489033396346251</c:v>
                </c:pt>
                <c:pt idx="14">
                  <c:v>82.811684616771814</c:v>
                </c:pt>
                <c:pt idx="15">
                  <c:v>109.68022213317471</c:v>
                </c:pt>
                <c:pt idx="16">
                  <c:v>145.58744330524235</c:v>
                </c:pt>
              </c:numCache>
            </c:numRef>
          </c:xVal>
          <c:yVal>
            <c:numRef>
              <c:f>'-'!$D$64:$T$64</c:f>
              <c:numCache>
                <c:formatCode>General</c:formatCode>
                <c:ptCount val="17"/>
                <c:pt idx="2">
                  <c:v>-10.028406563510309</c:v>
                </c:pt>
                <c:pt idx="3">
                  <c:v>-5.0219892474558572</c:v>
                </c:pt>
                <c:pt idx="4">
                  <c:v>0</c:v>
                </c:pt>
                <c:pt idx="5">
                  <c:v>5.0478931488160219</c:v>
                </c:pt>
                <c:pt idx="6">
                  <c:v>10.135421447994803</c:v>
                </c:pt>
                <c:pt idx="7">
                  <c:v>15.283596275801429</c:v>
                </c:pt>
                <c:pt idx="8">
                  <c:v>20.521917807820437</c:v>
                </c:pt>
                <c:pt idx="9">
                  <c:v>25.891310061518155</c:v>
                </c:pt>
                <c:pt idx="10">
                  <c:v>31.448151797197653</c:v>
                </c:pt>
                <c:pt idx="11">
                  <c:v>37.269971097714937</c:v>
                </c:pt>
                <c:pt idx="12">
                  <c:v>43.463757893337338</c:v>
                </c:pt>
                <c:pt idx="13">
                  <c:v>50.178546628984336</c:v>
                </c:pt>
                <c:pt idx="14">
                  <c:v>57.625234326098791</c:v>
                </c:pt>
                <c:pt idx="15">
                  <c:v>66.109194776459177</c:v>
                </c:pt>
                <c:pt idx="16">
                  <c:v>76.086691755311932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F-EBE6-4D25-8405-5E039FCEC7B0}"/>
            </c:ext>
          </c:extLst>
        </c:ser>
        <c:ser>
          <c:idx val="39"/>
          <c:order val="32"/>
          <c:spPr>
            <a:ln w="25400">
              <a:solidFill>
                <a:srgbClr val="000000"/>
              </a:solidFill>
              <a:prstDash val="solid"/>
            </a:ln>
          </c:spPr>
          <c:marker>
            <c:symbol val="none"/>
          </c:marker>
          <c:xVal>
            <c:numRef>
              <c:f>'-'!$D$61:$T$61</c:f>
              <c:numCache>
                <c:formatCode>General</c:formatCode>
                <c:ptCount val="17"/>
                <c:pt idx="0">
                  <c:v>0.67967184188662499</c:v>
                </c:pt>
                <c:pt idx="1">
                  <c:v>1.0890392332050733</c:v>
                </c:pt>
                <c:pt idx="2">
                  <c:v>1.7143688394338854</c:v>
                </c:pt>
                <c:pt idx="3">
                  <c:v>2.6545537917379836</c:v>
                </c:pt>
                <c:pt idx="4">
                  <c:v>4.0346050561264439</c:v>
                </c:pt>
                <c:pt idx="5">
                  <c:v>5.7845940062071923</c:v>
                </c:pt>
                <c:pt idx="6">
                  <c:v>8.181332696572877</c:v>
                </c:pt>
                <c:pt idx="7">
                  <c:v>11.428049915226383</c:v>
                </c:pt>
                <c:pt idx="8">
                  <c:v>15.784775845602827</c:v>
                </c:pt>
                <c:pt idx="9">
                  <c:v>21.585333623990088</c:v>
                </c:pt>
                <c:pt idx="10">
                  <c:v>29.261488328455677</c:v>
                </c:pt>
                <c:pt idx="11">
                  <c:v>39.378407405358814</c:v>
                </c:pt>
                <c:pt idx="12">
                  <c:v>52.688473865619855</c:v>
                </c:pt>
                <c:pt idx="13">
                  <c:v>70.215808383711476</c:v>
                </c:pt>
                <c:pt idx="14">
                  <c:v>93.394125967033673</c:v>
                </c:pt>
                <c:pt idx="15">
                  <c:v>124.30153980679998</c:v>
                </c:pt>
                <c:pt idx="16">
                  <c:v>166.08173275780035</c:v>
                </c:pt>
              </c:numCache>
            </c:numRef>
          </c:xVal>
          <c:yVal>
            <c:numRef>
              <c:f>'-'!$D$62:$T$62</c:f>
              <c:numCache>
                <c:formatCode>General</c:formatCode>
                <c:ptCount val="17"/>
                <c:pt idx="0">
                  <c:v>-20.025033457938793</c:v>
                </c:pt>
                <c:pt idx="1">
                  <c:v>-15.030083360996457</c:v>
                </c:pt>
                <c:pt idx="2">
                  <c:v>-10.03157154496383</c:v>
                </c:pt>
                <c:pt idx="3">
                  <c:v>-5.0244429210526365</c:v>
                </c:pt>
                <c:pt idx="4">
                  <c:v>0</c:v>
                </c:pt>
                <c:pt idx="5">
                  <c:v>5.0532640834234916</c:v>
                </c:pt>
                <c:pt idx="6">
                  <c:v>10.150666126887382</c:v>
                </c:pt>
                <c:pt idx="7">
                  <c:v>15.315685735281996</c:v>
                </c:pt>
                <c:pt idx="8">
                  <c:v>20.581379862828143</c:v>
                </c:pt>
                <c:pt idx="9">
                  <c:v>25.993780211401521</c:v>
                </c:pt>
                <c:pt idx="10">
                  <c:v>31.616624800720622</c:v>
                </c:pt>
                <c:pt idx="11">
                  <c:v>37.538152794147386</c:v>
                </c:pt>
                <c:pt idx="12">
                  <c:v>43.881210352081304</c:v>
                </c:pt>
                <c:pt idx="13">
                  <c:v>50.818874417541238</c:v>
                </c:pt>
                <c:pt idx="14">
                  <c:v>58.599657143499144</c:v>
                </c:pt>
                <c:pt idx="15">
                  <c:v>67.59014606161945</c:v>
                </c:pt>
                <c:pt idx="16">
                  <c:v>78.351209282941113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20-EBE6-4D25-8405-5E039FCEC7B0}"/>
            </c:ext>
          </c:extLst>
        </c:ser>
        <c:ser>
          <c:idx val="30"/>
          <c:order val="33"/>
          <c:spPr>
            <a:ln w="3175">
              <a:solidFill>
                <a:srgbClr val="000000"/>
              </a:solidFill>
              <a:prstDash val="solid"/>
            </a:ln>
          </c:spPr>
          <c:marker>
            <c:symbol val="none"/>
          </c:marker>
          <c:xVal>
            <c:numRef>
              <c:f>'-'!$C$26:$G$26</c:f>
              <c:numCache>
                <c:formatCode>General</c:formatCode>
                <c:ptCount val="5"/>
                <c:pt idx="0">
                  <c:v>0</c:v>
                </c:pt>
                <c:pt idx="1">
                  <c:v>25</c:v>
                </c:pt>
              </c:numCache>
            </c:numRef>
          </c:xVal>
          <c:yVal>
            <c:numRef>
              <c:f>'-'!$C$43:$F$43</c:f>
              <c:numCache>
                <c:formatCode>General</c:formatCode>
                <c:ptCount val="4"/>
                <c:pt idx="0">
                  <c:v>39.603960396039604</c:v>
                </c:pt>
                <c:pt idx="1">
                  <c:v>-22.301980198019802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1-EBE6-4D25-8405-5E039FCEC7B0}"/>
            </c:ext>
          </c:extLst>
        </c:ser>
        <c:ser>
          <c:idx val="29"/>
          <c:order val="34"/>
          <c:spPr>
            <a:ln w="3175">
              <a:solidFill>
                <a:srgbClr val="000000"/>
              </a:solidFill>
              <a:prstDash val="solid"/>
            </a:ln>
          </c:spPr>
          <c:marker>
            <c:symbol val="none"/>
          </c:marker>
          <c:xVal>
            <c:numRef>
              <c:f>'-'!$C$26:$G$26</c:f>
              <c:numCache>
                <c:formatCode>General</c:formatCode>
                <c:ptCount val="5"/>
                <c:pt idx="0">
                  <c:v>0</c:v>
                </c:pt>
                <c:pt idx="1">
                  <c:v>25</c:v>
                </c:pt>
              </c:numCache>
            </c:numRef>
          </c:xVal>
          <c:yVal>
            <c:numRef>
              <c:f>'-'!$C$42:$F$42</c:f>
              <c:numCache>
                <c:formatCode>General</c:formatCode>
                <c:ptCount val="4"/>
                <c:pt idx="0">
                  <c:v>44.554455445544555</c:v>
                </c:pt>
                <c:pt idx="1">
                  <c:v>-17.35148514851485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2-EBE6-4D25-8405-5E039FCEC7B0}"/>
            </c:ext>
          </c:extLst>
        </c:ser>
        <c:ser>
          <c:idx val="28"/>
          <c:order val="35"/>
          <c:spPr>
            <a:ln w="3175">
              <a:solidFill>
                <a:srgbClr val="000000"/>
              </a:solidFill>
              <a:prstDash val="solid"/>
            </a:ln>
          </c:spPr>
          <c:marker>
            <c:symbol val="none"/>
          </c:marker>
          <c:xVal>
            <c:numRef>
              <c:f>'-'!$C$26:$G$26</c:f>
              <c:numCache>
                <c:formatCode>General</c:formatCode>
                <c:ptCount val="5"/>
                <c:pt idx="0">
                  <c:v>0</c:v>
                </c:pt>
                <c:pt idx="1">
                  <c:v>25</c:v>
                </c:pt>
              </c:numCache>
            </c:numRef>
          </c:xVal>
          <c:yVal>
            <c:numRef>
              <c:f>'-'!$C$41:$F$41</c:f>
              <c:numCache>
                <c:formatCode>General</c:formatCode>
                <c:ptCount val="4"/>
                <c:pt idx="0">
                  <c:v>49.504950495049506</c:v>
                </c:pt>
                <c:pt idx="1">
                  <c:v>-12.400990099009899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3-EBE6-4D25-8405-5E039FCEC7B0}"/>
            </c:ext>
          </c:extLst>
        </c:ser>
        <c:ser>
          <c:idx val="27"/>
          <c:order val="36"/>
          <c:tx>
            <c:v>55</c:v>
          </c:tx>
          <c:spPr>
            <a:ln w="3175">
              <a:solidFill>
                <a:srgbClr val="000000"/>
              </a:solidFill>
              <a:prstDash val="solid"/>
            </a:ln>
          </c:spPr>
          <c:marker>
            <c:symbol val="none"/>
          </c:marker>
          <c:xVal>
            <c:numRef>
              <c:f>'-'!$C$26:$G$26</c:f>
              <c:numCache>
                <c:formatCode>General</c:formatCode>
                <c:ptCount val="5"/>
                <c:pt idx="0">
                  <c:v>0</c:v>
                </c:pt>
                <c:pt idx="1">
                  <c:v>25</c:v>
                </c:pt>
              </c:numCache>
            </c:numRef>
          </c:xVal>
          <c:yVal>
            <c:numRef>
              <c:f>'-'!$C$40:$F$40</c:f>
              <c:numCache>
                <c:formatCode>General</c:formatCode>
                <c:ptCount val="4"/>
                <c:pt idx="0">
                  <c:v>54.455445544554458</c:v>
                </c:pt>
                <c:pt idx="1">
                  <c:v>-7.4504950495049487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4-EBE6-4D25-8405-5E039FCEC7B0}"/>
            </c:ext>
          </c:extLst>
        </c:ser>
        <c:ser>
          <c:idx val="26"/>
          <c:order val="37"/>
          <c:spPr>
            <a:ln w="3175">
              <a:solidFill>
                <a:srgbClr val="000000"/>
              </a:solidFill>
              <a:prstDash val="solid"/>
            </a:ln>
          </c:spPr>
          <c:marker>
            <c:symbol val="none"/>
          </c:marker>
          <c:xVal>
            <c:numRef>
              <c:f>'-'!$C$26:$G$26</c:f>
              <c:numCache>
                <c:formatCode>General</c:formatCode>
                <c:ptCount val="5"/>
                <c:pt idx="0">
                  <c:v>0</c:v>
                </c:pt>
                <c:pt idx="1">
                  <c:v>25</c:v>
                </c:pt>
              </c:numCache>
            </c:numRef>
          </c:xVal>
          <c:yVal>
            <c:numRef>
              <c:f>'-'!$C$39:$F$39</c:f>
              <c:numCache>
                <c:formatCode>General</c:formatCode>
                <c:ptCount val="4"/>
                <c:pt idx="0">
                  <c:v>59.405940594059409</c:v>
                </c:pt>
                <c:pt idx="1">
                  <c:v>-2.4999999999999987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5-EBE6-4D25-8405-5E039FCEC7B0}"/>
            </c:ext>
          </c:extLst>
        </c:ser>
        <c:ser>
          <c:idx val="25"/>
          <c:order val="38"/>
          <c:spPr>
            <a:ln w="3175">
              <a:solidFill>
                <a:srgbClr val="000000"/>
              </a:solidFill>
              <a:prstDash val="solid"/>
            </a:ln>
          </c:spPr>
          <c:marker>
            <c:symbol val="none"/>
          </c:marker>
          <c:xVal>
            <c:numRef>
              <c:f>'-'!$C$26:$G$26</c:f>
              <c:numCache>
                <c:formatCode>General</c:formatCode>
                <c:ptCount val="5"/>
                <c:pt idx="0">
                  <c:v>0</c:v>
                </c:pt>
                <c:pt idx="1">
                  <c:v>25</c:v>
                </c:pt>
              </c:numCache>
            </c:numRef>
          </c:xVal>
          <c:yVal>
            <c:numRef>
              <c:f>'-'!$C$38:$F$38</c:f>
              <c:numCache>
                <c:formatCode>General</c:formatCode>
                <c:ptCount val="4"/>
                <c:pt idx="0">
                  <c:v>64.356435643564353</c:v>
                </c:pt>
                <c:pt idx="1">
                  <c:v>2.4504950495049518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6-EBE6-4D25-8405-5E039FCEC7B0}"/>
            </c:ext>
          </c:extLst>
        </c:ser>
        <c:ser>
          <c:idx val="24"/>
          <c:order val="39"/>
          <c:spPr>
            <a:ln w="3175">
              <a:solidFill>
                <a:srgbClr val="000000"/>
              </a:solidFill>
              <a:prstDash val="solid"/>
            </a:ln>
          </c:spPr>
          <c:marker>
            <c:symbol val="none"/>
          </c:marker>
          <c:xVal>
            <c:numRef>
              <c:f>'-'!$C$26:$G$26</c:f>
              <c:numCache>
                <c:formatCode>General</c:formatCode>
                <c:ptCount val="5"/>
                <c:pt idx="0">
                  <c:v>0</c:v>
                </c:pt>
                <c:pt idx="1">
                  <c:v>25</c:v>
                </c:pt>
              </c:numCache>
            </c:numRef>
          </c:xVal>
          <c:yVal>
            <c:numRef>
              <c:f>'-'!$C$37:$F$37</c:f>
              <c:numCache>
                <c:formatCode>General</c:formatCode>
                <c:ptCount val="4"/>
                <c:pt idx="0">
                  <c:v>69.306930693069305</c:v>
                </c:pt>
                <c:pt idx="1">
                  <c:v>7.4009900990099027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7-EBE6-4D25-8405-5E039FCEC7B0}"/>
            </c:ext>
          </c:extLst>
        </c:ser>
        <c:ser>
          <c:idx val="23"/>
          <c:order val="40"/>
          <c:spPr>
            <a:ln w="3175">
              <a:solidFill>
                <a:srgbClr val="000000"/>
              </a:solidFill>
              <a:prstDash val="solid"/>
            </a:ln>
          </c:spPr>
          <c:marker>
            <c:symbol val="none"/>
          </c:marker>
          <c:xVal>
            <c:numRef>
              <c:f>'-'!$C$26:$G$26</c:f>
              <c:numCache>
                <c:formatCode>General</c:formatCode>
                <c:ptCount val="5"/>
                <c:pt idx="0">
                  <c:v>0</c:v>
                </c:pt>
                <c:pt idx="1">
                  <c:v>25</c:v>
                </c:pt>
              </c:numCache>
            </c:numRef>
          </c:xVal>
          <c:yVal>
            <c:numRef>
              <c:f>'-'!$C$36:$F$36</c:f>
              <c:numCache>
                <c:formatCode>General</c:formatCode>
                <c:ptCount val="4"/>
                <c:pt idx="0">
                  <c:v>74.257425742574256</c:v>
                </c:pt>
                <c:pt idx="1">
                  <c:v>12.351485148514852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8-EBE6-4D25-8405-5E039FCEC7B0}"/>
            </c:ext>
          </c:extLst>
        </c:ser>
        <c:ser>
          <c:idx val="22"/>
          <c:order val="41"/>
          <c:spPr>
            <a:ln w="3175">
              <a:solidFill>
                <a:srgbClr val="000000"/>
              </a:solidFill>
              <a:prstDash val="solid"/>
            </a:ln>
          </c:spPr>
          <c:marker>
            <c:symbol val="none"/>
          </c:marker>
          <c:xVal>
            <c:numRef>
              <c:f>'-'!$C$26:$G$26</c:f>
              <c:numCache>
                <c:formatCode>General</c:formatCode>
                <c:ptCount val="5"/>
                <c:pt idx="0">
                  <c:v>0</c:v>
                </c:pt>
                <c:pt idx="1">
                  <c:v>25</c:v>
                </c:pt>
              </c:numCache>
            </c:numRef>
          </c:xVal>
          <c:yVal>
            <c:numRef>
              <c:f>'-'!$C$35:$F$35</c:f>
              <c:numCache>
                <c:formatCode>General</c:formatCode>
                <c:ptCount val="4"/>
                <c:pt idx="0">
                  <c:v>79.207920792079207</c:v>
                </c:pt>
                <c:pt idx="1">
                  <c:v>17.301980198019802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9-EBE6-4D25-8405-5E039FCEC7B0}"/>
            </c:ext>
          </c:extLst>
        </c:ser>
        <c:ser>
          <c:idx val="21"/>
          <c:order val="42"/>
          <c:spPr>
            <a:ln w="3175">
              <a:solidFill>
                <a:srgbClr val="000000"/>
              </a:solidFill>
              <a:prstDash val="solid"/>
            </a:ln>
          </c:spPr>
          <c:marker>
            <c:symbol val="none"/>
          </c:marker>
          <c:xVal>
            <c:numRef>
              <c:f>'-'!$C$26:$G$26</c:f>
              <c:numCache>
                <c:formatCode>General</c:formatCode>
                <c:ptCount val="5"/>
                <c:pt idx="0">
                  <c:v>0</c:v>
                </c:pt>
                <c:pt idx="1">
                  <c:v>25</c:v>
                </c:pt>
              </c:numCache>
            </c:numRef>
          </c:xVal>
          <c:yVal>
            <c:numRef>
              <c:f>'-'!$C$34:$F$34</c:f>
              <c:numCache>
                <c:formatCode>General</c:formatCode>
                <c:ptCount val="4"/>
                <c:pt idx="0">
                  <c:v>84.158415841584159</c:v>
                </c:pt>
                <c:pt idx="1">
                  <c:v>22.252475247524753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A-EBE6-4D25-8405-5E039FCEC7B0}"/>
            </c:ext>
          </c:extLst>
        </c:ser>
        <c:ser>
          <c:idx val="20"/>
          <c:order val="43"/>
          <c:spPr>
            <a:ln w="3175">
              <a:solidFill>
                <a:srgbClr val="000000"/>
              </a:solidFill>
              <a:prstDash val="solid"/>
            </a:ln>
          </c:spPr>
          <c:marker>
            <c:symbol val="none"/>
          </c:marker>
          <c:xVal>
            <c:numRef>
              <c:f>'-'!$C$26:$D$26</c:f>
              <c:numCache>
                <c:formatCode>General</c:formatCode>
                <c:ptCount val="2"/>
                <c:pt idx="0">
                  <c:v>0</c:v>
                </c:pt>
                <c:pt idx="1">
                  <c:v>25</c:v>
                </c:pt>
              </c:numCache>
            </c:numRef>
          </c:xVal>
          <c:yVal>
            <c:numRef>
              <c:f>'-'!$C$33:$D$33</c:f>
              <c:numCache>
                <c:formatCode>General</c:formatCode>
                <c:ptCount val="2"/>
                <c:pt idx="0">
                  <c:v>89.10891089108911</c:v>
                </c:pt>
                <c:pt idx="1">
                  <c:v>27.202970297029704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B-EBE6-4D25-8405-5E039FCEC7B0}"/>
            </c:ext>
          </c:extLst>
        </c:ser>
        <c:ser>
          <c:idx val="19"/>
          <c:order val="44"/>
          <c:spPr>
            <a:ln w="3175">
              <a:solidFill>
                <a:srgbClr val="000000"/>
              </a:solidFill>
              <a:prstDash val="solid"/>
            </a:ln>
          </c:spPr>
          <c:marker>
            <c:symbol val="none"/>
          </c:marker>
          <c:xVal>
            <c:numRef>
              <c:f>'-'!$C$26:$D$26</c:f>
              <c:numCache>
                <c:formatCode>General</c:formatCode>
                <c:ptCount val="2"/>
                <c:pt idx="0">
                  <c:v>0</c:v>
                </c:pt>
                <c:pt idx="1">
                  <c:v>25</c:v>
                </c:pt>
              </c:numCache>
            </c:numRef>
          </c:xVal>
          <c:yVal>
            <c:numRef>
              <c:f>'-'!$C$32:$D$32</c:f>
              <c:numCache>
                <c:formatCode>General</c:formatCode>
                <c:ptCount val="2"/>
                <c:pt idx="0">
                  <c:v>94.059405940594061</c:v>
                </c:pt>
                <c:pt idx="1">
                  <c:v>32.153465346534652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C-EBE6-4D25-8405-5E039FCEC7B0}"/>
            </c:ext>
          </c:extLst>
        </c:ser>
        <c:ser>
          <c:idx val="18"/>
          <c:order val="45"/>
          <c:spPr>
            <a:ln w="3175">
              <a:solidFill>
                <a:srgbClr val="000000"/>
              </a:solidFill>
              <a:prstDash val="solid"/>
            </a:ln>
          </c:spPr>
          <c:marker>
            <c:symbol val="none"/>
          </c:marker>
          <c:xVal>
            <c:numRef>
              <c:f>'-'!$C$26:$D$26</c:f>
              <c:numCache>
                <c:formatCode>General</c:formatCode>
                <c:ptCount val="2"/>
                <c:pt idx="0">
                  <c:v>0</c:v>
                </c:pt>
                <c:pt idx="1">
                  <c:v>25</c:v>
                </c:pt>
              </c:numCache>
            </c:numRef>
          </c:xVal>
          <c:yVal>
            <c:numRef>
              <c:f>'-'!$C$31:$FD$31</c:f>
              <c:numCache>
                <c:formatCode>General</c:formatCode>
                <c:ptCount val="158"/>
                <c:pt idx="0">
                  <c:v>99.009900990099013</c:v>
                </c:pt>
                <c:pt idx="1">
                  <c:v>37.103960396039604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D-EBE6-4D25-8405-5E039FCEC7B0}"/>
            </c:ext>
          </c:extLst>
        </c:ser>
        <c:ser>
          <c:idx val="17"/>
          <c:order val="46"/>
          <c:spPr>
            <a:ln w="3175">
              <a:solidFill>
                <a:srgbClr val="000000"/>
              </a:solidFill>
              <a:prstDash val="solid"/>
            </a:ln>
          </c:spPr>
          <c:marker>
            <c:symbol val="none"/>
          </c:marker>
          <c:xVal>
            <c:numRef>
              <c:f>'-'!$C$26:$D$26</c:f>
              <c:numCache>
                <c:formatCode>General</c:formatCode>
                <c:ptCount val="2"/>
                <c:pt idx="0">
                  <c:v>0</c:v>
                </c:pt>
                <c:pt idx="1">
                  <c:v>25</c:v>
                </c:pt>
              </c:numCache>
            </c:numRef>
          </c:xVal>
          <c:yVal>
            <c:numRef>
              <c:f>'-'!$C$30:$D$30</c:f>
              <c:numCache>
                <c:formatCode>General</c:formatCode>
                <c:ptCount val="2"/>
                <c:pt idx="0">
                  <c:v>103.96039603960396</c:v>
                </c:pt>
                <c:pt idx="1">
                  <c:v>42.054455445544555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E-EBE6-4D25-8405-5E039FCEC7B0}"/>
            </c:ext>
          </c:extLst>
        </c:ser>
        <c:ser>
          <c:idx val="16"/>
          <c:order val="47"/>
          <c:spPr>
            <a:ln w="3175">
              <a:solidFill>
                <a:srgbClr val="000000"/>
              </a:solidFill>
              <a:prstDash val="solid"/>
            </a:ln>
          </c:spPr>
          <c:marker>
            <c:symbol val="none"/>
          </c:marker>
          <c:xVal>
            <c:numRef>
              <c:f>'-'!$C$26:$D$26</c:f>
              <c:numCache>
                <c:formatCode>General</c:formatCode>
                <c:ptCount val="2"/>
                <c:pt idx="0">
                  <c:v>0</c:v>
                </c:pt>
                <c:pt idx="1">
                  <c:v>25</c:v>
                </c:pt>
              </c:numCache>
            </c:numRef>
          </c:xVal>
          <c:yVal>
            <c:numRef>
              <c:f>'-'!$C$29:$D$29</c:f>
              <c:numCache>
                <c:formatCode>General</c:formatCode>
                <c:ptCount val="2"/>
                <c:pt idx="0">
                  <c:v>108.91089108910892</c:v>
                </c:pt>
                <c:pt idx="1">
                  <c:v>47.004950495049506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F-EBE6-4D25-8405-5E039FCEC7B0}"/>
            </c:ext>
          </c:extLst>
        </c:ser>
        <c:ser>
          <c:idx val="15"/>
          <c:order val="48"/>
          <c:spPr>
            <a:ln w="3175">
              <a:solidFill>
                <a:srgbClr val="000000"/>
              </a:solidFill>
              <a:prstDash val="solid"/>
            </a:ln>
          </c:spPr>
          <c:marker>
            <c:symbol val="none"/>
          </c:marker>
          <c:xVal>
            <c:numRef>
              <c:f>'-'!$C$26:$D$26</c:f>
              <c:numCache>
                <c:formatCode>General</c:formatCode>
                <c:ptCount val="2"/>
                <c:pt idx="0">
                  <c:v>0</c:v>
                </c:pt>
                <c:pt idx="1">
                  <c:v>25</c:v>
                </c:pt>
              </c:numCache>
            </c:numRef>
          </c:xVal>
          <c:yVal>
            <c:numRef>
              <c:f>'-'!$C$28:$D$28</c:f>
              <c:numCache>
                <c:formatCode>General</c:formatCode>
                <c:ptCount val="2"/>
                <c:pt idx="0">
                  <c:v>113.86138613861387</c:v>
                </c:pt>
                <c:pt idx="1">
                  <c:v>51.955445544554458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0-EBE6-4D25-8405-5E039FCEC7B0}"/>
            </c:ext>
          </c:extLst>
        </c:ser>
        <c:ser>
          <c:idx val="10"/>
          <c:order val="49"/>
          <c:spPr>
            <a:ln w="3175">
              <a:solidFill>
                <a:srgbClr val="000000"/>
              </a:solidFill>
              <a:prstDash val="solid"/>
            </a:ln>
          </c:spPr>
          <c:marker>
            <c:symbol val="none"/>
          </c:marker>
          <c:xVal>
            <c:numRef>
              <c:f>'-'!$C$6:$R$6</c:f>
              <c:numCache>
                <c:formatCode>General</c:formatCode>
                <c:ptCount val="16"/>
                <c:pt idx="0">
                  <c:v>0</c:v>
                </c:pt>
                <c:pt idx="1">
                  <c:v>2</c:v>
                </c:pt>
                <c:pt idx="2">
                  <c:v>4</c:v>
                </c:pt>
                <c:pt idx="3">
                  <c:v>6</c:v>
                </c:pt>
                <c:pt idx="4">
                  <c:v>8</c:v>
                </c:pt>
                <c:pt idx="5">
                  <c:v>10</c:v>
                </c:pt>
                <c:pt idx="6">
                  <c:v>12</c:v>
                </c:pt>
                <c:pt idx="7">
                  <c:v>14</c:v>
                </c:pt>
                <c:pt idx="8">
                  <c:v>16</c:v>
                </c:pt>
                <c:pt idx="9">
                  <c:v>18</c:v>
                </c:pt>
                <c:pt idx="10">
                  <c:v>20</c:v>
                </c:pt>
                <c:pt idx="11">
                  <c:v>22</c:v>
                </c:pt>
                <c:pt idx="12">
                  <c:v>24</c:v>
                </c:pt>
                <c:pt idx="13">
                  <c:v>26</c:v>
                </c:pt>
                <c:pt idx="14">
                  <c:v>28</c:v>
                </c:pt>
                <c:pt idx="15">
                  <c:v>30</c:v>
                </c:pt>
              </c:numCache>
            </c:numRef>
          </c:xVal>
          <c:yVal>
            <c:numRef>
              <c:f>'-'!$C$18:$R$18</c:f>
              <c:numCache>
                <c:formatCode>General</c:formatCode>
                <c:ptCount val="1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1-EBE6-4D25-8405-5E039FCEC7B0}"/>
            </c:ext>
          </c:extLst>
        </c:ser>
        <c:ser>
          <c:idx val="13"/>
          <c:order val="50"/>
          <c:spPr>
            <a:ln w="3175">
              <a:solidFill>
                <a:srgbClr val="000000"/>
              </a:solidFill>
              <a:prstDash val="solid"/>
            </a:ln>
          </c:spPr>
          <c:marker>
            <c:symbol val="none"/>
          </c:marker>
          <c:xVal>
            <c:numRef>
              <c:f>'-'!$C$6:$R$6</c:f>
              <c:numCache>
                <c:formatCode>General</c:formatCode>
                <c:ptCount val="16"/>
                <c:pt idx="0">
                  <c:v>0</c:v>
                </c:pt>
                <c:pt idx="1">
                  <c:v>2</c:v>
                </c:pt>
                <c:pt idx="2">
                  <c:v>4</c:v>
                </c:pt>
                <c:pt idx="3">
                  <c:v>6</c:v>
                </c:pt>
                <c:pt idx="4">
                  <c:v>8</c:v>
                </c:pt>
                <c:pt idx="5">
                  <c:v>10</c:v>
                </c:pt>
                <c:pt idx="6">
                  <c:v>12</c:v>
                </c:pt>
                <c:pt idx="7">
                  <c:v>14</c:v>
                </c:pt>
                <c:pt idx="8">
                  <c:v>16</c:v>
                </c:pt>
                <c:pt idx="9">
                  <c:v>18</c:v>
                </c:pt>
                <c:pt idx="10">
                  <c:v>20</c:v>
                </c:pt>
                <c:pt idx="11">
                  <c:v>22</c:v>
                </c:pt>
                <c:pt idx="12">
                  <c:v>24</c:v>
                </c:pt>
                <c:pt idx="13">
                  <c:v>26</c:v>
                </c:pt>
                <c:pt idx="14">
                  <c:v>28</c:v>
                </c:pt>
                <c:pt idx="15">
                  <c:v>30</c:v>
                </c:pt>
              </c:numCache>
            </c:numRef>
          </c:xVal>
          <c:yVal>
            <c:numRef>
              <c:f>'-'!$C$21:$R$21</c:f>
              <c:numCache>
                <c:formatCode>General</c:formatCode>
                <c:ptCount val="16"/>
                <c:pt idx="0">
                  <c:v>-15</c:v>
                </c:pt>
                <c:pt idx="1">
                  <c:v>-15.055247524752476</c:v>
                </c:pt>
                <c:pt idx="2">
                  <c:v>-15.11049504950495</c:v>
                </c:pt>
                <c:pt idx="3">
                  <c:v>-15.165742574257427</c:v>
                </c:pt>
                <c:pt idx="4">
                  <c:v>-15.220990099009901</c:v>
                </c:pt>
                <c:pt idx="5">
                  <c:v>-15.276237623762377</c:v>
                </c:pt>
                <c:pt idx="6">
                  <c:v>-15.331485148514851</c:v>
                </c:pt>
                <c:pt idx="7">
                  <c:v>-15.386732673267327</c:v>
                </c:pt>
                <c:pt idx="8">
                  <c:v>-15.441980198019802</c:v>
                </c:pt>
                <c:pt idx="9">
                  <c:v>-15.497227722772278</c:v>
                </c:pt>
                <c:pt idx="10">
                  <c:v>-15.552475247524752</c:v>
                </c:pt>
                <c:pt idx="11">
                  <c:v>-15.607722772277228</c:v>
                </c:pt>
                <c:pt idx="12">
                  <c:v>-15.662970297029704</c:v>
                </c:pt>
                <c:pt idx="13">
                  <c:v>-15.718217821782179</c:v>
                </c:pt>
                <c:pt idx="14">
                  <c:v>-15.773465346534653</c:v>
                </c:pt>
                <c:pt idx="15">
                  <c:v>-15.828712871287129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32-EBE6-4D25-8405-5E039FCEC7B0}"/>
            </c:ext>
          </c:extLst>
        </c:ser>
        <c:ser>
          <c:idx val="12"/>
          <c:order val="51"/>
          <c:spPr>
            <a:ln w="3175">
              <a:solidFill>
                <a:srgbClr val="000000"/>
              </a:solidFill>
              <a:prstDash val="solid"/>
            </a:ln>
          </c:spPr>
          <c:marker>
            <c:symbol val="none"/>
          </c:marker>
          <c:xVal>
            <c:numRef>
              <c:f>'-'!$C$6:$R$6</c:f>
              <c:numCache>
                <c:formatCode>General</c:formatCode>
                <c:ptCount val="16"/>
                <c:pt idx="0">
                  <c:v>0</c:v>
                </c:pt>
                <c:pt idx="1">
                  <c:v>2</c:v>
                </c:pt>
                <c:pt idx="2">
                  <c:v>4</c:v>
                </c:pt>
                <c:pt idx="3">
                  <c:v>6</c:v>
                </c:pt>
                <c:pt idx="4">
                  <c:v>8</c:v>
                </c:pt>
                <c:pt idx="5">
                  <c:v>10</c:v>
                </c:pt>
                <c:pt idx="6">
                  <c:v>12</c:v>
                </c:pt>
                <c:pt idx="7">
                  <c:v>14</c:v>
                </c:pt>
                <c:pt idx="8">
                  <c:v>16</c:v>
                </c:pt>
                <c:pt idx="9">
                  <c:v>18</c:v>
                </c:pt>
                <c:pt idx="10">
                  <c:v>20</c:v>
                </c:pt>
                <c:pt idx="11">
                  <c:v>22</c:v>
                </c:pt>
                <c:pt idx="12">
                  <c:v>24</c:v>
                </c:pt>
                <c:pt idx="13">
                  <c:v>26</c:v>
                </c:pt>
                <c:pt idx="14">
                  <c:v>28</c:v>
                </c:pt>
                <c:pt idx="15">
                  <c:v>30</c:v>
                </c:pt>
              </c:numCache>
            </c:numRef>
          </c:xVal>
          <c:yVal>
            <c:numRef>
              <c:f>'-'!$C$20:$R$20</c:f>
              <c:numCache>
                <c:formatCode>General</c:formatCode>
                <c:ptCount val="16"/>
                <c:pt idx="0">
                  <c:v>-10</c:v>
                </c:pt>
                <c:pt idx="1">
                  <c:v>-10.036831683168316</c:v>
                </c:pt>
                <c:pt idx="2">
                  <c:v>-10.073663366336634</c:v>
                </c:pt>
                <c:pt idx="3">
                  <c:v>-10.11049504950495</c:v>
                </c:pt>
                <c:pt idx="4">
                  <c:v>-10.147326732673266</c:v>
                </c:pt>
                <c:pt idx="5">
                  <c:v>-10.184158415841583</c:v>
                </c:pt>
                <c:pt idx="6">
                  <c:v>-10.220990099009901</c:v>
                </c:pt>
                <c:pt idx="7">
                  <c:v>-10.257821782178217</c:v>
                </c:pt>
                <c:pt idx="8">
                  <c:v>-10.294653465346533</c:v>
                </c:pt>
                <c:pt idx="9">
                  <c:v>-10.331485148514851</c:v>
                </c:pt>
                <c:pt idx="10">
                  <c:v>-10.368316831683169</c:v>
                </c:pt>
                <c:pt idx="11">
                  <c:v>-10.405148514851485</c:v>
                </c:pt>
                <c:pt idx="12">
                  <c:v>-10.441980198019802</c:v>
                </c:pt>
                <c:pt idx="13">
                  <c:v>-10.47881188118812</c:v>
                </c:pt>
                <c:pt idx="14">
                  <c:v>-10.515643564356434</c:v>
                </c:pt>
                <c:pt idx="15">
                  <c:v>-10.552475247524752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33-EBE6-4D25-8405-5E039FCEC7B0}"/>
            </c:ext>
          </c:extLst>
        </c:ser>
        <c:ser>
          <c:idx val="11"/>
          <c:order val="52"/>
          <c:spPr>
            <a:ln w="3175">
              <a:solidFill>
                <a:srgbClr val="000000"/>
              </a:solidFill>
              <a:prstDash val="solid"/>
            </a:ln>
          </c:spPr>
          <c:marker>
            <c:symbol val="none"/>
          </c:marker>
          <c:xVal>
            <c:numRef>
              <c:f>'-'!$C$6:$R$6</c:f>
              <c:numCache>
                <c:formatCode>General</c:formatCode>
                <c:ptCount val="16"/>
                <c:pt idx="0">
                  <c:v>0</c:v>
                </c:pt>
                <c:pt idx="1">
                  <c:v>2</c:v>
                </c:pt>
                <c:pt idx="2">
                  <c:v>4</c:v>
                </c:pt>
                <c:pt idx="3">
                  <c:v>6</c:v>
                </c:pt>
                <c:pt idx="4">
                  <c:v>8</c:v>
                </c:pt>
                <c:pt idx="5">
                  <c:v>10</c:v>
                </c:pt>
                <c:pt idx="6">
                  <c:v>12</c:v>
                </c:pt>
                <c:pt idx="7">
                  <c:v>14</c:v>
                </c:pt>
                <c:pt idx="8">
                  <c:v>16</c:v>
                </c:pt>
                <c:pt idx="9">
                  <c:v>18</c:v>
                </c:pt>
                <c:pt idx="10">
                  <c:v>20</c:v>
                </c:pt>
                <c:pt idx="11">
                  <c:v>22</c:v>
                </c:pt>
                <c:pt idx="12">
                  <c:v>24</c:v>
                </c:pt>
                <c:pt idx="13">
                  <c:v>26</c:v>
                </c:pt>
                <c:pt idx="14">
                  <c:v>28</c:v>
                </c:pt>
                <c:pt idx="15">
                  <c:v>30</c:v>
                </c:pt>
              </c:numCache>
            </c:numRef>
          </c:xVal>
          <c:yVal>
            <c:numRef>
              <c:f>'-'!$C$19:$R$19</c:f>
              <c:numCache>
                <c:formatCode>General</c:formatCode>
                <c:ptCount val="16"/>
                <c:pt idx="0">
                  <c:v>-5</c:v>
                </c:pt>
                <c:pt idx="1">
                  <c:v>-5.018415841584158</c:v>
                </c:pt>
                <c:pt idx="2">
                  <c:v>-5.0368316831683169</c:v>
                </c:pt>
                <c:pt idx="3">
                  <c:v>-5.0552475247524749</c:v>
                </c:pt>
                <c:pt idx="4">
                  <c:v>-5.0736633663366328</c:v>
                </c:pt>
                <c:pt idx="5">
                  <c:v>-5.0920792079207917</c:v>
                </c:pt>
                <c:pt idx="6">
                  <c:v>-5.1104950495049506</c:v>
                </c:pt>
                <c:pt idx="7">
                  <c:v>-5.1289108910891086</c:v>
                </c:pt>
                <c:pt idx="8">
                  <c:v>-5.1473267326732666</c:v>
                </c:pt>
                <c:pt idx="9">
                  <c:v>-5.1657425742574254</c:v>
                </c:pt>
                <c:pt idx="10">
                  <c:v>-5.1841584158415843</c:v>
                </c:pt>
                <c:pt idx="11">
                  <c:v>-5.2025742574257423</c:v>
                </c:pt>
                <c:pt idx="12">
                  <c:v>-5.2209900990099012</c:v>
                </c:pt>
                <c:pt idx="13">
                  <c:v>-5.2394059405940601</c:v>
                </c:pt>
                <c:pt idx="14">
                  <c:v>-5.2578217821782172</c:v>
                </c:pt>
                <c:pt idx="15">
                  <c:v>-5.276237623762376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34-EBE6-4D25-8405-5E039FCEC7B0}"/>
            </c:ext>
          </c:extLst>
        </c:ser>
        <c:ser>
          <c:idx val="9"/>
          <c:order val="53"/>
          <c:spPr>
            <a:ln w="3175">
              <a:solidFill>
                <a:srgbClr val="000000"/>
              </a:solidFill>
              <a:prstDash val="solid"/>
            </a:ln>
          </c:spPr>
          <c:marker>
            <c:symbol val="none"/>
          </c:marker>
          <c:xVal>
            <c:numRef>
              <c:f>'-'!$C$6:$R$6</c:f>
              <c:numCache>
                <c:formatCode>General</c:formatCode>
                <c:ptCount val="16"/>
                <c:pt idx="0">
                  <c:v>0</c:v>
                </c:pt>
                <c:pt idx="1">
                  <c:v>2</c:v>
                </c:pt>
                <c:pt idx="2">
                  <c:v>4</c:v>
                </c:pt>
                <c:pt idx="3">
                  <c:v>6</c:v>
                </c:pt>
                <c:pt idx="4">
                  <c:v>8</c:v>
                </c:pt>
                <c:pt idx="5">
                  <c:v>10</c:v>
                </c:pt>
                <c:pt idx="6">
                  <c:v>12</c:v>
                </c:pt>
                <c:pt idx="7">
                  <c:v>14</c:v>
                </c:pt>
                <c:pt idx="8">
                  <c:v>16</c:v>
                </c:pt>
                <c:pt idx="9">
                  <c:v>18</c:v>
                </c:pt>
                <c:pt idx="10">
                  <c:v>20</c:v>
                </c:pt>
                <c:pt idx="11">
                  <c:v>22</c:v>
                </c:pt>
                <c:pt idx="12">
                  <c:v>24</c:v>
                </c:pt>
                <c:pt idx="13">
                  <c:v>26</c:v>
                </c:pt>
                <c:pt idx="14">
                  <c:v>28</c:v>
                </c:pt>
                <c:pt idx="15">
                  <c:v>30</c:v>
                </c:pt>
              </c:numCache>
            </c:numRef>
          </c:xVal>
          <c:yVal>
            <c:numRef>
              <c:f>'-'!$C$17:$R$17</c:f>
              <c:numCache>
                <c:formatCode>General</c:formatCode>
                <c:ptCount val="16"/>
                <c:pt idx="0">
                  <c:v>5</c:v>
                </c:pt>
                <c:pt idx="1">
                  <c:v>5.018415841584158</c:v>
                </c:pt>
                <c:pt idx="2">
                  <c:v>5.0368316831683169</c:v>
                </c:pt>
                <c:pt idx="3">
                  <c:v>5.0552475247524749</c:v>
                </c:pt>
                <c:pt idx="4">
                  <c:v>5.0736633663366328</c:v>
                </c:pt>
                <c:pt idx="5">
                  <c:v>5.0920792079207917</c:v>
                </c:pt>
                <c:pt idx="6">
                  <c:v>5.1104950495049506</c:v>
                </c:pt>
                <c:pt idx="7">
                  <c:v>5.1289108910891086</c:v>
                </c:pt>
                <c:pt idx="8">
                  <c:v>5.1473267326732666</c:v>
                </c:pt>
                <c:pt idx="9">
                  <c:v>5.1657425742574254</c:v>
                </c:pt>
                <c:pt idx="10">
                  <c:v>5.1841584158415843</c:v>
                </c:pt>
                <c:pt idx="11">
                  <c:v>5.2025742574257423</c:v>
                </c:pt>
                <c:pt idx="12">
                  <c:v>5.2209900990099012</c:v>
                </c:pt>
                <c:pt idx="13">
                  <c:v>5.2394059405940601</c:v>
                </c:pt>
                <c:pt idx="14">
                  <c:v>5.2578217821782172</c:v>
                </c:pt>
                <c:pt idx="15">
                  <c:v>5.276237623762376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35-EBE6-4D25-8405-5E039FCEC7B0}"/>
            </c:ext>
          </c:extLst>
        </c:ser>
        <c:ser>
          <c:idx val="8"/>
          <c:order val="54"/>
          <c:spPr>
            <a:ln w="3175">
              <a:solidFill>
                <a:srgbClr val="000000"/>
              </a:solidFill>
              <a:prstDash val="solid"/>
            </a:ln>
          </c:spPr>
          <c:marker>
            <c:symbol val="none"/>
          </c:marker>
          <c:xVal>
            <c:numRef>
              <c:f>'-'!$C$6:$R$6</c:f>
              <c:numCache>
                <c:formatCode>General</c:formatCode>
                <c:ptCount val="16"/>
                <c:pt idx="0">
                  <c:v>0</c:v>
                </c:pt>
                <c:pt idx="1">
                  <c:v>2</c:v>
                </c:pt>
                <c:pt idx="2">
                  <c:v>4</c:v>
                </c:pt>
                <c:pt idx="3">
                  <c:v>6</c:v>
                </c:pt>
                <c:pt idx="4">
                  <c:v>8</c:v>
                </c:pt>
                <c:pt idx="5">
                  <c:v>10</c:v>
                </c:pt>
                <c:pt idx="6">
                  <c:v>12</c:v>
                </c:pt>
                <c:pt idx="7">
                  <c:v>14</c:v>
                </c:pt>
                <c:pt idx="8">
                  <c:v>16</c:v>
                </c:pt>
                <c:pt idx="9">
                  <c:v>18</c:v>
                </c:pt>
                <c:pt idx="10">
                  <c:v>20</c:v>
                </c:pt>
                <c:pt idx="11">
                  <c:v>22</c:v>
                </c:pt>
                <c:pt idx="12">
                  <c:v>24</c:v>
                </c:pt>
                <c:pt idx="13">
                  <c:v>26</c:v>
                </c:pt>
                <c:pt idx="14">
                  <c:v>28</c:v>
                </c:pt>
                <c:pt idx="15">
                  <c:v>30</c:v>
                </c:pt>
              </c:numCache>
            </c:numRef>
          </c:xVal>
          <c:yVal>
            <c:numRef>
              <c:f>'-'!$C$16:$R$16</c:f>
              <c:numCache>
                <c:formatCode>General</c:formatCode>
                <c:ptCount val="16"/>
                <c:pt idx="0">
                  <c:v>10</c:v>
                </c:pt>
                <c:pt idx="1">
                  <c:v>10.036831683168316</c:v>
                </c:pt>
                <c:pt idx="2">
                  <c:v>10.073663366336634</c:v>
                </c:pt>
                <c:pt idx="3">
                  <c:v>10.11049504950495</c:v>
                </c:pt>
                <c:pt idx="4">
                  <c:v>10.147326732673266</c:v>
                </c:pt>
                <c:pt idx="5">
                  <c:v>10.184158415841583</c:v>
                </c:pt>
                <c:pt idx="6">
                  <c:v>10.220990099009901</c:v>
                </c:pt>
                <c:pt idx="7">
                  <c:v>10.257821782178217</c:v>
                </c:pt>
                <c:pt idx="8">
                  <c:v>10.294653465346533</c:v>
                </c:pt>
                <c:pt idx="9">
                  <c:v>10.331485148514851</c:v>
                </c:pt>
                <c:pt idx="10">
                  <c:v>10.368316831683169</c:v>
                </c:pt>
                <c:pt idx="11">
                  <c:v>10.405148514851485</c:v>
                </c:pt>
                <c:pt idx="12">
                  <c:v>10.441980198019802</c:v>
                </c:pt>
                <c:pt idx="13">
                  <c:v>10.47881188118812</c:v>
                </c:pt>
                <c:pt idx="14">
                  <c:v>10.515643564356434</c:v>
                </c:pt>
                <c:pt idx="15">
                  <c:v>10.552475247524752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36-EBE6-4D25-8405-5E039FCEC7B0}"/>
            </c:ext>
          </c:extLst>
        </c:ser>
        <c:ser>
          <c:idx val="7"/>
          <c:order val="55"/>
          <c:spPr>
            <a:ln w="3175">
              <a:solidFill>
                <a:srgbClr val="000000"/>
              </a:solidFill>
              <a:prstDash val="solid"/>
            </a:ln>
          </c:spPr>
          <c:marker>
            <c:symbol val="none"/>
          </c:marker>
          <c:xVal>
            <c:numRef>
              <c:f>'-'!$C$6:$R$6</c:f>
              <c:numCache>
                <c:formatCode>General</c:formatCode>
                <c:ptCount val="16"/>
                <c:pt idx="0">
                  <c:v>0</c:v>
                </c:pt>
                <c:pt idx="1">
                  <c:v>2</c:v>
                </c:pt>
                <c:pt idx="2">
                  <c:v>4</c:v>
                </c:pt>
                <c:pt idx="3">
                  <c:v>6</c:v>
                </c:pt>
                <c:pt idx="4">
                  <c:v>8</c:v>
                </c:pt>
                <c:pt idx="5">
                  <c:v>10</c:v>
                </c:pt>
                <c:pt idx="6">
                  <c:v>12</c:v>
                </c:pt>
                <c:pt idx="7">
                  <c:v>14</c:v>
                </c:pt>
                <c:pt idx="8">
                  <c:v>16</c:v>
                </c:pt>
                <c:pt idx="9">
                  <c:v>18</c:v>
                </c:pt>
                <c:pt idx="10">
                  <c:v>20</c:v>
                </c:pt>
                <c:pt idx="11">
                  <c:v>22</c:v>
                </c:pt>
                <c:pt idx="12">
                  <c:v>24</c:v>
                </c:pt>
                <c:pt idx="13">
                  <c:v>26</c:v>
                </c:pt>
                <c:pt idx="14">
                  <c:v>28</c:v>
                </c:pt>
                <c:pt idx="15">
                  <c:v>30</c:v>
                </c:pt>
              </c:numCache>
            </c:numRef>
          </c:xVal>
          <c:yVal>
            <c:numRef>
              <c:f>'-'!$C$15:$R$15</c:f>
              <c:numCache>
                <c:formatCode>General</c:formatCode>
                <c:ptCount val="16"/>
                <c:pt idx="0">
                  <c:v>15</c:v>
                </c:pt>
                <c:pt idx="1">
                  <c:v>15.055247524752476</c:v>
                </c:pt>
                <c:pt idx="2">
                  <c:v>15.11049504950495</c:v>
                </c:pt>
                <c:pt idx="3">
                  <c:v>15.165742574257427</c:v>
                </c:pt>
                <c:pt idx="4">
                  <c:v>15.220990099009901</c:v>
                </c:pt>
                <c:pt idx="5">
                  <c:v>15.276237623762377</c:v>
                </c:pt>
                <c:pt idx="6">
                  <c:v>15.331485148514851</c:v>
                </c:pt>
                <c:pt idx="7">
                  <c:v>15.386732673267327</c:v>
                </c:pt>
                <c:pt idx="8">
                  <c:v>15.441980198019802</c:v>
                </c:pt>
                <c:pt idx="9">
                  <c:v>15.497227722772278</c:v>
                </c:pt>
                <c:pt idx="10">
                  <c:v>15.552475247524752</c:v>
                </c:pt>
                <c:pt idx="11">
                  <c:v>15.607722772277228</c:v>
                </c:pt>
                <c:pt idx="12">
                  <c:v>15.662970297029704</c:v>
                </c:pt>
                <c:pt idx="13">
                  <c:v>15.718217821782179</c:v>
                </c:pt>
                <c:pt idx="14">
                  <c:v>15.773465346534653</c:v>
                </c:pt>
                <c:pt idx="15">
                  <c:v>15.828712871287129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37-EBE6-4D25-8405-5E039FCEC7B0}"/>
            </c:ext>
          </c:extLst>
        </c:ser>
        <c:ser>
          <c:idx val="6"/>
          <c:order val="56"/>
          <c:spPr>
            <a:ln w="3175">
              <a:solidFill>
                <a:srgbClr val="000000"/>
              </a:solidFill>
              <a:prstDash val="solid"/>
            </a:ln>
          </c:spPr>
          <c:marker>
            <c:symbol val="none"/>
          </c:marker>
          <c:xVal>
            <c:numRef>
              <c:f>'-'!$C$6:$R$6</c:f>
              <c:numCache>
                <c:formatCode>General</c:formatCode>
                <c:ptCount val="16"/>
                <c:pt idx="0">
                  <c:v>0</c:v>
                </c:pt>
                <c:pt idx="1">
                  <c:v>2</c:v>
                </c:pt>
                <c:pt idx="2">
                  <c:v>4</c:v>
                </c:pt>
                <c:pt idx="3">
                  <c:v>6</c:v>
                </c:pt>
                <c:pt idx="4">
                  <c:v>8</c:v>
                </c:pt>
                <c:pt idx="5">
                  <c:v>10</c:v>
                </c:pt>
                <c:pt idx="6">
                  <c:v>12</c:v>
                </c:pt>
                <c:pt idx="7">
                  <c:v>14</c:v>
                </c:pt>
                <c:pt idx="8">
                  <c:v>16</c:v>
                </c:pt>
                <c:pt idx="9">
                  <c:v>18</c:v>
                </c:pt>
                <c:pt idx="10">
                  <c:v>20</c:v>
                </c:pt>
                <c:pt idx="11">
                  <c:v>22</c:v>
                </c:pt>
                <c:pt idx="12">
                  <c:v>24</c:v>
                </c:pt>
                <c:pt idx="13">
                  <c:v>26</c:v>
                </c:pt>
                <c:pt idx="14">
                  <c:v>28</c:v>
                </c:pt>
                <c:pt idx="15">
                  <c:v>30</c:v>
                </c:pt>
              </c:numCache>
            </c:numRef>
          </c:xVal>
          <c:yVal>
            <c:numRef>
              <c:f>'-'!$C$14:$R$14</c:f>
              <c:numCache>
                <c:formatCode>General</c:formatCode>
                <c:ptCount val="16"/>
                <c:pt idx="0">
                  <c:v>20</c:v>
                </c:pt>
                <c:pt idx="1">
                  <c:v>20.073663366336632</c:v>
                </c:pt>
                <c:pt idx="2">
                  <c:v>20.147326732673267</c:v>
                </c:pt>
                <c:pt idx="3">
                  <c:v>20.220990099009899</c:v>
                </c:pt>
                <c:pt idx="4">
                  <c:v>20.294653465346531</c:v>
                </c:pt>
                <c:pt idx="5">
                  <c:v>20.368316831683167</c:v>
                </c:pt>
                <c:pt idx="6">
                  <c:v>20.441980198019802</c:v>
                </c:pt>
                <c:pt idx="7">
                  <c:v>20.515643564356434</c:v>
                </c:pt>
                <c:pt idx="8">
                  <c:v>20.589306930693066</c:v>
                </c:pt>
                <c:pt idx="9">
                  <c:v>20.662970297029702</c:v>
                </c:pt>
                <c:pt idx="10">
                  <c:v>20.736633663366337</c:v>
                </c:pt>
                <c:pt idx="11">
                  <c:v>20.810297029702969</c:v>
                </c:pt>
                <c:pt idx="12">
                  <c:v>20.883960396039605</c:v>
                </c:pt>
                <c:pt idx="13">
                  <c:v>20.95762376237624</c:v>
                </c:pt>
                <c:pt idx="14">
                  <c:v>21.031287128712869</c:v>
                </c:pt>
                <c:pt idx="15">
                  <c:v>21.104950495049504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38-EBE6-4D25-8405-5E039FCEC7B0}"/>
            </c:ext>
          </c:extLst>
        </c:ser>
        <c:ser>
          <c:idx val="5"/>
          <c:order val="57"/>
          <c:spPr>
            <a:ln w="3175">
              <a:solidFill>
                <a:srgbClr val="000000"/>
              </a:solidFill>
              <a:prstDash val="solid"/>
            </a:ln>
          </c:spPr>
          <c:marker>
            <c:symbol val="none"/>
          </c:marker>
          <c:xVal>
            <c:numRef>
              <c:f>'-'!$C$6:$R$6</c:f>
              <c:numCache>
                <c:formatCode>General</c:formatCode>
                <c:ptCount val="16"/>
                <c:pt idx="0">
                  <c:v>0</c:v>
                </c:pt>
                <c:pt idx="1">
                  <c:v>2</c:v>
                </c:pt>
                <c:pt idx="2">
                  <c:v>4</c:v>
                </c:pt>
                <c:pt idx="3">
                  <c:v>6</c:v>
                </c:pt>
                <c:pt idx="4">
                  <c:v>8</c:v>
                </c:pt>
                <c:pt idx="5">
                  <c:v>10</c:v>
                </c:pt>
                <c:pt idx="6">
                  <c:v>12</c:v>
                </c:pt>
                <c:pt idx="7">
                  <c:v>14</c:v>
                </c:pt>
                <c:pt idx="8">
                  <c:v>16</c:v>
                </c:pt>
                <c:pt idx="9">
                  <c:v>18</c:v>
                </c:pt>
                <c:pt idx="10">
                  <c:v>20</c:v>
                </c:pt>
                <c:pt idx="11">
                  <c:v>22</c:v>
                </c:pt>
                <c:pt idx="12">
                  <c:v>24</c:v>
                </c:pt>
                <c:pt idx="13">
                  <c:v>26</c:v>
                </c:pt>
                <c:pt idx="14">
                  <c:v>28</c:v>
                </c:pt>
                <c:pt idx="15">
                  <c:v>30</c:v>
                </c:pt>
              </c:numCache>
            </c:numRef>
          </c:xVal>
          <c:yVal>
            <c:numRef>
              <c:f>'-'!$C$13:$R$13</c:f>
              <c:numCache>
                <c:formatCode>General</c:formatCode>
                <c:ptCount val="16"/>
                <c:pt idx="0">
                  <c:v>25</c:v>
                </c:pt>
                <c:pt idx="1">
                  <c:v>25.092079207920793</c:v>
                </c:pt>
                <c:pt idx="2">
                  <c:v>25.184158415841583</c:v>
                </c:pt>
                <c:pt idx="3">
                  <c:v>25.276237623762377</c:v>
                </c:pt>
                <c:pt idx="4">
                  <c:v>25.368316831683167</c:v>
                </c:pt>
                <c:pt idx="5">
                  <c:v>25.46039603960396</c:v>
                </c:pt>
                <c:pt idx="6">
                  <c:v>25.552475247524754</c:v>
                </c:pt>
                <c:pt idx="7">
                  <c:v>25.644554455445544</c:v>
                </c:pt>
                <c:pt idx="8">
                  <c:v>25.736633663366337</c:v>
                </c:pt>
                <c:pt idx="9">
                  <c:v>25.828712871287127</c:v>
                </c:pt>
                <c:pt idx="10">
                  <c:v>25.920792079207921</c:v>
                </c:pt>
                <c:pt idx="11">
                  <c:v>26.012871287128711</c:v>
                </c:pt>
                <c:pt idx="12">
                  <c:v>26.104950495049504</c:v>
                </c:pt>
                <c:pt idx="13">
                  <c:v>26.197029702970298</c:v>
                </c:pt>
                <c:pt idx="14">
                  <c:v>26.289108910891088</c:v>
                </c:pt>
                <c:pt idx="15">
                  <c:v>26.381188118811881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9-EBE6-4D25-8405-5E039FCEC7B0}"/>
            </c:ext>
          </c:extLst>
        </c:ser>
        <c:ser>
          <c:idx val="4"/>
          <c:order val="58"/>
          <c:spPr>
            <a:ln w="3175">
              <a:solidFill>
                <a:srgbClr val="000000"/>
              </a:solidFill>
              <a:prstDash val="solid"/>
            </a:ln>
          </c:spPr>
          <c:marker>
            <c:symbol val="none"/>
          </c:marker>
          <c:xVal>
            <c:numRef>
              <c:f>'-'!$C$6:$R$6</c:f>
              <c:numCache>
                <c:formatCode>General</c:formatCode>
                <c:ptCount val="16"/>
                <c:pt idx="0">
                  <c:v>0</c:v>
                </c:pt>
                <c:pt idx="1">
                  <c:v>2</c:v>
                </c:pt>
                <c:pt idx="2">
                  <c:v>4</c:v>
                </c:pt>
                <c:pt idx="3">
                  <c:v>6</c:v>
                </c:pt>
                <c:pt idx="4">
                  <c:v>8</c:v>
                </c:pt>
                <c:pt idx="5">
                  <c:v>10</c:v>
                </c:pt>
                <c:pt idx="6">
                  <c:v>12</c:v>
                </c:pt>
                <c:pt idx="7">
                  <c:v>14</c:v>
                </c:pt>
                <c:pt idx="8">
                  <c:v>16</c:v>
                </c:pt>
                <c:pt idx="9">
                  <c:v>18</c:v>
                </c:pt>
                <c:pt idx="10">
                  <c:v>20</c:v>
                </c:pt>
                <c:pt idx="11">
                  <c:v>22</c:v>
                </c:pt>
                <c:pt idx="12">
                  <c:v>24</c:v>
                </c:pt>
                <c:pt idx="13">
                  <c:v>26</c:v>
                </c:pt>
                <c:pt idx="14">
                  <c:v>28</c:v>
                </c:pt>
                <c:pt idx="15">
                  <c:v>30</c:v>
                </c:pt>
              </c:numCache>
            </c:numRef>
          </c:xVal>
          <c:yVal>
            <c:numRef>
              <c:f>'-'!$C$12:$R$12</c:f>
              <c:numCache>
                <c:formatCode>General</c:formatCode>
                <c:ptCount val="16"/>
                <c:pt idx="0">
                  <c:v>30</c:v>
                </c:pt>
                <c:pt idx="1">
                  <c:v>30.110495049504951</c:v>
                </c:pt>
                <c:pt idx="2">
                  <c:v>30.220990099009899</c:v>
                </c:pt>
                <c:pt idx="3">
                  <c:v>30.331485148514854</c:v>
                </c:pt>
                <c:pt idx="4">
                  <c:v>30.441980198019802</c:v>
                </c:pt>
                <c:pt idx="5">
                  <c:v>30.552475247524754</c:v>
                </c:pt>
                <c:pt idx="6">
                  <c:v>30.662970297029702</c:v>
                </c:pt>
                <c:pt idx="7">
                  <c:v>30.773465346534653</c:v>
                </c:pt>
                <c:pt idx="8">
                  <c:v>30.883960396039605</c:v>
                </c:pt>
                <c:pt idx="9">
                  <c:v>30.994455445544556</c:v>
                </c:pt>
                <c:pt idx="10">
                  <c:v>31.104950495049504</c:v>
                </c:pt>
                <c:pt idx="11">
                  <c:v>31.215445544554456</c:v>
                </c:pt>
                <c:pt idx="12">
                  <c:v>31.325940594059407</c:v>
                </c:pt>
                <c:pt idx="13">
                  <c:v>31.436435643564359</c:v>
                </c:pt>
                <c:pt idx="14">
                  <c:v>31.546930693069307</c:v>
                </c:pt>
                <c:pt idx="15">
                  <c:v>31.657425742574258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A-EBE6-4D25-8405-5E039FCEC7B0}"/>
            </c:ext>
          </c:extLst>
        </c:ser>
        <c:ser>
          <c:idx val="3"/>
          <c:order val="59"/>
          <c:spPr>
            <a:ln w="3175">
              <a:solidFill>
                <a:srgbClr val="000000"/>
              </a:solidFill>
              <a:prstDash val="solid"/>
            </a:ln>
          </c:spPr>
          <c:marker>
            <c:symbol val="none"/>
          </c:marker>
          <c:xVal>
            <c:numRef>
              <c:f>'-'!$C$6:$R$6</c:f>
              <c:numCache>
                <c:formatCode>General</c:formatCode>
                <c:ptCount val="16"/>
                <c:pt idx="0">
                  <c:v>0</c:v>
                </c:pt>
                <c:pt idx="1">
                  <c:v>2</c:v>
                </c:pt>
                <c:pt idx="2">
                  <c:v>4</c:v>
                </c:pt>
                <c:pt idx="3">
                  <c:v>6</c:v>
                </c:pt>
                <c:pt idx="4">
                  <c:v>8</c:v>
                </c:pt>
                <c:pt idx="5">
                  <c:v>10</c:v>
                </c:pt>
                <c:pt idx="6">
                  <c:v>12</c:v>
                </c:pt>
                <c:pt idx="7">
                  <c:v>14</c:v>
                </c:pt>
                <c:pt idx="8">
                  <c:v>16</c:v>
                </c:pt>
                <c:pt idx="9">
                  <c:v>18</c:v>
                </c:pt>
                <c:pt idx="10">
                  <c:v>20</c:v>
                </c:pt>
                <c:pt idx="11">
                  <c:v>22</c:v>
                </c:pt>
                <c:pt idx="12">
                  <c:v>24</c:v>
                </c:pt>
                <c:pt idx="13">
                  <c:v>26</c:v>
                </c:pt>
                <c:pt idx="14">
                  <c:v>28</c:v>
                </c:pt>
                <c:pt idx="15">
                  <c:v>30</c:v>
                </c:pt>
              </c:numCache>
            </c:numRef>
          </c:xVal>
          <c:yVal>
            <c:numRef>
              <c:f>'-'!$C$11:$R$11</c:f>
              <c:numCache>
                <c:formatCode>General</c:formatCode>
                <c:ptCount val="16"/>
                <c:pt idx="0">
                  <c:v>35</c:v>
                </c:pt>
                <c:pt idx="1">
                  <c:v>35.128910891089113</c:v>
                </c:pt>
                <c:pt idx="2">
                  <c:v>35.257821782178219</c:v>
                </c:pt>
                <c:pt idx="3">
                  <c:v>35.386732673267325</c:v>
                </c:pt>
                <c:pt idx="4">
                  <c:v>35.515643564356438</c:v>
                </c:pt>
                <c:pt idx="5">
                  <c:v>35.644554455445551</c:v>
                </c:pt>
                <c:pt idx="6">
                  <c:v>35.77346534653465</c:v>
                </c:pt>
                <c:pt idx="7">
                  <c:v>35.902376237623763</c:v>
                </c:pt>
                <c:pt idx="8">
                  <c:v>36.031287128712876</c:v>
                </c:pt>
                <c:pt idx="9">
                  <c:v>36.160198019801982</c:v>
                </c:pt>
                <c:pt idx="10">
                  <c:v>36.289108910891088</c:v>
                </c:pt>
                <c:pt idx="11">
                  <c:v>36.418019801980201</c:v>
                </c:pt>
                <c:pt idx="12">
                  <c:v>36.546930693069314</c:v>
                </c:pt>
                <c:pt idx="13">
                  <c:v>36.675841584158412</c:v>
                </c:pt>
                <c:pt idx="14">
                  <c:v>36.804752475247525</c:v>
                </c:pt>
                <c:pt idx="15">
                  <c:v>36.933663366336638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B-EBE6-4D25-8405-5E039FCEC7B0}"/>
            </c:ext>
          </c:extLst>
        </c:ser>
        <c:ser>
          <c:idx val="2"/>
          <c:order val="60"/>
          <c:spPr>
            <a:ln w="3175">
              <a:solidFill>
                <a:srgbClr val="000000"/>
              </a:solidFill>
              <a:prstDash val="solid"/>
            </a:ln>
          </c:spPr>
          <c:marker>
            <c:symbol val="none"/>
          </c:marker>
          <c:xVal>
            <c:numRef>
              <c:f>'-'!$C$6:$R$6</c:f>
              <c:numCache>
                <c:formatCode>General</c:formatCode>
                <c:ptCount val="16"/>
                <c:pt idx="0">
                  <c:v>0</c:v>
                </c:pt>
                <c:pt idx="1">
                  <c:v>2</c:v>
                </c:pt>
                <c:pt idx="2">
                  <c:v>4</c:v>
                </c:pt>
                <c:pt idx="3">
                  <c:v>6</c:v>
                </c:pt>
                <c:pt idx="4">
                  <c:v>8</c:v>
                </c:pt>
                <c:pt idx="5">
                  <c:v>10</c:v>
                </c:pt>
                <c:pt idx="6">
                  <c:v>12</c:v>
                </c:pt>
                <c:pt idx="7">
                  <c:v>14</c:v>
                </c:pt>
                <c:pt idx="8">
                  <c:v>16</c:v>
                </c:pt>
                <c:pt idx="9">
                  <c:v>18</c:v>
                </c:pt>
                <c:pt idx="10">
                  <c:v>20</c:v>
                </c:pt>
                <c:pt idx="11">
                  <c:v>22</c:v>
                </c:pt>
                <c:pt idx="12">
                  <c:v>24</c:v>
                </c:pt>
                <c:pt idx="13">
                  <c:v>26</c:v>
                </c:pt>
                <c:pt idx="14">
                  <c:v>28</c:v>
                </c:pt>
                <c:pt idx="15">
                  <c:v>30</c:v>
                </c:pt>
              </c:numCache>
            </c:numRef>
          </c:xVal>
          <c:yVal>
            <c:numRef>
              <c:f>'-'!$C$10:$R$10</c:f>
              <c:numCache>
                <c:formatCode>General</c:formatCode>
                <c:ptCount val="16"/>
                <c:pt idx="0">
                  <c:v>40</c:v>
                </c:pt>
                <c:pt idx="1">
                  <c:v>40.147326732673264</c:v>
                </c:pt>
                <c:pt idx="2">
                  <c:v>40.294653465346535</c:v>
                </c:pt>
                <c:pt idx="3">
                  <c:v>40.441980198019799</c:v>
                </c:pt>
                <c:pt idx="4">
                  <c:v>40.589306930693063</c:v>
                </c:pt>
                <c:pt idx="5">
                  <c:v>40.736633663366334</c:v>
                </c:pt>
                <c:pt idx="6">
                  <c:v>40.883960396039605</c:v>
                </c:pt>
                <c:pt idx="7">
                  <c:v>41.031287128712869</c:v>
                </c:pt>
                <c:pt idx="8">
                  <c:v>41.178613861386133</c:v>
                </c:pt>
                <c:pt idx="9">
                  <c:v>41.325940594059404</c:v>
                </c:pt>
                <c:pt idx="10">
                  <c:v>41.473267326732675</c:v>
                </c:pt>
                <c:pt idx="11">
                  <c:v>41.620594059405938</c:v>
                </c:pt>
                <c:pt idx="12">
                  <c:v>41.767920792079209</c:v>
                </c:pt>
                <c:pt idx="13">
                  <c:v>41.915247524752481</c:v>
                </c:pt>
                <c:pt idx="14">
                  <c:v>42.062574257425737</c:v>
                </c:pt>
                <c:pt idx="15">
                  <c:v>42.209900990099008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C-EBE6-4D25-8405-5E039FCEC7B0}"/>
            </c:ext>
          </c:extLst>
        </c:ser>
        <c:ser>
          <c:idx val="1"/>
          <c:order val="61"/>
          <c:spPr>
            <a:ln w="3175">
              <a:solidFill>
                <a:srgbClr val="000000"/>
              </a:solidFill>
              <a:prstDash val="solid"/>
            </a:ln>
          </c:spPr>
          <c:marker>
            <c:symbol val="none"/>
          </c:marker>
          <c:xVal>
            <c:numRef>
              <c:f>'-'!$C$6:$R$6</c:f>
              <c:numCache>
                <c:formatCode>General</c:formatCode>
                <c:ptCount val="16"/>
                <c:pt idx="0">
                  <c:v>0</c:v>
                </c:pt>
                <c:pt idx="1">
                  <c:v>2</c:v>
                </c:pt>
                <c:pt idx="2">
                  <c:v>4</c:v>
                </c:pt>
                <c:pt idx="3">
                  <c:v>6</c:v>
                </c:pt>
                <c:pt idx="4">
                  <c:v>8</c:v>
                </c:pt>
                <c:pt idx="5">
                  <c:v>10</c:v>
                </c:pt>
                <c:pt idx="6">
                  <c:v>12</c:v>
                </c:pt>
                <c:pt idx="7">
                  <c:v>14</c:v>
                </c:pt>
                <c:pt idx="8">
                  <c:v>16</c:v>
                </c:pt>
                <c:pt idx="9">
                  <c:v>18</c:v>
                </c:pt>
                <c:pt idx="10">
                  <c:v>20</c:v>
                </c:pt>
                <c:pt idx="11">
                  <c:v>22</c:v>
                </c:pt>
                <c:pt idx="12">
                  <c:v>24</c:v>
                </c:pt>
                <c:pt idx="13">
                  <c:v>26</c:v>
                </c:pt>
                <c:pt idx="14">
                  <c:v>28</c:v>
                </c:pt>
                <c:pt idx="15">
                  <c:v>30</c:v>
                </c:pt>
              </c:numCache>
            </c:numRef>
          </c:xVal>
          <c:yVal>
            <c:numRef>
              <c:f>'-'!$C$9:$R$9</c:f>
              <c:numCache>
                <c:formatCode>General</c:formatCode>
                <c:ptCount val="16"/>
                <c:pt idx="0">
                  <c:v>45</c:v>
                </c:pt>
                <c:pt idx="1">
                  <c:v>45.165742574257429</c:v>
                </c:pt>
                <c:pt idx="2">
                  <c:v>45.331485148514858</c:v>
                </c:pt>
                <c:pt idx="3">
                  <c:v>45.49722772277228</c:v>
                </c:pt>
                <c:pt idx="4">
                  <c:v>45.662970297029709</c:v>
                </c:pt>
                <c:pt idx="5">
                  <c:v>45.828712871287138</c:v>
                </c:pt>
                <c:pt idx="6">
                  <c:v>45.994455445544553</c:v>
                </c:pt>
                <c:pt idx="7">
                  <c:v>46.160198019801982</c:v>
                </c:pt>
                <c:pt idx="8">
                  <c:v>46.325940594059404</c:v>
                </c:pt>
                <c:pt idx="9">
                  <c:v>46.491683168316833</c:v>
                </c:pt>
                <c:pt idx="10">
                  <c:v>46.657425742574262</c:v>
                </c:pt>
                <c:pt idx="11">
                  <c:v>46.823168316831683</c:v>
                </c:pt>
                <c:pt idx="12">
                  <c:v>46.988910891089112</c:v>
                </c:pt>
                <c:pt idx="13">
                  <c:v>47.154653465346541</c:v>
                </c:pt>
                <c:pt idx="14">
                  <c:v>47.320396039603963</c:v>
                </c:pt>
                <c:pt idx="15">
                  <c:v>47.486138613861392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D-EBE6-4D25-8405-5E039FCEC7B0}"/>
            </c:ext>
          </c:extLst>
        </c:ser>
        <c:ser>
          <c:idx val="0"/>
          <c:order val="62"/>
          <c:spPr>
            <a:ln w="3175">
              <a:solidFill>
                <a:srgbClr val="000000"/>
              </a:solidFill>
              <a:prstDash val="solid"/>
            </a:ln>
          </c:spPr>
          <c:marker>
            <c:symbol val="none"/>
          </c:marker>
          <c:xVal>
            <c:numRef>
              <c:f>'-'!$C$6:$R$6</c:f>
              <c:numCache>
                <c:formatCode>General</c:formatCode>
                <c:ptCount val="16"/>
                <c:pt idx="0">
                  <c:v>0</c:v>
                </c:pt>
                <c:pt idx="1">
                  <c:v>2</c:v>
                </c:pt>
                <c:pt idx="2">
                  <c:v>4</c:v>
                </c:pt>
                <c:pt idx="3">
                  <c:v>6</c:v>
                </c:pt>
                <c:pt idx="4">
                  <c:v>8</c:v>
                </c:pt>
                <c:pt idx="5">
                  <c:v>10</c:v>
                </c:pt>
                <c:pt idx="6">
                  <c:v>12</c:v>
                </c:pt>
                <c:pt idx="7">
                  <c:v>14</c:v>
                </c:pt>
                <c:pt idx="8">
                  <c:v>16</c:v>
                </c:pt>
                <c:pt idx="9">
                  <c:v>18</c:v>
                </c:pt>
                <c:pt idx="10">
                  <c:v>20</c:v>
                </c:pt>
                <c:pt idx="11">
                  <c:v>22</c:v>
                </c:pt>
                <c:pt idx="12">
                  <c:v>24</c:v>
                </c:pt>
                <c:pt idx="13">
                  <c:v>26</c:v>
                </c:pt>
                <c:pt idx="14">
                  <c:v>28</c:v>
                </c:pt>
                <c:pt idx="15">
                  <c:v>30</c:v>
                </c:pt>
              </c:numCache>
            </c:numRef>
          </c:xVal>
          <c:yVal>
            <c:numRef>
              <c:f>'-'!$C$8:$R$8</c:f>
              <c:numCache>
                <c:formatCode>General</c:formatCode>
                <c:ptCount val="16"/>
                <c:pt idx="0">
                  <c:v>50</c:v>
                </c:pt>
                <c:pt idx="1">
                  <c:v>50.184158415841587</c:v>
                </c:pt>
                <c:pt idx="2">
                  <c:v>50.368316831683167</c:v>
                </c:pt>
                <c:pt idx="3">
                  <c:v>50.552475247524754</c:v>
                </c:pt>
                <c:pt idx="4">
                  <c:v>50.736633663366334</c:v>
                </c:pt>
                <c:pt idx="5">
                  <c:v>50.920792079207921</c:v>
                </c:pt>
                <c:pt idx="6">
                  <c:v>51.104950495049508</c:v>
                </c:pt>
                <c:pt idx="7">
                  <c:v>51.289108910891088</c:v>
                </c:pt>
                <c:pt idx="8">
                  <c:v>51.473267326732675</c:v>
                </c:pt>
                <c:pt idx="9">
                  <c:v>51.657425742574254</c:v>
                </c:pt>
                <c:pt idx="10">
                  <c:v>51.841584158415841</c:v>
                </c:pt>
                <c:pt idx="11">
                  <c:v>52.025742574257421</c:v>
                </c:pt>
                <c:pt idx="12">
                  <c:v>52.209900990099008</c:v>
                </c:pt>
                <c:pt idx="13">
                  <c:v>52.394059405940595</c:v>
                </c:pt>
                <c:pt idx="14">
                  <c:v>52.578217821782175</c:v>
                </c:pt>
                <c:pt idx="15">
                  <c:v>52.762376237623762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3E-EBE6-4D25-8405-5E039FCEC7B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154574832"/>
        <c:axId val="1"/>
      </c:scatterChart>
      <c:valAx>
        <c:axId val="1154574832"/>
        <c:scaling>
          <c:orientation val="minMax"/>
          <c:max val="25"/>
          <c:min val="0"/>
        </c:scaling>
        <c:delete val="0"/>
        <c:axPos val="b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i [g/kg s.v.]</a:t>
                </a:r>
              </a:p>
            </c:rich>
          </c:tx>
          <c:layout>
            <c:manualLayout>
              <c:xMode val="edge"/>
              <c:yMode val="edge"/>
              <c:x val="0.43478326789532779"/>
              <c:y val="0.96437407456989044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out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/>
            </a:pPr>
            <a:endParaRPr lang="ru-RU"/>
          </a:p>
        </c:txPr>
        <c:crossAx val="1"/>
        <c:crossesAt val="-20"/>
        <c:crossBetween val="midCat"/>
        <c:majorUnit val="1"/>
        <c:minorUnit val="0.2"/>
      </c:valAx>
      <c:valAx>
        <c:axId val="1"/>
        <c:scaling>
          <c:orientation val="minMax"/>
          <c:max val="55"/>
          <c:min val="-20"/>
        </c:scaling>
        <c:delete val="0"/>
        <c:axPos val="l"/>
        <c:numFmt formatCode="General" sourceLinked="1"/>
        <c:majorTickMark val="out"/>
        <c:minorTickMark val="out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/>
            </a:pPr>
            <a:endParaRPr lang="ru-RU"/>
          </a:p>
        </c:txPr>
        <c:crossAx val="1154574832"/>
        <c:crossesAt val="0"/>
        <c:crossBetween val="midCat"/>
        <c:majorUnit val="5"/>
        <c:minorUnit val="1"/>
      </c:valAx>
      <c:spPr>
        <a:noFill/>
        <a:ln w="12700">
          <a:solidFill>
            <a:srgbClr val="000000"/>
          </a:solidFill>
          <a:prstDash val="solid"/>
        </a:ln>
      </c:spPr>
    </c:plotArea>
    <c:plotVisOnly val="1"/>
    <c:dispBlanksAs val="gap"/>
    <c:showDLblsOverMax val="0"/>
  </c:chart>
  <c:spPr>
    <a:solidFill>
      <a:schemeClr val="bg1"/>
    </a:solidFill>
    <a:ln w="6350">
      <a:noFill/>
    </a:ln>
  </c:spPr>
  <c:txPr>
    <a:bodyPr/>
    <a:lstStyle/>
    <a:p>
      <a:pPr>
        <a:defRPr sz="1000" b="1" i="0" u="none" strike="noStrike" baseline="0">
          <a:solidFill>
            <a:srgbClr val="000000"/>
          </a:solidFill>
          <a:latin typeface="Verdana" panose="020B0604030504040204" pitchFamily="34" charset="0"/>
          <a:ea typeface="Arial"/>
          <a:cs typeface="Arial"/>
        </a:defRPr>
      </a:pPr>
      <a:endParaRPr lang="ru-RU"/>
    </a:p>
  </c:txPr>
  <c:printSettings>
    <c:headerFooter alignWithMargins="0"/>
    <c:pageMargins b="0.39370078740157483" l="0.78740157480314965" r="0.39370078740157483" t="0.39370078740157483" header="0" footer="0"/>
    <c:pageSetup orientation="portrait" horizontalDpi="300" verticalDpi="300"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AHU </a:t>
            </a:r>
            <a:r>
              <a:rPr lang="ru-RU"/>
              <a:t>Расчет</a:t>
            </a:r>
          </a:p>
        </c:rich>
      </c:tx>
      <c:overlay val="0"/>
    </c:title>
    <c:autoTitleDeleted val="0"/>
    <c:plotArea>
      <c:layout>
        <c:manualLayout>
          <c:layoutTarget val="inner"/>
          <c:xMode val="edge"/>
          <c:yMode val="edge"/>
          <c:x val="4.9919563203821966E-2"/>
          <c:y val="4.1769066824388405E-2"/>
          <c:w val="0.87278720182166147"/>
          <c:h val="0.88943542296638833"/>
        </c:manualLayout>
      </c:layout>
      <c:scatterChart>
        <c:scatterStyle val="lineMarker"/>
        <c:varyColors val="0"/>
        <c:ser>
          <c:idx val="52"/>
          <c:order val="0"/>
          <c:spPr>
            <a:ln w="3175">
              <a:solidFill>
                <a:srgbClr val="000000"/>
              </a:solidFill>
              <a:prstDash val="solid"/>
            </a:ln>
          </c:spPr>
          <c:marker>
            <c:symbol val="none"/>
          </c:marker>
          <c:xVal>
            <c:numRef>
              <c:f>'-'!$C$26:$D$26</c:f>
              <c:numCache>
                <c:formatCode>General</c:formatCode>
                <c:ptCount val="2"/>
                <c:pt idx="0">
                  <c:v>0</c:v>
                </c:pt>
                <c:pt idx="1">
                  <c:v>25</c:v>
                </c:pt>
              </c:numCache>
            </c:numRef>
          </c:xVal>
          <c:yVal>
            <c:numRef>
              <c:f>'-'!$C$55:$D$55</c:f>
              <c:numCache>
                <c:formatCode>General</c:formatCode>
                <c:ptCount val="2"/>
                <c:pt idx="0">
                  <c:v>-19.801980198019802</c:v>
                </c:pt>
                <c:pt idx="1">
                  <c:v>-81.707920792079207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CD49-4A0B-BD02-907C333A3FC1}"/>
            </c:ext>
          </c:extLst>
        </c:ser>
        <c:ser>
          <c:idx val="51"/>
          <c:order val="1"/>
          <c:spPr>
            <a:ln w="3175">
              <a:solidFill>
                <a:srgbClr val="000000"/>
              </a:solidFill>
              <a:prstDash val="solid"/>
            </a:ln>
          </c:spPr>
          <c:marker>
            <c:symbol val="none"/>
          </c:marker>
          <c:xVal>
            <c:numRef>
              <c:f>'-'!$C$26:$D$26</c:f>
              <c:numCache>
                <c:formatCode>General</c:formatCode>
                <c:ptCount val="2"/>
                <c:pt idx="0">
                  <c:v>0</c:v>
                </c:pt>
                <c:pt idx="1">
                  <c:v>25</c:v>
                </c:pt>
              </c:numCache>
            </c:numRef>
          </c:xVal>
          <c:yVal>
            <c:numRef>
              <c:f>'-'!$C$54:$D$54</c:f>
              <c:numCache>
                <c:formatCode>General</c:formatCode>
                <c:ptCount val="2"/>
                <c:pt idx="0">
                  <c:v>-14.851485148514852</c:v>
                </c:pt>
                <c:pt idx="1">
                  <c:v>-76.757425742574256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CD49-4A0B-BD02-907C333A3FC1}"/>
            </c:ext>
          </c:extLst>
        </c:ser>
        <c:ser>
          <c:idx val="50"/>
          <c:order val="2"/>
          <c:spPr>
            <a:ln w="3175">
              <a:solidFill>
                <a:srgbClr val="000000"/>
              </a:solidFill>
              <a:prstDash val="solid"/>
            </a:ln>
          </c:spPr>
          <c:marker>
            <c:symbol val="none"/>
          </c:marker>
          <c:xVal>
            <c:numRef>
              <c:f>'-'!$C$26:$D$26</c:f>
              <c:numCache>
                <c:formatCode>General</c:formatCode>
                <c:ptCount val="2"/>
                <c:pt idx="0">
                  <c:v>0</c:v>
                </c:pt>
                <c:pt idx="1">
                  <c:v>25</c:v>
                </c:pt>
              </c:numCache>
            </c:numRef>
          </c:xVal>
          <c:yVal>
            <c:numRef>
              <c:f>'-'!$C$53:$D$53</c:f>
              <c:numCache>
                <c:formatCode>General</c:formatCode>
                <c:ptCount val="2"/>
                <c:pt idx="0">
                  <c:v>-9.9009900990099009</c:v>
                </c:pt>
                <c:pt idx="1">
                  <c:v>-71.806930693069319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CD49-4A0B-BD02-907C333A3FC1}"/>
            </c:ext>
          </c:extLst>
        </c:ser>
        <c:ser>
          <c:idx val="49"/>
          <c:order val="3"/>
          <c:spPr>
            <a:ln w="3175">
              <a:solidFill>
                <a:srgbClr val="000000"/>
              </a:solidFill>
              <a:prstDash val="solid"/>
            </a:ln>
          </c:spPr>
          <c:marker>
            <c:symbol val="none"/>
          </c:marker>
          <c:xVal>
            <c:numRef>
              <c:f>'-'!$C$26:$D$26</c:f>
              <c:numCache>
                <c:formatCode>General</c:formatCode>
                <c:ptCount val="2"/>
                <c:pt idx="0">
                  <c:v>0</c:v>
                </c:pt>
                <c:pt idx="1">
                  <c:v>25</c:v>
                </c:pt>
              </c:numCache>
            </c:numRef>
          </c:xVal>
          <c:yVal>
            <c:numRef>
              <c:f>'-'!$C$52:$D$52</c:f>
              <c:numCache>
                <c:formatCode>General</c:formatCode>
                <c:ptCount val="2"/>
                <c:pt idx="0">
                  <c:v>-4.9504950495049505</c:v>
                </c:pt>
                <c:pt idx="1">
                  <c:v>-66.856435643564367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CD49-4A0B-BD02-907C333A3FC1}"/>
            </c:ext>
          </c:extLst>
        </c:ser>
        <c:ser>
          <c:idx val="38"/>
          <c:order val="4"/>
          <c:spPr>
            <a:ln w="3175">
              <a:solidFill>
                <a:srgbClr val="000000"/>
              </a:solidFill>
              <a:prstDash val="solid"/>
            </a:ln>
          </c:spPr>
          <c:marker>
            <c:symbol val="none"/>
          </c:marker>
          <c:xVal>
            <c:numRef>
              <c:f>'-'!$C$26:$D$26</c:f>
              <c:numCache>
                <c:formatCode>General</c:formatCode>
                <c:ptCount val="2"/>
                <c:pt idx="0">
                  <c:v>0</c:v>
                </c:pt>
                <c:pt idx="1">
                  <c:v>25</c:v>
                </c:pt>
              </c:numCache>
            </c:numRef>
          </c:xVal>
          <c:yVal>
            <c:numRef>
              <c:f>'-'!$C$51:$D$51</c:f>
              <c:numCache>
                <c:formatCode>General</c:formatCode>
                <c:ptCount val="2"/>
                <c:pt idx="0">
                  <c:v>0</c:v>
                </c:pt>
                <c:pt idx="1">
                  <c:v>-61.905940594059402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CD49-4A0B-BD02-907C333A3FC1}"/>
            </c:ext>
          </c:extLst>
        </c:ser>
        <c:ser>
          <c:idx val="37"/>
          <c:order val="5"/>
          <c:spPr>
            <a:ln w="3175">
              <a:solidFill>
                <a:srgbClr val="000000"/>
              </a:solidFill>
              <a:prstDash val="solid"/>
            </a:ln>
          </c:spPr>
          <c:marker>
            <c:symbol val="none"/>
          </c:marker>
          <c:xVal>
            <c:numRef>
              <c:f>'-'!$C$26:$G$26</c:f>
              <c:numCache>
                <c:formatCode>General</c:formatCode>
                <c:ptCount val="5"/>
                <c:pt idx="0">
                  <c:v>0</c:v>
                </c:pt>
                <c:pt idx="1">
                  <c:v>25</c:v>
                </c:pt>
              </c:numCache>
            </c:numRef>
          </c:xVal>
          <c:yVal>
            <c:numRef>
              <c:f>'-'!$C$50:$F$50</c:f>
              <c:numCache>
                <c:formatCode>General</c:formatCode>
                <c:ptCount val="4"/>
                <c:pt idx="0">
                  <c:v>4.9504950495049505</c:v>
                </c:pt>
                <c:pt idx="1">
                  <c:v>-56.955445544554451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5-CD49-4A0B-BD02-907C333A3FC1}"/>
            </c:ext>
          </c:extLst>
        </c:ser>
        <c:ser>
          <c:idx val="36"/>
          <c:order val="6"/>
          <c:spPr>
            <a:ln w="3175">
              <a:solidFill>
                <a:srgbClr val="000000"/>
              </a:solidFill>
              <a:prstDash val="solid"/>
            </a:ln>
          </c:spPr>
          <c:marker>
            <c:symbol val="none"/>
          </c:marker>
          <c:xVal>
            <c:numRef>
              <c:f>'-'!$C$26:$G$26</c:f>
              <c:numCache>
                <c:formatCode>General</c:formatCode>
                <c:ptCount val="5"/>
                <c:pt idx="0">
                  <c:v>0</c:v>
                </c:pt>
                <c:pt idx="1">
                  <c:v>25</c:v>
                </c:pt>
              </c:numCache>
            </c:numRef>
          </c:xVal>
          <c:yVal>
            <c:numRef>
              <c:f>'-'!$C$49:$F$49</c:f>
              <c:numCache>
                <c:formatCode>General</c:formatCode>
                <c:ptCount val="4"/>
                <c:pt idx="0">
                  <c:v>9.9009900990099009</c:v>
                </c:pt>
                <c:pt idx="1">
                  <c:v>-52.004950495049506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6-CD49-4A0B-BD02-907C333A3FC1}"/>
            </c:ext>
          </c:extLst>
        </c:ser>
        <c:ser>
          <c:idx val="35"/>
          <c:order val="7"/>
          <c:spPr>
            <a:ln w="3175">
              <a:solidFill>
                <a:srgbClr val="000000"/>
              </a:solidFill>
              <a:prstDash val="solid"/>
            </a:ln>
          </c:spPr>
          <c:marker>
            <c:symbol val="none"/>
          </c:marker>
          <c:xVal>
            <c:numRef>
              <c:f>'-'!$C$26:$G$26</c:f>
              <c:numCache>
                <c:formatCode>General</c:formatCode>
                <c:ptCount val="5"/>
                <c:pt idx="0">
                  <c:v>0</c:v>
                </c:pt>
                <c:pt idx="1">
                  <c:v>25</c:v>
                </c:pt>
              </c:numCache>
            </c:numRef>
          </c:xVal>
          <c:yVal>
            <c:numRef>
              <c:f>'-'!$C$48:$F$48</c:f>
              <c:numCache>
                <c:formatCode>General</c:formatCode>
                <c:ptCount val="4"/>
                <c:pt idx="0">
                  <c:v>14.851485148514852</c:v>
                </c:pt>
                <c:pt idx="1">
                  <c:v>-47.054455445544555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7-CD49-4A0B-BD02-907C333A3FC1}"/>
            </c:ext>
          </c:extLst>
        </c:ser>
        <c:ser>
          <c:idx val="34"/>
          <c:order val="8"/>
          <c:spPr>
            <a:ln w="3175">
              <a:solidFill>
                <a:srgbClr val="000000"/>
              </a:solidFill>
              <a:prstDash val="solid"/>
            </a:ln>
          </c:spPr>
          <c:marker>
            <c:symbol val="none"/>
          </c:marker>
          <c:xVal>
            <c:numRef>
              <c:f>'-'!$C$26:$G$26</c:f>
              <c:numCache>
                <c:formatCode>General</c:formatCode>
                <c:ptCount val="5"/>
                <c:pt idx="0">
                  <c:v>0</c:v>
                </c:pt>
                <c:pt idx="1">
                  <c:v>25</c:v>
                </c:pt>
              </c:numCache>
            </c:numRef>
          </c:xVal>
          <c:yVal>
            <c:numRef>
              <c:f>'-'!$C$47:$F$47</c:f>
              <c:numCache>
                <c:formatCode>General</c:formatCode>
                <c:ptCount val="4"/>
                <c:pt idx="0">
                  <c:v>19.801980198019802</c:v>
                </c:pt>
                <c:pt idx="1">
                  <c:v>-42.103960396039604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8-CD49-4A0B-BD02-907C333A3FC1}"/>
            </c:ext>
          </c:extLst>
        </c:ser>
        <c:ser>
          <c:idx val="33"/>
          <c:order val="9"/>
          <c:spPr>
            <a:ln w="3175">
              <a:solidFill>
                <a:srgbClr val="000000"/>
              </a:solidFill>
              <a:prstDash val="solid"/>
            </a:ln>
          </c:spPr>
          <c:marker>
            <c:symbol val="none"/>
          </c:marker>
          <c:xVal>
            <c:numRef>
              <c:f>'-'!$C$26:$G$26</c:f>
              <c:numCache>
                <c:formatCode>General</c:formatCode>
                <c:ptCount val="5"/>
                <c:pt idx="0">
                  <c:v>0</c:v>
                </c:pt>
                <c:pt idx="1">
                  <c:v>25</c:v>
                </c:pt>
              </c:numCache>
            </c:numRef>
          </c:xVal>
          <c:yVal>
            <c:numRef>
              <c:f>'-'!$C$46:$F$46</c:f>
              <c:numCache>
                <c:formatCode>General</c:formatCode>
                <c:ptCount val="4"/>
                <c:pt idx="0">
                  <c:v>24.752475247524753</c:v>
                </c:pt>
                <c:pt idx="1">
                  <c:v>-37.153465346534652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9-CD49-4A0B-BD02-907C333A3FC1}"/>
            </c:ext>
          </c:extLst>
        </c:ser>
        <c:ser>
          <c:idx val="32"/>
          <c:order val="10"/>
          <c:spPr>
            <a:ln w="3175">
              <a:solidFill>
                <a:srgbClr val="000000"/>
              </a:solidFill>
              <a:prstDash val="solid"/>
            </a:ln>
          </c:spPr>
          <c:marker>
            <c:symbol val="none"/>
          </c:marker>
          <c:xVal>
            <c:numRef>
              <c:f>'-'!$C$26:$G$26</c:f>
              <c:numCache>
                <c:formatCode>General</c:formatCode>
                <c:ptCount val="5"/>
                <c:pt idx="0">
                  <c:v>0</c:v>
                </c:pt>
                <c:pt idx="1">
                  <c:v>25</c:v>
                </c:pt>
              </c:numCache>
            </c:numRef>
          </c:xVal>
          <c:yVal>
            <c:numRef>
              <c:f>'-'!$C$45:$F$45</c:f>
              <c:numCache>
                <c:formatCode>General</c:formatCode>
                <c:ptCount val="4"/>
                <c:pt idx="0">
                  <c:v>29.702970297029704</c:v>
                </c:pt>
                <c:pt idx="1">
                  <c:v>-32.202970297029701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A-CD49-4A0B-BD02-907C333A3FC1}"/>
            </c:ext>
          </c:extLst>
        </c:ser>
        <c:ser>
          <c:idx val="31"/>
          <c:order val="11"/>
          <c:spPr>
            <a:ln w="3175">
              <a:solidFill>
                <a:srgbClr val="000000"/>
              </a:solidFill>
              <a:prstDash val="solid"/>
            </a:ln>
          </c:spPr>
          <c:marker>
            <c:symbol val="none"/>
          </c:marker>
          <c:xVal>
            <c:numRef>
              <c:f>'-'!$C$26:$G$26</c:f>
              <c:numCache>
                <c:formatCode>General</c:formatCode>
                <c:ptCount val="5"/>
                <c:pt idx="0">
                  <c:v>0</c:v>
                </c:pt>
                <c:pt idx="1">
                  <c:v>25</c:v>
                </c:pt>
              </c:numCache>
            </c:numRef>
          </c:xVal>
          <c:yVal>
            <c:numRef>
              <c:f>'-'!$C$44:$F$44</c:f>
              <c:numCache>
                <c:formatCode>General</c:formatCode>
                <c:ptCount val="4"/>
                <c:pt idx="0">
                  <c:v>34.653465346534652</c:v>
                </c:pt>
                <c:pt idx="1">
                  <c:v>-27.25247524752475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B-CD49-4A0B-BD02-907C333A3FC1}"/>
            </c:ext>
          </c:extLst>
        </c:ser>
        <c:ser>
          <c:idx val="62"/>
          <c:order val="12"/>
          <c:tx>
            <c:v>10.bod</c:v>
          </c:tx>
          <c:spPr>
            <a:ln w="38100">
              <a:solidFill>
                <a:srgbClr val="FF0000"/>
              </a:solidFill>
              <a:prstDash val="solid"/>
            </a:ln>
          </c:spPr>
          <c:marker>
            <c:symbol val="diamond"/>
            <c:size val="6"/>
            <c:spPr>
              <a:solidFill>
                <a:srgbClr val="0000FF"/>
              </a:solidFill>
              <a:ln>
                <a:solidFill>
                  <a:srgbClr val="FF0000"/>
                </a:solidFill>
                <a:prstDash val="solid"/>
              </a:ln>
            </c:spPr>
          </c:marker>
          <c:xVal>
            <c:numRef>
              <c:f>Расчет!$E$180:$S$180</c:f>
              <c:numCache>
                <c:formatCode>General</c:formatCode>
                <c:ptCount val="15"/>
                <c:pt idx="8">
                  <c:v>5.4476262829484417E-4</c:v>
                </c:pt>
                <c:pt idx="9">
                  <c:v>5.4476262829484417E-4</c:v>
                </c:pt>
                <c:pt idx="10">
                  <c:v>15.17511246915182</c:v>
                </c:pt>
                <c:pt idx="11">
                  <c:v>9.2012211080269264</c:v>
                </c:pt>
                <c:pt idx="12">
                  <c:v>9.0684559843778378E-2</c:v>
                </c:pt>
                <c:pt idx="13">
                  <c:v>9.0684559843778378E-2</c:v>
                </c:pt>
                <c:pt idx="14">
                  <c:v>9.0671476786990859E-4</c:v>
                </c:pt>
              </c:numCache>
            </c:numRef>
          </c:xVal>
          <c:yVal>
            <c:numRef>
              <c:f>Расчет!$E$181:$S$181</c:f>
              <c:numCache>
                <c:formatCode>General</c:formatCode>
                <c:ptCount val="15"/>
                <c:pt idx="8">
                  <c:v>8.0000080258098105</c:v>
                </c:pt>
                <c:pt idx="9">
                  <c:v>20.000020064524527</c:v>
                </c:pt>
                <c:pt idx="10">
                  <c:v>35.978118635387915</c:v>
                </c:pt>
                <c:pt idx="11">
                  <c:v>16.271117168489983</c:v>
                </c:pt>
                <c:pt idx="12">
                  <c:v>16.00267205198114</c:v>
                </c:pt>
                <c:pt idx="13">
                  <c:v>20.003340064976424</c:v>
                </c:pt>
                <c:pt idx="14">
                  <c:v>20.000033395831053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C-CD49-4A0B-BD02-907C333A3FC1}"/>
            </c:ext>
          </c:extLst>
        </c:ser>
        <c:ser>
          <c:idx val="61"/>
          <c:order val="13"/>
          <c:tx>
            <c:v>9.bod</c:v>
          </c:tx>
          <c:spPr>
            <a:ln w="38100">
              <a:solidFill>
                <a:srgbClr val="FF0000"/>
              </a:solidFill>
              <a:prstDash val="solid"/>
            </a:ln>
          </c:spPr>
          <c:marker>
            <c:symbol val="diamond"/>
            <c:size val="6"/>
            <c:spPr>
              <a:solidFill>
                <a:srgbClr val="0000FF"/>
              </a:solidFill>
              <a:ln>
                <a:solidFill>
                  <a:srgbClr val="FF0000"/>
                </a:solidFill>
                <a:prstDash val="solid"/>
              </a:ln>
            </c:spPr>
          </c:marker>
          <c:xVal>
            <c:numRef>
              <c:f>Расчет!$E$178:$S$178</c:f>
              <c:numCache>
                <c:formatCode>General</c:formatCode>
                <c:ptCount val="15"/>
                <c:pt idx="7">
                  <c:v>5.4476262829484417E-4</c:v>
                </c:pt>
                <c:pt idx="8">
                  <c:v>5.4476262829484417E-4</c:v>
                </c:pt>
                <c:pt idx="9">
                  <c:v>5.4476262829484417E-4</c:v>
                </c:pt>
                <c:pt idx="10">
                  <c:v>5.4476262829484417E-4</c:v>
                </c:pt>
                <c:pt idx="11">
                  <c:v>5.4476262829484417E-4</c:v>
                </c:pt>
                <c:pt idx="12">
                  <c:v>5.4476262829484417E-4</c:v>
                </c:pt>
                <c:pt idx="13">
                  <c:v>5.4476262829484417E-4</c:v>
                </c:pt>
                <c:pt idx="14">
                  <c:v>5.4476262829484417E-4</c:v>
                </c:pt>
              </c:numCache>
            </c:numRef>
          </c:xVal>
          <c:yVal>
            <c:numRef>
              <c:f>Расчет!$E$179:$S$179</c:f>
              <c:numCache>
                <c:formatCode>General</c:formatCode>
                <c:ptCount val="15"/>
                <c:pt idx="7">
                  <c:v>8.0000080258098105</c:v>
                </c:pt>
                <c:pt idx="8">
                  <c:v>8.0000080258098105</c:v>
                </c:pt>
                <c:pt idx="9">
                  <c:v>8.0000080258098105</c:v>
                </c:pt>
                <c:pt idx="10">
                  <c:v>8.0000080258098105</c:v>
                </c:pt>
                <c:pt idx="11">
                  <c:v>8.0000080258098105</c:v>
                </c:pt>
                <c:pt idx="12">
                  <c:v>8.0000080258098105</c:v>
                </c:pt>
                <c:pt idx="13">
                  <c:v>8.0000080258098105</c:v>
                </c:pt>
                <c:pt idx="14">
                  <c:v>8.0000080258098105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D-CD49-4A0B-BD02-907C333A3FC1}"/>
            </c:ext>
          </c:extLst>
        </c:ser>
        <c:ser>
          <c:idx val="60"/>
          <c:order val="14"/>
          <c:tx>
            <c:v>8.bod</c:v>
          </c:tx>
          <c:spPr>
            <a:ln w="38100">
              <a:solidFill>
                <a:srgbClr val="FF0000"/>
              </a:solidFill>
              <a:prstDash val="solid"/>
            </a:ln>
          </c:spPr>
          <c:marker>
            <c:symbol val="diamond"/>
            <c:size val="6"/>
            <c:spPr>
              <a:solidFill>
                <a:srgbClr val="0000FF"/>
              </a:solidFill>
              <a:ln>
                <a:solidFill>
                  <a:srgbClr val="FF0000"/>
                </a:solidFill>
                <a:prstDash val="solid"/>
              </a:ln>
            </c:spPr>
          </c:marker>
          <c:xVal>
            <c:numRef>
              <c:f>Расчет!$E$176:$S$176</c:f>
              <c:numCache>
                <c:formatCode>General</c:formatCode>
                <c:ptCount val="15"/>
                <c:pt idx="6">
                  <c:v>5.4480985171597482E-2</c:v>
                </c:pt>
                <c:pt idx="7">
                  <c:v>5.4480985171597482E-2</c:v>
                </c:pt>
                <c:pt idx="8">
                  <c:v>5.4480985171597482E-2</c:v>
                </c:pt>
              </c:numCache>
            </c:numRef>
          </c:xVal>
          <c:yVal>
            <c:numRef>
              <c:f>Расчет!$E$177:$S$177</c:f>
              <c:numCache>
                <c:formatCode>General</c:formatCode>
                <c:ptCount val="15"/>
                <c:pt idx="6">
                  <c:v>4.277449722330025</c:v>
                </c:pt>
                <c:pt idx="7">
                  <c:v>8.0008026505538137</c:v>
                </c:pt>
                <c:pt idx="8">
                  <c:v>8.0008026505538137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E-CD49-4A0B-BD02-907C333A3FC1}"/>
            </c:ext>
          </c:extLst>
        </c:ser>
        <c:ser>
          <c:idx val="59"/>
          <c:order val="15"/>
          <c:tx>
            <c:v>7.bod</c:v>
          </c:tx>
          <c:spPr>
            <a:ln w="38100">
              <a:solidFill>
                <a:srgbClr val="FF0000"/>
              </a:solidFill>
              <a:prstDash val="solid"/>
            </a:ln>
          </c:spPr>
          <c:marker>
            <c:symbol val="diamond"/>
            <c:size val="6"/>
            <c:spPr>
              <a:solidFill>
                <a:srgbClr val="000080"/>
              </a:solidFill>
              <a:ln>
                <a:solidFill>
                  <a:srgbClr val="FF0000"/>
                </a:solidFill>
                <a:prstDash val="solid"/>
              </a:ln>
            </c:spPr>
          </c:marker>
          <c:xVal>
            <c:numRef>
              <c:f>Расчет!$E$174:$S$174</c:f>
              <c:numCache>
                <c:formatCode>General</c:formatCode>
                <c:ptCount val="15"/>
                <c:pt idx="5">
                  <c:v>5.4480985171597482E-2</c:v>
                </c:pt>
                <c:pt idx="6">
                  <c:v>5.4480985171597482E-2</c:v>
                </c:pt>
                <c:pt idx="7">
                  <c:v>5.4480985171597482E-2</c:v>
                </c:pt>
              </c:numCache>
            </c:numRef>
          </c:xVal>
          <c:yVal>
            <c:numRef>
              <c:f>Расчет!$E$175:$S$175</c:f>
              <c:numCache>
                <c:formatCode>General</c:formatCode>
                <c:ptCount val="15"/>
                <c:pt idx="5">
                  <c:v>4.277449722330025</c:v>
                </c:pt>
                <c:pt idx="6">
                  <c:v>4.277449722330025</c:v>
                </c:pt>
                <c:pt idx="7">
                  <c:v>4.277449722330025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F-CD49-4A0B-BD02-907C333A3FC1}"/>
            </c:ext>
          </c:extLst>
        </c:ser>
        <c:ser>
          <c:idx val="58"/>
          <c:order val="16"/>
          <c:tx>
            <c:v>6.bod</c:v>
          </c:tx>
          <c:spPr>
            <a:ln w="38100">
              <a:solidFill>
                <a:srgbClr val="FF0000"/>
              </a:solidFill>
              <a:prstDash val="solid"/>
            </a:ln>
          </c:spPr>
          <c:marker>
            <c:symbol val="diamond"/>
            <c:size val="6"/>
            <c:spPr>
              <a:solidFill>
                <a:srgbClr val="0000FF"/>
              </a:solidFill>
              <a:ln>
                <a:solidFill>
                  <a:srgbClr val="FF0000"/>
                </a:solidFill>
                <a:prstDash val="solid"/>
              </a:ln>
            </c:spPr>
          </c:marker>
          <c:xVal>
            <c:numRef>
              <c:f>Расчет!$E$172:$S$172</c:f>
              <c:numCache>
                <c:formatCode>General</c:formatCode>
                <c:ptCount val="15"/>
                <c:pt idx="4">
                  <c:v>9.3757233081908904</c:v>
                </c:pt>
                <c:pt idx="5">
                  <c:v>5.4957390094007232</c:v>
                </c:pt>
                <c:pt idx="6">
                  <c:v>8.3203757830561539E-2</c:v>
                </c:pt>
              </c:numCache>
            </c:numRef>
          </c:xVal>
          <c:yVal>
            <c:numRef>
              <c:f>Расчет!$E$173:$S$173</c:f>
              <c:numCache>
                <c:formatCode>General</c:formatCode>
                <c:ptCount val="15"/>
                <c:pt idx="4">
                  <c:v>20.345323670361086</c:v>
                </c:pt>
                <c:pt idx="5">
                  <c:v>4.3203077551807594</c:v>
                </c:pt>
                <c:pt idx="6">
                  <c:v>-25.003830668058537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0-CD49-4A0B-BD02-907C333A3FC1}"/>
            </c:ext>
          </c:extLst>
        </c:ser>
        <c:ser>
          <c:idx val="57"/>
          <c:order val="17"/>
          <c:tx>
            <c:v>5.bod</c:v>
          </c:tx>
          <c:spPr>
            <a:ln w="38100">
              <a:solidFill>
                <a:srgbClr val="FF0000"/>
              </a:solidFill>
              <a:prstDash val="solid"/>
            </a:ln>
          </c:spPr>
          <c:marker>
            <c:symbol val="diamond"/>
            <c:size val="6"/>
            <c:spPr>
              <a:solidFill>
                <a:srgbClr val="0000FF"/>
              </a:solidFill>
              <a:ln>
                <a:solidFill>
                  <a:srgbClr val="FF0000"/>
                </a:solidFill>
                <a:prstDash val="solid"/>
              </a:ln>
            </c:spPr>
          </c:marker>
          <c:xVal>
            <c:numRef>
              <c:f>Расчет!$E$170:$S$170</c:f>
              <c:numCache>
                <c:formatCode>General</c:formatCode>
                <c:ptCount val="15"/>
                <c:pt idx="3">
                  <c:v>9.3757233081908904</c:v>
                </c:pt>
                <c:pt idx="4">
                  <c:v>9.3757233081908904</c:v>
                </c:pt>
                <c:pt idx="5">
                  <c:v>9.3757233081908904</c:v>
                </c:pt>
              </c:numCache>
            </c:numRef>
          </c:xVal>
          <c:yVal>
            <c:numRef>
              <c:f>Расчет!$E$171:$S$171</c:f>
              <c:numCache>
                <c:formatCode>General</c:formatCode>
                <c:ptCount val="15"/>
                <c:pt idx="3">
                  <c:v>20.345323670361086</c:v>
                </c:pt>
                <c:pt idx="4">
                  <c:v>20.345323670361086</c:v>
                </c:pt>
                <c:pt idx="5">
                  <c:v>20.345323670361086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1-CD49-4A0B-BD02-907C333A3FC1}"/>
            </c:ext>
          </c:extLst>
        </c:ser>
        <c:ser>
          <c:idx val="56"/>
          <c:order val="18"/>
          <c:tx>
            <c:v>4.bod</c:v>
          </c:tx>
          <c:spPr>
            <a:ln w="38100">
              <a:solidFill>
                <a:srgbClr val="FF0000"/>
              </a:solidFill>
              <a:prstDash val="solid"/>
            </a:ln>
          </c:spPr>
          <c:marker>
            <c:symbol val="diamond"/>
            <c:size val="6"/>
            <c:spPr>
              <a:solidFill>
                <a:srgbClr val="0000FF"/>
              </a:solidFill>
              <a:ln>
                <a:solidFill>
                  <a:srgbClr val="FF0000"/>
                </a:solidFill>
                <a:prstDash val="solid"/>
              </a:ln>
            </c:spPr>
          </c:marker>
          <c:xVal>
            <c:numRef>
              <c:f>Расчет!$E$168:$S$168</c:f>
              <c:numCache>
                <c:formatCode>General</c:formatCode>
                <c:ptCount val="15"/>
                <c:pt idx="2">
                  <c:v>8.3203757830561539E-2</c:v>
                </c:pt>
                <c:pt idx="3">
                  <c:v>8.3203757830561539E-2</c:v>
                </c:pt>
                <c:pt idx="4">
                  <c:v>8.3203757830561539E-2</c:v>
                </c:pt>
              </c:numCache>
            </c:numRef>
          </c:xVal>
          <c:yVal>
            <c:numRef>
              <c:f>Расчет!$E$169:$S$169</c:f>
              <c:numCache>
                <c:formatCode>General</c:formatCode>
                <c:ptCount val="15"/>
                <c:pt idx="2">
                  <c:v>-25.003830668058537</c:v>
                </c:pt>
                <c:pt idx="3">
                  <c:v>-25.003830668058537</c:v>
                </c:pt>
                <c:pt idx="4">
                  <c:v>-25.003830668058537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2-CD49-4A0B-BD02-907C333A3FC1}"/>
            </c:ext>
          </c:extLst>
        </c:ser>
        <c:ser>
          <c:idx val="55"/>
          <c:order val="19"/>
          <c:tx>
            <c:v>3.bod</c:v>
          </c:tx>
          <c:spPr>
            <a:ln w="38100">
              <a:solidFill>
                <a:srgbClr val="FF0000"/>
              </a:solidFill>
              <a:prstDash val="solid"/>
            </a:ln>
          </c:spPr>
          <c:marker>
            <c:symbol val="diamond"/>
            <c:size val="6"/>
            <c:spPr>
              <a:solidFill>
                <a:srgbClr val="0000FF"/>
              </a:solidFill>
              <a:ln>
                <a:solidFill>
                  <a:srgbClr val="FF0000"/>
                </a:solidFill>
                <a:prstDash val="solid"/>
              </a:ln>
            </c:spPr>
          </c:marker>
          <c:xVal>
            <c:numRef>
              <c:f>Расчет!$E$166:$S$166</c:f>
              <c:numCache>
                <c:formatCode>General</c:formatCode>
                <c:ptCount val="15"/>
                <c:pt idx="1">
                  <c:v>-1</c:v>
                </c:pt>
                <c:pt idx="2">
                  <c:v>-1</c:v>
                </c:pt>
                <c:pt idx="3">
                  <c:v>-1</c:v>
                </c:pt>
              </c:numCache>
            </c:numRef>
          </c:xVal>
          <c:yVal>
            <c:numRef>
              <c:f>Расчет!$E$167:$S$167</c:f>
              <c:numCache>
                <c:formatCode>General</c:formatCode>
                <c:ptCount val="15"/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3-CD49-4A0B-BD02-907C333A3FC1}"/>
            </c:ext>
          </c:extLst>
        </c:ser>
        <c:ser>
          <c:idx val="54"/>
          <c:order val="20"/>
          <c:tx>
            <c:v>3.bod</c:v>
          </c:tx>
          <c:spPr>
            <a:ln w="38100">
              <a:solidFill>
                <a:srgbClr val="FF0000"/>
              </a:solidFill>
              <a:prstDash val="solid"/>
            </a:ln>
          </c:spPr>
          <c:marker>
            <c:symbol val="diamond"/>
            <c:size val="6"/>
            <c:spPr>
              <a:solidFill>
                <a:srgbClr val="0000FF"/>
              </a:solidFill>
              <a:ln>
                <a:solidFill>
                  <a:srgbClr val="FF0000"/>
                </a:solidFill>
                <a:prstDash val="solid"/>
              </a:ln>
            </c:spPr>
          </c:marker>
          <c:xVal>
            <c:numRef>
              <c:f>Расчет!$E$164:$S$164</c:f>
              <c:numCache>
                <c:formatCode>General</c:formatCode>
                <c:ptCount val="15"/>
                <c:pt idx="0">
                  <c:v>-1</c:v>
                </c:pt>
                <c:pt idx="1">
                  <c:v>-1</c:v>
                </c:pt>
              </c:numCache>
            </c:numRef>
          </c:xVal>
          <c:yVal>
            <c:numRef>
              <c:f>Расчет!$E$165:$S$165</c:f>
              <c:numCache>
                <c:formatCode>General</c:formatCode>
                <c:ptCount val="15"/>
                <c:pt idx="0">
                  <c:v>0</c:v>
                </c:pt>
                <c:pt idx="1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4-CD49-4A0B-BD02-907C333A3FC1}"/>
            </c:ext>
          </c:extLst>
        </c:ser>
        <c:ser>
          <c:idx val="14"/>
          <c:order val="21"/>
          <c:tx>
            <c:v>2.bod</c:v>
          </c:tx>
          <c:spPr>
            <a:ln w="38100">
              <a:solidFill>
                <a:srgbClr val="FF0000"/>
              </a:solidFill>
              <a:prstDash val="solid"/>
            </a:ln>
          </c:spPr>
          <c:marker>
            <c:symbol val="diamond"/>
            <c:size val="6"/>
            <c:spPr>
              <a:solidFill>
                <a:srgbClr val="0000FF"/>
              </a:solidFill>
              <a:ln>
                <a:solidFill>
                  <a:srgbClr val="FF0000"/>
                </a:solidFill>
                <a:prstDash val="solid"/>
              </a:ln>
            </c:spPr>
          </c:marker>
          <c:xVal>
            <c:numRef>
              <c:f>Расчет!$E$164:$S$164</c:f>
              <c:numCache>
                <c:formatCode>General</c:formatCode>
                <c:ptCount val="15"/>
                <c:pt idx="0">
                  <c:v>-1</c:v>
                </c:pt>
                <c:pt idx="1">
                  <c:v>-1</c:v>
                </c:pt>
              </c:numCache>
            </c:numRef>
          </c:xVal>
          <c:yVal>
            <c:numRef>
              <c:f>Расчет!$E$165:$S$165</c:f>
              <c:numCache>
                <c:formatCode>General</c:formatCode>
                <c:ptCount val="15"/>
                <c:pt idx="0">
                  <c:v>0</c:v>
                </c:pt>
                <c:pt idx="1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5-CD49-4A0B-BD02-907C333A3FC1}"/>
            </c:ext>
          </c:extLst>
        </c:ser>
        <c:ser>
          <c:idx val="53"/>
          <c:order val="22"/>
          <c:tx>
            <c:v>1.bod</c:v>
          </c:tx>
          <c:spPr>
            <a:ln w="38100">
              <a:solidFill>
                <a:srgbClr val="FF0000"/>
              </a:solidFill>
              <a:prstDash val="solid"/>
            </a:ln>
          </c:spPr>
          <c:marker>
            <c:symbol val="diamond"/>
            <c:size val="6"/>
            <c:spPr>
              <a:solidFill>
                <a:srgbClr val="0000FF"/>
              </a:solidFill>
              <a:ln>
                <a:solidFill>
                  <a:srgbClr val="FF0000"/>
                </a:solidFill>
                <a:prstDash val="solid"/>
              </a:ln>
            </c:spPr>
          </c:marker>
          <c:xVal>
            <c:numRef>
              <c:f>Расчет!$E$162:$S$162</c:f>
              <c:numCache>
                <c:formatCode>General</c:formatCode>
                <c:ptCount val="15"/>
                <c:pt idx="0">
                  <c:v>-1</c:v>
                </c:pt>
              </c:numCache>
            </c:numRef>
          </c:xVal>
          <c:yVal>
            <c:numRef>
              <c:f>Расчет!$E$163:$S$163</c:f>
              <c:numCache>
                <c:formatCode>General</c:formatCode>
                <c:ptCount val="15"/>
                <c:pt idx="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6-CD49-4A0B-BD02-907C333A3FC1}"/>
            </c:ext>
          </c:extLst>
        </c:ser>
        <c:ser>
          <c:idx val="48"/>
          <c:order val="23"/>
          <c:spPr>
            <a:ln w="3175">
              <a:solidFill>
                <a:srgbClr val="000000"/>
              </a:solidFill>
              <a:prstDash val="solid"/>
            </a:ln>
          </c:spPr>
          <c:marker>
            <c:symbol val="none"/>
          </c:marker>
          <c:xVal>
            <c:numRef>
              <c:f>'-'!$D$79:$T$79</c:f>
              <c:numCache>
                <c:formatCode>General</c:formatCode>
                <c:ptCount val="17"/>
                <c:pt idx="2">
                  <c:v>0.17101280627768012</c:v>
                </c:pt>
                <c:pt idx="3">
                  <c:v>0.26443999317586409</c:v>
                </c:pt>
                <c:pt idx="4">
                  <c:v>0.40111958118109542</c:v>
                </c:pt>
                <c:pt idx="5">
                  <c:v>0.57365941965561285</c:v>
                </c:pt>
                <c:pt idx="6">
                  <c:v>0.80856460613349224</c:v>
                </c:pt>
                <c:pt idx="7">
                  <c:v>1.1242211125591719</c:v>
                </c:pt>
                <c:pt idx="8">
                  <c:v>1.5432417243466023</c:v>
                </c:pt>
                <c:pt idx="9">
                  <c:v>2.093178554164365</c:v>
                </c:pt>
                <c:pt idx="10">
                  <c:v>2.8073255116868441</c:v>
                </c:pt>
                <c:pt idx="11">
                  <c:v>3.7256286077166139</c:v>
                </c:pt>
                <c:pt idx="12">
                  <c:v>4.89572992529573</c:v>
                </c:pt>
                <c:pt idx="13">
                  <c:v>6.3741820722374358</c:v>
                </c:pt>
                <c:pt idx="14">
                  <c:v>8.2278849367789046</c:v>
                </c:pt>
                <c:pt idx="15">
                  <c:v>10.53581702830612</c:v>
                </c:pt>
                <c:pt idx="16">
                  <c:v>13.391161696827741</c:v>
                </c:pt>
              </c:numCache>
            </c:numRef>
          </c:xVal>
          <c:yVal>
            <c:numRef>
              <c:f>'-'!$D$80:$T$80</c:f>
              <c:numCache>
                <c:formatCode>General</c:formatCode>
                <c:ptCount val="17"/>
                <c:pt idx="2">
                  <c:v>-10.003149344749273</c:v>
                </c:pt>
                <c:pt idx="3">
                  <c:v>-5.002434942511421</c:v>
                </c:pt>
                <c:pt idx="4">
                  <c:v>0</c:v>
                </c:pt>
                <c:pt idx="5">
                  <c:v>5.0052822104978194</c:v>
                </c:pt>
                <c:pt idx="6">
                  <c:v>10.014890397697112</c:v>
                </c:pt>
                <c:pt idx="7">
                  <c:v>15.031055216871684</c:v>
                </c:pt>
                <c:pt idx="8">
                  <c:v>20.05684019024326</c:v>
                </c:pt>
                <c:pt idx="9">
                  <c:v>25.096369111652123</c:v>
                </c:pt>
                <c:pt idx="10">
                  <c:v>30.155097785695176</c:v>
                </c:pt>
                <c:pt idx="11">
                  <c:v>35.240137051843917</c:v>
                </c:pt>
                <c:pt idx="12">
                  <c:v>40.36063594697228</c:v>
                </c:pt>
                <c:pt idx="13">
                  <c:v>45.528236672719089</c:v>
                </c:pt>
                <c:pt idx="14">
                  <c:v>50.757617127842018</c:v>
                </c:pt>
                <c:pt idx="15">
                  <c:v>56.067142655441302</c:v>
                </c:pt>
                <c:pt idx="16">
                  <c:v>61.47965707461978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7-CD49-4A0B-BD02-907C333A3FC1}"/>
            </c:ext>
          </c:extLst>
        </c:ser>
        <c:ser>
          <c:idx val="47"/>
          <c:order val="24"/>
          <c:spPr>
            <a:ln w="3175">
              <a:solidFill>
                <a:srgbClr val="000000"/>
              </a:solidFill>
              <a:prstDash val="solid"/>
            </a:ln>
          </c:spPr>
          <c:marker>
            <c:symbol val="none"/>
          </c:marker>
          <c:xVal>
            <c:numRef>
              <c:f>'-'!$D$77:$T$77</c:f>
              <c:numCache>
                <c:formatCode>General</c:formatCode>
                <c:ptCount val="17"/>
                <c:pt idx="0">
                  <c:v>0.1358156797329006</c:v>
                </c:pt>
                <c:pt idx="1">
                  <c:v>0.21750328911584826</c:v>
                </c:pt>
                <c:pt idx="2">
                  <c:v>0.34211964476451118</c:v>
                </c:pt>
                <c:pt idx="3">
                  <c:v>0.52910486016338154</c:v>
                </c:pt>
                <c:pt idx="4">
                  <c:v>0.802756683134497</c:v>
                </c:pt>
                <c:pt idx="5">
                  <c:v>1.1483776269084569</c:v>
                </c:pt>
                <c:pt idx="6">
                  <c:v>1.6192334470055176</c:v>
                </c:pt>
                <c:pt idx="7">
                  <c:v>2.2525121732724562</c:v>
                </c:pt>
                <c:pt idx="8">
                  <c:v>3.0941578838395496</c:v>
                </c:pt>
                <c:pt idx="9">
                  <c:v>4.2004882106101</c:v>
                </c:pt>
                <c:pt idx="10">
                  <c:v>5.640098778418829</c:v>
                </c:pt>
                <c:pt idx="11">
                  <c:v>7.4961428539161545</c:v>
                </c:pt>
                <c:pt idx="12">
                  <c:v>9.8691141700684106</c:v>
                </c:pt>
                <c:pt idx="13">
                  <c:v>12.880317680384588</c:v>
                </c:pt>
                <c:pt idx="14">
                  <c:v>16.676294841620564</c:v>
                </c:pt>
                <c:pt idx="15">
                  <c:v>21.434589559138622</c:v>
                </c:pt>
                <c:pt idx="16">
                  <c:v>27.371418690269035</c:v>
                </c:pt>
              </c:numCache>
            </c:numRef>
          </c:xVal>
          <c:yVal>
            <c:numRef>
              <c:f>'-'!$D$78:$T$78</c:f>
              <c:numCache>
                <c:formatCode>General</c:formatCode>
                <c:ptCount val="17"/>
                <c:pt idx="0">
                  <c:v>-20.005002320085211</c:v>
                </c:pt>
                <c:pt idx="1">
                  <c:v>-15.006008259174585</c:v>
                </c:pt>
                <c:pt idx="2">
                  <c:v>-10.006300421180811</c:v>
                </c:pt>
                <c:pt idx="3">
                  <c:v>-5.0048719556430887</c:v>
                </c:pt>
                <c:pt idx="4">
                  <c:v>0</c:v>
                </c:pt>
                <c:pt idx="5">
                  <c:v>5.0105741702279687</c:v>
                </c:pt>
                <c:pt idx="6">
                  <c:v>10.029819546647824</c:v>
                </c:pt>
                <c:pt idx="7">
                  <c:v>15.062222861024061</c:v>
                </c:pt>
                <c:pt idx="8">
                  <c:v>20.113963042850326</c:v>
                </c:pt>
                <c:pt idx="9">
                  <c:v>25.193388813656799</c:v>
                </c:pt>
                <c:pt idx="10">
                  <c:v>30.311601496867098</c:v>
                </c:pt>
                <c:pt idx="11">
                  <c:v>35.483167227514798</c:v>
                </c:pt>
                <c:pt idx="12">
                  <c:v>40.726992172527808</c:v>
                </c:pt>
                <c:pt idx="13">
                  <c:v>46.067408504800191</c:v>
                </c:pt>
                <c:pt idx="14">
                  <c:v>51.535540020070016</c:v>
                </c:pt>
                <c:pt idx="15">
                  <c:v>57.171048031584036</c:v>
                </c:pt>
                <c:pt idx="16">
                  <c:v>63.024406263202003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8-CD49-4A0B-BD02-907C333A3FC1}"/>
            </c:ext>
          </c:extLst>
        </c:ser>
        <c:ser>
          <c:idx val="46"/>
          <c:order val="25"/>
          <c:spPr>
            <a:ln w="3175">
              <a:solidFill>
                <a:srgbClr val="000000"/>
              </a:solidFill>
              <a:prstDash val="solid"/>
            </a:ln>
          </c:spPr>
          <c:marker>
            <c:symbol val="none"/>
          </c:marker>
          <c:xVal>
            <c:numRef>
              <c:f>'-'!$D$75:$T$75</c:f>
              <c:numCache>
                <c:formatCode>General</c:formatCode>
                <c:ptCount val="17"/>
                <c:pt idx="2">
                  <c:v>0.51332059303791133</c:v>
                </c:pt>
                <c:pt idx="3">
                  <c:v>0.79399488792599981</c:v>
                </c:pt>
                <c:pt idx="4">
                  <c:v>1.2049123080574862</c:v>
                </c:pt>
                <c:pt idx="5">
                  <c:v>1.7241575557293394</c:v>
                </c:pt>
                <c:pt idx="6">
                  <c:v>2.4320147475114751</c:v>
                </c:pt>
                <c:pt idx="7">
                  <c:v>3.3848953234906629</c:v>
                </c:pt>
                <c:pt idx="8">
                  <c:v>4.6528058678341644</c:v>
                </c:pt>
                <c:pt idx="9">
                  <c:v>6.3220725531589315</c:v>
                </c:pt>
                <c:pt idx="10">
                  <c:v>8.4986673926196445</c:v>
                </c:pt>
                <c:pt idx="11">
                  <c:v>11.312358814535846</c:v>
                </c:pt>
                <c:pt idx="12">
                  <c:v>14.922015091963811</c:v>
                </c:pt>
                <c:pt idx="13">
                  <c:v>19.522547083389735</c:v>
                </c:pt>
                <c:pt idx="14">
                  <c:v>25.354215953135277</c:v>
                </c:pt>
                <c:pt idx="15">
                  <c:v>32.715401866243447</c:v>
                </c:pt>
                <c:pt idx="16">
                  <c:v>41.980517887487068</c:v>
                </c:pt>
              </c:numCache>
            </c:numRef>
          </c:xVal>
          <c:yVal>
            <c:numRef>
              <c:f>'-'!$D$76:$T$76</c:f>
              <c:numCache>
                <c:formatCode>General</c:formatCode>
                <c:ptCount val="17"/>
                <c:pt idx="2">
                  <c:v>-10.009453230723272</c:v>
                </c:pt>
                <c:pt idx="3">
                  <c:v>-5.0073110420373377</c:v>
                </c:pt>
                <c:pt idx="4">
                  <c:v>0</c:v>
                </c:pt>
                <c:pt idx="5">
                  <c:v>5.0158759062062197</c:v>
                </c:pt>
                <c:pt idx="6">
                  <c:v>10.044787598320507</c:v>
                </c:pt>
                <c:pt idx="7">
                  <c:v>15.093503544084545</c:v>
                </c:pt>
                <c:pt idx="8">
                  <c:v>20.171370671567754</c:v>
                </c:pt>
                <c:pt idx="9">
                  <c:v>25.291065716556325</c:v>
                </c:pt>
                <c:pt idx="10">
                  <c:v>30.46953033713681</c:v>
                </c:pt>
                <c:pt idx="11">
                  <c:v>35.729143127550778</c:v>
                </c:pt>
                <c:pt idx="12">
                  <c:v>41.099205864200101</c:v>
                </c:pt>
                <c:pt idx="13">
                  <c:v>46.617858604831412</c:v>
                </c:pt>
                <c:pt idx="14">
                  <c:v>52.334596122417409</c:v>
                </c:pt>
                <c:pt idx="15">
                  <c:v>58.313649119719507</c:v>
                </c:pt>
                <c:pt idx="16">
                  <c:v>64.638639402221344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9-CD49-4A0B-BD02-907C333A3FC1}"/>
            </c:ext>
          </c:extLst>
        </c:ser>
        <c:ser>
          <c:idx val="45"/>
          <c:order val="26"/>
          <c:spPr>
            <a:ln w="3175">
              <a:solidFill>
                <a:srgbClr val="000000"/>
              </a:solidFill>
              <a:prstDash val="solid"/>
            </a:ln>
          </c:spPr>
          <c:marker>
            <c:symbol val="none"/>
          </c:marker>
          <c:xVal>
            <c:numRef>
              <c:f>'-'!$D$73:$T$73</c:f>
              <c:numCache>
                <c:formatCode>General</c:formatCode>
                <c:ptCount val="17"/>
                <c:pt idx="0">
                  <c:v>0.27169066491795946</c:v>
                </c:pt>
                <c:pt idx="1">
                  <c:v>0.43515869724156031</c:v>
                </c:pt>
                <c:pt idx="2">
                  <c:v>0.6846157287606579</c:v>
                </c:pt>
                <c:pt idx="3">
                  <c:v>1.0591103639156361</c:v>
                </c:pt>
                <c:pt idx="4">
                  <c:v>1.6075874607367364</c:v>
                </c:pt>
                <c:pt idx="5">
                  <c:v>2.301002150939393</c:v>
                </c:pt>
                <c:pt idx="6">
                  <c:v>3.2469167754679309</c:v>
                </c:pt>
                <c:pt idx="7">
                  <c:v>4.5213928654610109</c:v>
                </c:pt>
                <c:pt idx="8">
                  <c:v>6.2192436393250885</c:v>
                </c:pt>
                <c:pt idx="9">
                  <c:v>8.4580771174857539</c:v>
                </c:pt>
                <c:pt idx="10">
                  <c:v>11.38338530604838</c:v>
                </c:pt>
                <c:pt idx="11">
                  <c:v>15.175112469151824</c:v>
                </c:pt>
                <c:pt idx="12">
                  <c:v>20.056355080942424</c:v>
                </c:pt>
                <c:pt idx="13">
                  <c:v>26.305185580831161</c:v>
                </c:pt>
                <c:pt idx="14">
                  <c:v>34.271129477061152</c:v>
                </c:pt>
                <c:pt idx="15">
                  <c:v>44.398700031379001</c:v>
                </c:pt>
                <c:pt idx="16">
                  <c:v>57.261864154498319</c:v>
                </c:pt>
              </c:numCache>
            </c:numRef>
          </c:xVal>
          <c:yVal>
            <c:numRef>
              <c:f>'-'!$D$74:$T$74</c:f>
              <c:numCache>
                <c:formatCode>General</c:formatCode>
                <c:ptCount val="17"/>
                <c:pt idx="0">
                  <c:v>-20.010006824490048</c:v>
                </c:pt>
                <c:pt idx="1">
                  <c:v>-15.012020720448554</c:v>
                </c:pt>
                <c:pt idx="2">
                  <c:v>-10.012607774806879</c:v>
                </c:pt>
                <c:pt idx="3">
                  <c:v>-5.0097522043410052</c:v>
                </c:pt>
                <c:pt idx="4">
                  <c:v>0</c:v>
                </c:pt>
                <c:pt idx="5">
                  <c:v>5.0211874455482537</c:v>
                </c:pt>
                <c:pt idx="6">
                  <c:v>10.059794704973962</c:v>
                </c:pt>
                <c:pt idx="7">
                  <c:v>15.124897882125111</c:v>
                </c:pt>
                <c:pt idx="8">
                  <c:v>20.229065211270193</c:v>
                </c:pt>
                <c:pt idx="9">
                  <c:v>25.389406520755532</c:v>
                </c:pt>
                <c:pt idx="10">
                  <c:v>30.62890386146287</c:v>
                </c:pt>
                <c:pt idx="11">
                  <c:v>35.978118635387908</c:v>
                </c:pt>
                <c:pt idx="12">
                  <c:v>41.477418631705063</c:v>
                </c:pt>
                <c:pt idx="13">
                  <c:v>47.179944587243135</c:v>
                </c:pt>
                <c:pt idx="14">
                  <c:v>53.155658456798697</c:v>
                </c:pt>
                <c:pt idx="15">
                  <c:v>59.497016844762449</c:v>
                </c:pt>
                <c:pt idx="16">
                  <c:v>66.327152514497044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A-CD49-4A0B-BD02-907C333A3FC1}"/>
            </c:ext>
          </c:extLst>
        </c:ser>
        <c:ser>
          <c:idx val="44"/>
          <c:order val="27"/>
          <c:spPr>
            <a:ln w="12700">
              <a:solidFill>
                <a:srgbClr val="000000"/>
              </a:solidFill>
              <a:prstDash val="solid"/>
            </a:ln>
          </c:spPr>
          <c:marker>
            <c:symbol val="none"/>
          </c:marker>
          <c:xVal>
            <c:numRef>
              <c:f>'-'!$D$71:$T$71</c:f>
              <c:numCache>
                <c:formatCode>General</c:formatCode>
                <c:ptCount val="17"/>
                <c:pt idx="2">
                  <c:v>0.85600512968100539</c:v>
                </c:pt>
                <c:pt idx="3">
                  <c:v>1.3244515760737172</c:v>
                </c:pt>
                <c:pt idx="4">
                  <c:v>2.0107831485566803</c:v>
                </c:pt>
                <c:pt idx="5">
                  <c:v>2.8789143682602814</c:v>
                </c:pt>
                <c:pt idx="6">
                  <c:v>4.0639478418929604</c:v>
                </c:pt>
                <c:pt idx="7">
                  <c:v>5.6620272637912876</c:v>
                </c:pt>
                <c:pt idx="8">
                  <c:v>7.7935297421315459</c:v>
                </c:pt>
                <c:pt idx="9">
                  <c:v>10.608649424398145</c:v>
                </c:pt>
                <c:pt idx="10">
                  <c:v>14.294612975900844</c:v>
                </c:pt>
                <c:pt idx="11">
                  <c:v>19.085260311500072</c:v>
                </c:pt>
                <c:pt idx="12">
                  <c:v>25.274118997826371</c:v>
                </c:pt>
                <c:pt idx="13">
                  <c:v>33.2327328621272</c:v>
                </c:pt>
                <c:pt idx="14">
                  <c:v>43.437046140924913</c:v>
                </c:pt>
                <c:pt idx="15">
                  <c:v>56.506415619805608</c:v>
                </c:pt>
                <c:pt idx="16">
                  <c:v>73.262951034366679</c:v>
                </c:pt>
              </c:numCache>
            </c:numRef>
          </c:xVal>
          <c:yVal>
            <c:numRef>
              <c:f>'-'!$D$72:$T$72</c:f>
              <c:numCache>
                <c:formatCode>General</c:formatCode>
                <c:ptCount val="17"/>
                <c:pt idx="2">
                  <c:v>-10.015764054863432</c:v>
                </c:pt>
                <c:pt idx="3">
                  <c:v>-5.0121954452054309</c:v>
                </c:pt>
                <c:pt idx="4">
                  <c:v>0</c:v>
                </c:pt>
                <c:pt idx="5">
                  <c:v>5.0265088154701196</c:v>
                </c:pt>
                <c:pt idx="6">
                  <c:v>10.074841019662582</c:v>
                </c:pt>
                <c:pt idx="7">
                  <c:v>15.15640649570275</c:v>
                </c:pt>
                <c:pt idx="8">
                  <c:v>20.287048818225042</c:v>
                </c:pt>
                <c:pt idx="9">
                  <c:v>25.488418018053974</c:v>
                </c:pt>
                <c:pt idx="10">
                  <c:v>30.789741984213137</c:v>
                </c:pt>
                <c:pt idx="11">
                  <c:v>36.230148956711538</c:v>
                </c:pt>
                <c:pt idx="12">
                  <c:v>41.861776686572554</c:v>
                </c:pt>
                <c:pt idx="13">
                  <c:v>47.754039347089162</c:v>
                </c:pt>
                <c:pt idx="14">
                  <c:v>53.999648803075267</c:v>
                </c:pt>
                <c:pt idx="15">
                  <c:v>60.723372591986248</c:v>
                </c:pt>
                <c:pt idx="16">
                  <c:v>68.095193401421113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B-CD49-4A0B-BD02-907C333A3FC1}"/>
            </c:ext>
          </c:extLst>
        </c:ser>
        <c:ser>
          <c:idx val="43"/>
          <c:order val="28"/>
          <c:spPr>
            <a:ln w="3175">
              <a:solidFill>
                <a:srgbClr val="000000"/>
              </a:solidFill>
              <a:prstDash val="solid"/>
            </a:ln>
          </c:spPr>
          <c:marker>
            <c:symbol val="none"/>
          </c:marker>
          <c:xVal>
            <c:numRef>
              <c:f>'-'!$D$69:$T$69</c:f>
              <c:numCache>
                <c:formatCode>General</c:formatCode>
                <c:ptCount val="17"/>
                <c:pt idx="0">
                  <c:v>0.40762499440825367</c:v>
                </c:pt>
                <c:pt idx="1">
                  <c:v>0.6529663840180876</c:v>
                </c:pt>
                <c:pt idx="2">
                  <c:v>1.0274888736328025</c:v>
                </c:pt>
                <c:pt idx="3">
                  <c:v>1.5900188128322221</c:v>
                </c:pt>
                <c:pt idx="4">
                  <c:v>2.4145003815079136</c:v>
                </c:pt>
                <c:pt idx="5">
                  <c:v>3.4578971743646818</c:v>
                </c:pt>
                <c:pt idx="6">
                  <c:v>4.8831163012886956</c:v>
                </c:pt>
                <c:pt idx="7">
                  <c:v>6.8068211469300222</c:v>
                </c:pt>
                <c:pt idx="8">
                  <c:v>9.3757233081908922</c:v>
                </c:pt>
                <c:pt idx="9">
                  <c:v>12.773939013799161</c:v>
                </c:pt>
                <c:pt idx="10">
                  <c:v>17.232717514957368</c:v>
                </c:pt>
                <c:pt idx="11">
                  <c:v>23.043679982608502</c:v>
                </c:pt>
                <c:pt idx="12">
                  <c:v>30.577356732686056</c:v>
                </c:pt>
                <c:pt idx="13">
                  <c:v>40.309882961444735</c:v>
                </c:pt>
                <c:pt idx="14">
                  <c:v>52.862543684490774</c:v>
                </c:pt>
                <c:pt idx="15">
                  <c:v>69.06210308333759</c:v>
                </c:pt>
                <c:pt idx="16">
                  <c:v>90.035853792752661</c:v>
                </c:pt>
              </c:numCache>
            </c:numRef>
          </c:xVal>
          <c:yVal>
            <c:numRef>
              <c:f>'-'!$D$70:$T$70</c:f>
              <c:numCache>
                <c:formatCode>General</c:formatCode>
                <c:ptCount val="17"/>
                <c:pt idx="0">
                  <c:v>-20.015013514645531</c:v>
                </c:pt>
                <c:pt idx="1">
                  <c:v>-15.018037388231788</c:v>
                </c:pt>
                <c:pt idx="2">
                  <c:v>-10.018922072326307</c:v>
                </c:pt>
                <c:pt idx="3">
                  <c:v>-5.0146407672864743</c:v>
                </c:pt>
                <c:pt idx="4">
                  <c:v>0</c:v>
                </c:pt>
                <c:pt idx="5">
                  <c:v>5.0318400432887049</c:v>
                </c:pt>
                <c:pt idx="6">
                  <c:v>10.089926696241555</c:v>
                </c:pt>
                <c:pt idx="7">
                  <c:v>15.188030009900345</c:v>
                </c:pt>
                <c:pt idx="8">
                  <c:v>20.345323670361086</c:v>
                </c:pt>
                <c:pt idx="9">
                  <c:v>25.588107093209565</c:v>
                </c:pt>
                <c:pt idx="10">
                  <c:v>30.952064987460023</c:v>
                </c:pt>
                <c:pt idx="11">
                  <c:v>36.485290660265164</c:v>
                </c:pt>
                <c:pt idx="12">
                  <c:v>42.252431030605784</c:v>
                </c:pt>
                <c:pt idx="13">
                  <c:v>48.340531885022699</c:v>
                </c:pt>
                <c:pt idx="14">
                  <c:v>54.867541151146177</c:v>
                </c:pt>
                <c:pt idx="15">
                  <c:v>61.995102124183596</c:v>
                </c:pt>
                <c:pt idx="16">
                  <c:v>69.948516122050691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C-CD49-4A0B-BD02-907C333A3FC1}"/>
            </c:ext>
          </c:extLst>
        </c:ser>
        <c:ser>
          <c:idx val="42"/>
          <c:order val="29"/>
          <c:spPr>
            <a:ln w="3175">
              <a:solidFill>
                <a:srgbClr val="000000"/>
              </a:solidFill>
              <a:prstDash val="solid"/>
            </a:ln>
          </c:spPr>
          <c:marker>
            <c:symbol val="none"/>
          </c:marker>
          <c:xVal>
            <c:numRef>
              <c:f>'-'!$D$67:$T$67</c:f>
              <c:numCache>
                <c:formatCode>General</c:formatCode>
                <c:ptCount val="17"/>
                <c:pt idx="2">
                  <c:v>1.199067038535611</c:v>
                </c:pt>
                <c:pt idx="3">
                  <c:v>1.8558123631147272</c:v>
                </c:pt>
                <c:pt idx="4">
                  <c:v>2.8187401721956244</c:v>
                </c:pt>
                <c:pt idx="5">
                  <c:v>4.037953546927052</c:v>
                </c:pt>
                <c:pt idx="6">
                  <c:v>5.7044305519260865</c:v>
                </c:pt>
                <c:pt idx="7">
                  <c:v>7.9557973086628939</c:v>
                </c:pt>
                <c:pt idx="8">
                  <c:v>10.965884064962339</c:v>
                </c:pt>
                <c:pt idx="9">
                  <c:v>14.954097479349752</c:v>
                </c:pt>
                <c:pt idx="10">
                  <c:v>20.198072845908442</c:v>
                </c:pt>
                <c:pt idx="11">
                  <c:v>27.051270927523234</c:v>
                </c:pt>
                <c:pt idx="12">
                  <c:v>35.968185889994302</c:v>
                </c:pt>
                <c:pt idx="13">
                  <c:v>47.541534864586765</c:v>
                </c:pt>
                <c:pt idx="14">
                  <c:v>62.558807581174477</c:v>
                </c:pt>
                <c:pt idx="15">
                  <c:v>82.091092702128677</c:v>
                </c:pt>
                <c:pt idx="16">
                  <c:v>107.63779557316913</c:v>
                </c:pt>
              </c:numCache>
            </c:numRef>
          </c:xVal>
          <c:yVal>
            <c:numRef>
              <c:f>'-'!$D$68:$T$68</c:f>
              <c:numCache>
                <c:formatCode>General</c:formatCode>
                <c:ptCount val="17"/>
                <c:pt idx="2">
                  <c:v>-10.022081828630457</c:v>
                </c:pt>
                <c:pt idx="3">
                  <c:v>-5.0170881732445221</c:v>
                </c:pt>
                <c:pt idx="4">
                  <c:v>0</c:v>
                </c:pt>
                <c:pt idx="5">
                  <c:v>5.0371811564221991</c:v>
                </c:pt>
                <c:pt idx="6">
                  <c:v>10.105051889372103</c:v>
                </c:pt>
                <c:pt idx="7">
                  <c:v>15.219769054368015</c:v>
                </c:pt>
                <c:pt idx="8">
                  <c:v>20.403891967541185</c:v>
                </c:pt>
                <c:pt idx="9">
                  <c:v>25.688480725534422</c:v>
                </c:pt>
                <c:pt idx="10">
                  <c:v>31.115893529506625</c:v>
                </c:pt>
                <c:pt idx="11">
                  <c:v>36.743601720179967</c:v>
                </c:pt>
                <c:pt idx="12">
                  <c:v>42.649537653678792</c:v>
                </c:pt>
                <c:pt idx="13">
                  <c:v>48.939828186302883</c:v>
                </c:pt>
                <c:pt idx="14">
                  <c:v>55.760365450543794</c:v>
                </c:pt>
                <c:pt idx="15">
                  <c:v>63.314771072700751</c:v>
                </c:pt>
                <c:pt idx="16">
                  <c:v>71.893443550461072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D-CD49-4A0B-BD02-907C333A3FC1}"/>
            </c:ext>
          </c:extLst>
        </c:ser>
        <c:ser>
          <c:idx val="41"/>
          <c:order val="30"/>
          <c:spPr>
            <a:ln w="3175">
              <a:solidFill>
                <a:srgbClr val="000000"/>
              </a:solidFill>
              <a:prstDash val="solid"/>
            </a:ln>
          </c:spPr>
          <c:marker>
            <c:symbol val="none"/>
          </c:marker>
          <c:xVal>
            <c:numRef>
              <c:f>'-'!$D$65:$T$65</c:f>
              <c:numCache>
                <c:formatCode>General</c:formatCode>
                <c:ptCount val="17"/>
                <c:pt idx="0">
                  <c:v>0.54361870709080673</c:v>
                </c:pt>
                <c:pt idx="1">
                  <c:v>0.87092650930983906</c:v>
                </c:pt>
                <c:pt idx="2">
                  <c:v>1.3707397023948227</c:v>
                </c:pt>
                <c:pt idx="3">
                  <c:v>2.1218325163374527</c:v>
                </c:pt>
                <c:pt idx="4">
                  <c:v>3.2235035358480615</c:v>
                </c:pt>
                <c:pt idx="5">
                  <c:v>4.6190864746746723</c:v>
                </c:pt>
                <c:pt idx="6">
                  <c:v>6.5278990361319016</c:v>
                </c:pt>
                <c:pt idx="7">
                  <c:v>9.1089787096255499</c:v>
                </c:pt>
                <c:pt idx="8">
                  <c:v>12.56407234294279</c:v>
                </c:pt>
                <c:pt idx="9">
                  <c:v>17.149278503847722</c:v>
                </c:pt>
                <c:pt idx="10">
                  <c:v>23.19105985999445</c:v>
                </c:pt>
                <c:pt idx="11">
                  <c:v>31.108955076661282</c:v>
                </c:pt>
                <c:pt idx="12">
                  <c:v>41.448794607937302</c:v>
                </c:pt>
                <c:pt idx="13">
                  <c:v>54.932803818225828</c:v>
                </c:pt>
                <c:pt idx="14">
                  <c:v>72.537675320012951</c:v>
                </c:pt>
                <c:pt idx="15">
                  <c:v>95.620661154705758</c:v>
                </c:pt>
                <c:pt idx="16">
                  <c:v>126.13179963008344</c:v>
                </c:pt>
              </c:numCache>
            </c:numRef>
          </c:xVal>
          <c:yVal>
            <c:numRef>
              <c:f>'-'!$D$66:$T$66</c:f>
              <c:numCache>
                <c:formatCode>General</c:formatCode>
                <c:ptCount val="17"/>
                <c:pt idx="0">
                  <c:v>-20.020022391983936</c:v>
                </c:pt>
                <c:pt idx="1">
                  <c:v>-15.02405826694034</c:v>
                </c:pt>
                <c:pt idx="2">
                  <c:v>-10.025243325212418</c:v>
                </c:pt>
                <c:pt idx="3">
                  <c:v>-5.019537665744493</c:v>
                </c:pt>
                <c:pt idx="4">
                  <c:v>0</c:v>
                </c:pt>
                <c:pt idx="5">
                  <c:v>5.042532182390568</c:v>
                </c:pt>
                <c:pt idx="6">
                  <c:v>10.120216754526785</c:v>
                </c:pt>
                <c:pt idx="7">
                  <c:v>15.251624263364905</c:v>
                </c:pt>
                <c:pt idx="8">
                  <c:v>20.46275593183908</c:v>
                </c:pt>
                <c:pt idx="9">
                  <c:v>25.789545990523681</c:v>
                </c:pt>
                <c:pt idx="10">
                  <c:v>31.281248653651179</c:v>
                </c:pt>
                <c:pt idx="11">
                  <c:v>37.005141559891733</c:v>
                </c:pt>
                <c:pt idx="12">
                  <c:v>43.053257741416374</c:v>
                </c:pt>
                <c:pt idx="13">
                  <c:v>49.552352158005448</c:v>
                </c:pt>
                <c:pt idx="14">
                  <c:v>56.679211687882379</c:v>
                </c:pt>
                <c:pt idx="15">
                  <c:v>64.685142213986538</c:v>
                </c:pt>
                <c:pt idx="16">
                  <c:v>73.936939444274572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E-CD49-4A0B-BD02-907C333A3FC1}"/>
            </c:ext>
          </c:extLst>
        </c:ser>
        <c:ser>
          <c:idx val="40"/>
          <c:order val="31"/>
          <c:spPr>
            <a:ln w="3175">
              <a:solidFill>
                <a:srgbClr val="000000"/>
              </a:solidFill>
              <a:prstDash val="solid"/>
            </a:ln>
          </c:spPr>
          <c:marker>
            <c:symbol val="none"/>
          </c:marker>
          <c:xVal>
            <c:numRef>
              <c:f>'-'!$D$63:$T$63</c:f>
              <c:numCache>
                <c:formatCode>General</c:formatCode>
                <c:ptCount val="17"/>
                <c:pt idx="2">
                  <c:v>1.5425069433017784</c:v>
                </c:pt>
                <c:pt idx="3">
                  <c:v>2.3880795624103173</c:v>
                </c:pt>
                <c:pt idx="4">
                  <c:v>3.6287914903250349</c:v>
                </c:pt>
                <c:pt idx="5">
                  <c:v>5.2012989574389827</c:v>
                </c:pt>
                <c:pt idx="6">
                  <c:v>7.353530240578003</c:v>
                </c:pt>
                <c:pt idx="7">
                  <c:v>10.266388478833093</c:v>
                </c:pt>
                <c:pt idx="8">
                  <c:v>14.170349083296838</c:v>
                </c:pt>
                <c:pt idx="9">
                  <c:v>19.359637895340587</c:v>
                </c:pt>
                <c:pt idx="10">
                  <c:v>26.212066580100899</c:v>
                </c:pt>
                <c:pt idx="11">
                  <c:v>35.217677552873781</c:v>
                </c:pt>
                <c:pt idx="12">
                  <c:v>47.021444519767698</c:v>
                </c:pt>
                <c:pt idx="13">
                  <c:v>62.489033396346251</c:v>
                </c:pt>
                <c:pt idx="14">
                  <c:v>82.811684616771814</c:v>
                </c:pt>
                <c:pt idx="15">
                  <c:v>109.68022213317471</c:v>
                </c:pt>
                <c:pt idx="16">
                  <c:v>145.58744330524235</c:v>
                </c:pt>
              </c:numCache>
            </c:numRef>
          </c:xVal>
          <c:yVal>
            <c:numRef>
              <c:f>'-'!$D$64:$T$64</c:f>
              <c:numCache>
                <c:formatCode>General</c:formatCode>
                <c:ptCount val="17"/>
                <c:pt idx="2">
                  <c:v>-10.028406563510309</c:v>
                </c:pt>
                <c:pt idx="3">
                  <c:v>-5.0219892474558572</c:v>
                </c:pt>
                <c:pt idx="4">
                  <c:v>0</c:v>
                </c:pt>
                <c:pt idx="5">
                  <c:v>5.0478931488160219</c:v>
                </c:pt>
                <c:pt idx="6">
                  <c:v>10.135421447994803</c:v>
                </c:pt>
                <c:pt idx="7">
                  <c:v>15.283596275801429</c:v>
                </c:pt>
                <c:pt idx="8">
                  <c:v>20.521917807820437</c:v>
                </c:pt>
                <c:pt idx="9">
                  <c:v>25.891310061518155</c:v>
                </c:pt>
                <c:pt idx="10">
                  <c:v>31.448151797197653</c:v>
                </c:pt>
                <c:pt idx="11">
                  <c:v>37.269971097714937</c:v>
                </c:pt>
                <c:pt idx="12">
                  <c:v>43.463757893337338</c:v>
                </c:pt>
                <c:pt idx="13">
                  <c:v>50.178546628984336</c:v>
                </c:pt>
                <c:pt idx="14">
                  <c:v>57.625234326098791</c:v>
                </c:pt>
                <c:pt idx="15">
                  <c:v>66.109194776459177</c:v>
                </c:pt>
                <c:pt idx="16">
                  <c:v>76.086691755311932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F-CD49-4A0B-BD02-907C333A3FC1}"/>
            </c:ext>
          </c:extLst>
        </c:ser>
        <c:ser>
          <c:idx val="39"/>
          <c:order val="32"/>
          <c:spPr>
            <a:ln w="25400">
              <a:solidFill>
                <a:srgbClr val="000000"/>
              </a:solidFill>
              <a:prstDash val="solid"/>
            </a:ln>
          </c:spPr>
          <c:marker>
            <c:symbol val="none"/>
          </c:marker>
          <c:xVal>
            <c:numRef>
              <c:f>'-'!$D$61:$T$61</c:f>
              <c:numCache>
                <c:formatCode>General</c:formatCode>
                <c:ptCount val="17"/>
                <c:pt idx="0">
                  <c:v>0.67967184188662499</c:v>
                </c:pt>
                <c:pt idx="1">
                  <c:v>1.0890392332050733</c:v>
                </c:pt>
                <c:pt idx="2">
                  <c:v>1.7143688394338854</c:v>
                </c:pt>
                <c:pt idx="3">
                  <c:v>2.6545537917379836</c:v>
                </c:pt>
                <c:pt idx="4">
                  <c:v>4.0346050561264439</c:v>
                </c:pt>
                <c:pt idx="5">
                  <c:v>5.7845940062071923</c:v>
                </c:pt>
                <c:pt idx="6">
                  <c:v>8.181332696572877</c:v>
                </c:pt>
                <c:pt idx="7">
                  <c:v>11.428049915226383</c:v>
                </c:pt>
                <c:pt idx="8">
                  <c:v>15.784775845602827</c:v>
                </c:pt>
                <c:pt idx="9">
                  <c:v>21.585333623990088</c:v>
                </c:pt>
                <c:pt idx="10">
                  <c:v>29.261488328455677</c:v>
                </c:pt>
                <c:pt idx="11">
                  <c:v>39.378407405358814</c:v>
                </c:pt>
                <c:pt idx="12">
                  <c:v>52.688473865619855</c:v>
                </c:pt>
                <c:pt idx="13">
                  <c:v>70.215808383711476</c:v>
                </c:pt>
                <c:pt idx="14">
                  <c:v>93.394125967033673</c:v>
                </c:pt>
                <c:pt idx="15">
                  <c:v>124.30153980679998</c:v>
                </c:pt>
                <c:pt idx="16">
                  <c:v>166.08173275780035</c:v>
                </c:pt>
              </c:numCache>
            </c:numRef>
          </c:xVal>
          <c:yVal>
            <c:numRef>
              <c:f>'-'!$D$62:$T$62</c:f>
              <c:numCache>
                <c:formatCode>General</c:formatCode>
                <c:ptCount val="17"/>
                <c:pt idx="0">
                  <c:v>-20.025033457938793</c:v>
                </c:pt>
                <c:pt idx="1">
                  <c:v>-15.030083360996457</c:v>
                </c:pt>
                <c:pt idx="2">
                  <c:v>-10.03157154496383</c:v>
                </c:pt>
                <c:pt idx="3">
                  <c:v>-5.0244429210526365</c:v>
                </c:pt>
                <c:pt idx="4">
                  <c:v>0</c:v>
                </c:pt>
                <c:pt idx="5">
                  <c:v>5.0532640834234916</c:v>
                </c:pt>
                <c:pt idx="6">
                  <c:v>10.150666126887382</c:v>
                </c:pt>
                <c:pt idx="7">
                  <c:v>15.315685735281996</c:v>
                </c:pt>
                <c:pt idx="8">
                  <c:v>20.581379862828143</c:v>
                </c:pt>
                <c:pt idx="9">
                  <c:v>25.993780211401521</c:v>
                </c:pt>
                <c:pt idx="10">
                  <c:v>31.616624800720622</c:v>
                </c:pt>
                <c:pt idx="11">
                  <c:v>37.538152794147386</c:v>
                </c:pt>
                <c:pt idx="12">
                  <c:v>43.881210352081304</c:v>
                </c:pt>
                <c:pt idx="13">
                  <c:v>50.818874417541238</c:v>
                </c:pt>
                <c:pt idx="14">
                  <c:v>58.599657143499144</c:v>
                </c:pt>
                <c:pt idx="15">
                  <c:v>67.59014606161945</c:v>
                </c:pt>
                <c:pt idx="16">
                  <c:v>78.351209282941113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20-CD49-4A0B-BD02-907C333A3FC1}"/>
            </c:ext>
          </c:extLst>
        </c:ser>
        <c:ser>
          <c:idx val="30"/>
          <c:order val="33"/>
          <c:spPr>
            <a:ln w="3175">
              <a:solidFill>
                <a:srgbClr val="000000"/>
              </a:solidFill>
              <a:prstDash val="solid"/>
            </a:ln>
          </c:spPr>
          <c:marker>
            <c:symbol val="none"/>
          </c:marker>
          <c:xVal>
            <c:numRef>
              <c:f>'-'!$C$26:$G$26</c:f>
              <c:numCache>
                <c:formatCode>General</c:formatCode>
                <c:ptCount val="5"/>
                <c:pt idx="0">
                  <c:v>0</c:v>
                </c:pt>
                <c:pt idx="1">
                  <c:v>25</c:v>
                </c:pt>
              </c:numCache>
            </c:numRef>
          </c:xVal>
          <c:yVal>
            <c:numRef>
              <c:f>'-'!$C$43:$F$43</c:f>
              <c:numCache>
                <c:formatCode>General</c:formatCode>
                <c:ptCount val="4"/>
                <c:pt idx="0">
                  <c:v>39.603960396039604</c:v>
                </c:pt>
                <c:pt idx="1">
                  <c:v>-22.301980198019802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1-CD49-4A0B-BD02-907C333A3FC1}"/>
            </c:ext>
          </c:extLst>
        </c:ser>
        <c:ser>
          <c:idx val="29"/>
          <c:order val="34"/>
          <c:spPr>
            <a:ln w="3175">
              <a:solidFill>
                <a:srgbClr val="000000"/>
              </a:solidFill>
              <a:prstDash val="solid"/>
            </a:ln>
          </c:spPr>
          <c:marker>
            <c:symbol val="none"/>
          </c:marker>
          <c:xVal>
            <c:numRef>
              <c:f>'-'!$C$26:$G$26</c:f>
              <c:numCache>
                <c:formatCode>General</c:formatCode>
                <c:ptCount val="5"/>
                <c:pt idx="0">
                  <c:v>0</c:v>
                </c:pt>
                <c:pt idx="1">
                  <c:v>25</c:v>
                </c:pt>
              </c:numCache>
            </c:numRef>
          </c:xVal>
          <c:yVal>
            <c:numRef>
              <c:f>'-'!$C$42:$F$42</c:f>
              <c:numCache>
                <c:formatCode>General</c:formatCode>
                <c:ptCount val="4"/>
                <c:pt idx="0">
                  <c:v>44.554455445544555</c:v>
                </c:pt>
                <c:pt idx="1">
                  <c:v>-17.35148514851485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2-CD49-4A0B-BD02-907C333A3FC1}"/>
            </c:ext>
          </c:extLst>
        </c:ser>
        <c:ser>
          <c:idx val="28"/>
          <c:order val="35"/>
          <c:spPr>
            <a:ln w="3175">
              <a:solidFill>
                <a:srgbClr val="000000"/>
              </a:solidFill>
              <a:prstDash val="solid"/>
            </a:ln>
          </c:spPr>
          <c:marker>
            <c:symbol val="none"/>
          </c:marker>
          <c:xVal>
            <c:numRef>
              <c:f>'-'!$C$26:$G$26</c:f>
              <c:numCache>
                <c:formatCode>General</c:formatCode>
                <c:ptCount val="5"/>
                <c:pt idx="0">
                  <c:v>0</c:v>
                </c:pt>
                <c:pt idx="1">
                  <c:v>25</c:v>
                </c:pt>
              </c:numCache>
            </c:numRef>
          </c:xVal>
          <c:yVal>
            <c:numRef>
              <c:f>'-'!$C$41:$F$41</c:f>
              <c:numCache>
                <c:formatCode>General</c:formatCode>
                <c:ptCount val="4"/>
                <c:pt idx="0">
                  <c:v>49.504950495049506</c:v>
                </c:pt>
                <c:pt idx="1">
                  <c:v>-12.400990099009899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3-CD49-4A0B-BD02-907C333A3FC1}"/>
            </c:ext>
          </c:extLst>
        </c:ser>
        <c:ser>
          <c:idx val="27"/>
          <c:order val="36"/>
          <c:tx>
            <c:v>55</c:v>
          </c:tx>
          <c:spPr>
            <a:ln w="3175">
              <a:solidFill>
                <a:srgbClr val="000000"/>
              </a:solidFill>
              <a:prstDash val="solid"/>
            </a:ln>
          </c:spPr>
          <c:marker>
            <c:symbol val="none"/>
          </c:marker>
          <c:xVal>
            <c:numRef>
              <c:f>'-'!$C$26:$G$26</c:f>
              <c:numCache>
                <c:formatCode>General</c:formatCode>
                <c:ptCount val="5"/>
                <c:pt idx="0">
                  <c:v>0</c:v>
                </c:pt>
                <c:pt idx="1">
                  <c:v>25</c:v>
                </c:pt>
              </c:numCache>
            </c:numRef>
          </c:xVal>
          <c:yVal>
            <c:numRef>
              <c:f>'-'!$C$40:$F$40</c:f>
              <c:numCache>
                <c:formatCode>General</c:formatCode>
                <c:ptCount val="4"/>
                <c:pt idx="0">
                  <c:v>54.455445544554458</c:v>
                </c:pt>
                <c:pt idx="1">
                  <c:v>-7.4504950495049487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4-CD49-4A0B-BD02-907C333A3FC1}"/>
            </c:ext>
          </c:extLst>
        </c:ser>
        <c:ser>
          <c:idx val="26"/>
          <c:order val="37"/>
          <c:spPr>
            <a:ln w="3175">
              <a:solidFill>
                <a:srgbClr val="000000"/>
              </a:solidFill>
              <a:prstDash val="solid"/>
            </a:ln>
          </c:spPr>
          <c:marker>
            <c:symbol val="none"/>
          </c:marker>
          <c:xVal>
            <c:numRef>
              <c:f>'-'!$C$26:$G$26</c:f>
              <c:numCache>
                <c:formatCode>General</c:formatCode>
                <c:ptCount val="5"/>
                <c:pt idx="0">
                  <c:v>0</c:v>
                </c:pt>
                <c:pt idx="1">
                  <c:v>25</c:v>
                </c:pt>
              </c:numCache>
            </c:numRef>
          </c:xVal>
          <c:yVal>
            <c:numRef>
              <c:f>'-'!$C$39:$F$39</c:f>
              <c:numCache>
                <c:formatCode>General</c:formatCode>
                <c:ptCount val="4"/>
                <c:pt idx="0">
                  <c:v>59.405940594059409</c:v>
                </c:pt>
                <c:pt idx="1">
                  <c:v>-2.4999999999999987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5-CD49-4A0B-BD02-907C333A3FC1}"/>
            </c:ext>
          </c:extLst>
        </c:ser>
        <c:ser>
          <c:idx val="25"/>
          <c:order val="38"/>
          <c:spPr>
            <a:ln w="3175">
              <a:solidFill>
                <a:srgbClr val="000000"/>
              </a:solidFill>
              <a:prstDash val="solid"/>
            </a:ln>
          </c:spPr>
          <c:marker>
            <c:symbol val="none"/>
          </c:marker>
          <c:xVal>
            <c:numRef>
              <c:f>'-'!$C$26:$G$26</c:f>
              <c:numCache>
                <c:formatCode>General</c:formatCode>
                <c:ptCount val="5"/>
                <c:pt idx="0">
                  <c:v>0</c:v>
                </c:pt>
                <c:pt idx="1">
                  <c:v>25</c:v>
                </c:pt>
              </c:numCache>
            </c:numRef>
          </c:xVal>
          <c:yVal>
            <c:numRef>
              <c:f>'-'!$C$38:$F$38</c:f>
              <c:numCache>
                <c:formatCode>General</c:formatCode>
                <c:ptCount val="4"/>
                <c:pt idx="0">
                  <c:v>64.356435643564353</c:v>
                </c:pt>
                <c:pt idx="1">
                  <c:v>2.4504950495049518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6-CD49-4A0B-BD02-907C333A3FC1}"/>
            </c:ext>
          </c:extLst>
        </c:ser>
        <c:ser>
          <c:idx val="24"/>
          <c:order val="39"/>
          <c:spPr>
            <a:ln w="3175">
              <a:solidFill>
                <a:srgbClr val="000000"/>
              </a:solidFill>
              <a:prstDash val="solid"/>
            </a:ln>
          </c:spPr>
          <c:marker>
            <c:symbol val="none"/>
          </c:marker>
          <c:xVal>
            <c:numRef>
              <c:f>'-'!$C$26:$G$26</c:f>
              <c:numCache>
                <c:formatCode>General</c:formatCode>
                <c:ptCount val="5"/>
                <c:pt idx="0">
                  <c:v>0</c:v>
                </c:pt>
                <c:pt idx="1">
                  <c:v>25</c:v>
                </c:pt>
              </c:numCache>
            </c:numRef>
          </c:xVal>
          <c:yVal>
            <c:numRef>
              <c:f>'-'!$C$37:$F$37</c:f>
              <c:numCache>
                <c:formatCode>General</c:formatCode>
                <c:ptCount val="4"/>
                <c:pt idx="0">
                  <c:v>69.306930693069305</c:v>
                </c:pt>
                <c:pt idx="1">
                  <c:v>7.4009900990099027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7-CD49-4A0B-BD02-907C333A3FC1}"/>
            </c:ext>
          </c:extLst>
        </c:ser>
        <c:ser>
          <c:idx val="23"/>
          <c:order val="40"/>
          <c:spPr>
            <a:ln w="3175">
              <a:solidFill>
                <a:srgbClr val="000000"/>
              </a:solidFill>
              <a:prstDash val="solid"/>
            </a:ln>
          </c:spPr>
          <c:marker>
            <c:symbol val="none"/>
          </c:marker>
          <c:xVal>
            <c:numRef>
              <c:f>'-'!$C$26:$G$26</c:f>
              <c:numCache>
                <c:formatCode>General</c:formatCode>
                <c:ptCount val="5"/>
                <c:pt idx="0">
                  <c:v>0</c:v>
                </c:pt>
                <c:pt idx="1">
                  <c:v>25</c:v>
                </c:pt>
              </c:numCache>
            </c:numRef>
          </c:xVal>
          <c:yVal>
            <c:numRef>
              <c:f>'-'!$C$36:$F$36</c:f>
              <c:numCache>
                <c:formatCode>General</c:formatCode>
                <c:ptCount val="4"/>
                <c:pt idx="0">
                  <c:v>74.257425742574256</c:v>
                </c:pt>
                <c:pt idx="1">
                  <c:v>12.351485148514852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8-CD49-4A0B-BD02-907C333A3FC1}"/>
            </c:ext>
          </c:extLst>
        </c:ser>
        <c:ser>
          <c:idx val="22"/>
          <c:order val="41"/>
          <c:spPr>
            <a:ln w="3175">
              <a:solidFill>
                <a:srgbClr val="000000"/>
              </a:solidFill>
              <a:prstDash val="solid"/>
            </a:ln>
          </c:spPr>
          <c:marker>
            <c:symbol val="none"/>
          </c:marker>
          <c:xVal>
            <c:numRef>
              <c:f>'-'!$C$26:$G$26</c:f>
              <c:numCache>
                <c:formatCode>General</c:formatCode>
                <c:ptCount val="5"/>
                <c:pt idx="0">
                  <c:v>0</c:v>
                </c:pt>
                <c:pt idx="1">
                  <c:v>25</c:v>
                </c:pt>
              </c:numCache>
            </c:numRef>
          </c:xVal>
          <c:yVal>
            <c:numRef>
              <c:f>'-'!$C$35:$F$35</c:f>
              <c:numCache>
                <c:formatCode>General</c:formatCode>
                <c:ptCount val="4"/>
                <c:pt idx="0">
                  <c:v>79.207920792079207</c:v>
                </c:pt>
                <c:pt idx="1">
                  <c:v>17.301980198019802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9-CD49-4A0B-BD02-907C333A3FC1}"/>
            </c:ext>
          </c:extLst>
        </c:ser>
        <c:ser>
          <c:idx val="21"/>
          <c:order val="42"/>
          <c:spPr>
            <a:ln w="3175">
              <a:solidFill>
                <a:srgbClr val="000000"/>
              </a:solidFill>
              <a:prstDash val="solid"/>
            </a:ln>
          </c:spPr>
          <c:marker>
            <c:symbol val="none"/>
          </c:marker>
          <c:xVal>
            <c:numRef>
              <c:f>'-'!$C$26:$G$26</c:f>
              <c:numCache>
                <c:formatCode>General</c:formatCode>
                <c:ptCount val="5"/>
                <c:pt idx="0">
                  <c:v>0</c:v>
                </c:pt>
                <c:pt idx="1">
                  <c:v>25</c:v>
                </c:pt>
              </c:numCache>
            </c:numRef>
          </c:xVal>
          <c:yVal>
            <c:numRef>
              <c:f>'-'!$C$34:$F$34</c:f>
              <c:numCache>
                <c:formatCode>General</c:formatCode>
                <c:ptCount val="4"/>
                <c:pt idx="0">
                  <c:v>84.158415841584159</c:v>
                </c:pt>
                <c:pt idx="1">
                  <c:v>22.252475247524753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A-CD49-4A0B-BD02-907C333A3FC1}"/>
            </c:ext>
          </c:extLst>
        </c:ser>
        <c:ser>
          <c:idx val="20"/>
          <c:order val="43"/>
          <c:spPr>
            <a:ln w="3175">
              <a:solidFill>
                <a:srgbClr val="000000"/>
              </a:solidFill>
              <a:prstDash val="solid"/>
            </a:ln>
          </c:spPr>
          <c:marker>
            <c:symbol val="none"/>
          </c:marker>
          <c:xVal>
            <c:numRef>
              <c:f>'-'!$C$26:$D$26</c:f>
              <c:numCache>
                <c:formatCode>General</c:formatCode>
                <c:ptCount val="2"/>
                <c:pt idx="0">
                  <c:v>0</c:v>
                </c:pt>
                <c:pt idx="1">
                  <c:v>25</c:v>
                </c:pt>
              </c:numCache>
            </c:numRef>
          </c:xVal>
          <c:yVal>
            <c:numRef>
              <c:f>'-'!$C$33:$D$33</c:f>
              <c:numCache>
                <c:formatCode>General</c:formatCode>
                <c:ptCount val="2"/>
                <c:pt idx="0">
                  <c:v>89.10891089108911</c:v>
                </c:pt>
                <c:pt idx="1">
                  <c:v>27.202970297029704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B-CD49-4A0B-BD02-907C333A3FC1}"/>
            </c:ext>
          </c:extLst>
        </c:ser>
        <c:ser>
          <c:idx val="19"/>
          <c:order val="44"/>
          <c:spPr>
            <a:ln w="3175">
              <a:solidFill>
                <a:srgbClr val="000000"/>
              </a:solidFill>
              <a:prstDash val="solid"/>
            </a:ln>
          </c:spPr>
          <c:marker>
            <c:symbol val="none"/>
          </c:marker>
          <c:xVal>
            <c:numRef>
              <c:f>'-'!$C$26:$D$26</c:f>
              <c:numCache>
                <c:formatCode>General</c:formatCode>
                <c:ptCount val="2"/>
                <c:pt idx="0">
                  <c:v>0</c:v>
                </c:pt>
                <c:pt idx="1">
                  <c:v>25</c:v>
                </c:pt>
              </c:numCache>
            </c:numRef>
          </c:xVal>
          <c:yVal>
            <c:numRef>
              <c:f>'-'!$C$32:$D$32</c:f>
              <c:numCache>
                <c:formatCode>General</c:formatCode>
                <c:ptCount val="2"/>
                <c:pt idx="0">
                  <c:v>94.059405940594061</c:v>
                </c:pt>
                <c:pt idx="1">
                  <c:v>32.153465346534652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C-CD49-4A0B-BD02-907C333A3FC1}"/>
            </c:ext>
          </c:extLst>
        </c:ser>
        <c:ser>
          <c:idx val="18"/>
          <c:order val="45"/>
          <c:spPr>
            <a:ln w="3175">
              <a:solidFill>
                <a:srgbClr val="000000"/>
              </a:solidFill>
              <a:prstDash val="solid"/>
            </a:ln>
          </c:spPr>
          <c:marker>
            <c:symbol val="none"/>
          </c:marker>
          <c:xVal>
            <c:numRef>
              <c:f>'-'!$C$26:$D$26</c:f>
              <c:numCache>
                <c:formatCode>General</c:formatCode>
                <c:ptCount val="2"/>
                <c:pt idx="0">
                  <c:v>0</c:v>
                </c:pt>
                <c:pt idx="1">
                  <c:v>25</c:v>
                </c:pt>
              </c:numCache>
            </c:numRef>
          </c:xVal>
          <c:yVal>
            <c:numRef>
              <c:f>'-'!$C$31:$FD$31</c:f>
              <c:numCache>
                <c:formatCode>General</c:formatCode>
                <c:ptCount val="158"/>
                <c:pt idx="0">
                  <c:v>99.009900990099013</c:v>
                </c:pt>
                <c:pt idx="1">
                  <c:v>37.103960396039604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D-CD49-4A0B-BD02-907C333A3FC1}"/>
            </c:ext>
          </c:extLst>
        </c:ser>
        <c:ser>
          <c:idx val="17"/>
          <c:order val="46"/>
          <c:spPr>
            <a:ln w="3175">
              <a:solidFill>
                <a:srgbClr val="000000"/>
              </a:solidFill>
              <a:prstDash val="solid"/>
            </a:ln>
          </c:spPr>
          <c:marker>
            <c:symbol val="none"/>
          </c:marker>
          <c:xVal>
            <c:numRef>
              <c:f>'-'!$C$26:$D$26</c:f>
              <c:numCache>
                <c:formatCode>General</c:formatCode>
                <c:ptCount val="2"/>
                <c:pt idx="0">
                  <c:v>0</c:v>
                </c:pt>
                <c:pt idx="1">
                  <c:v>25</c:v>
                </c:pt>
              </c:numCache>
            </c:numRef>
          </c:xVal>
          <c:yVal>
            <c:numRef>
              <c:f>'-'!$C$30:$D$30</c:f>
              <c:numCache>
                <c:formatCode>General</c:formatCode>
                <c:ptCount val="2"/>
                <c:pt idx="0">
                  <c:v>103.96039603960396</c:v>
                </c:pt>
                <c:pt idx="1">
                  <c:v>42.054455445544555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E-CD49-4A0B-BD02-907C333A3FC1}"/>
            </c:ext>
          </c:extLst>
        </c:ser>
        <c:ser>
          <c:idx val="16"/>
          <c:order val="47"/>
          <c:spPr>
            <a:ln w="3175">
              <a:solidFill>
                <a:srgbClr val="000000"/>
              </a:solidFill>
              <a:prstDash val="solid"/>
            </a:ln>
          </c:spPr>
          <c:marker>
            <c:symbol val="none"/>
          </c:marker>
          <c:xVal>
            <c:numRef>
              <c:f>'-'!$C$26:$D$26</c:f>
              <c:numCache>
                <c:formatCode>General</c:formatCode>
                <c:ptCount val="2"/>
                <c:pt idx="0">
                  <c:v>0</c:v>
                </c:pt>
                <c:pt idx="1">
                  <c:v>25</c:v>
                </c:pt>
              </c:numCache>
            </c:numRef>
          </c:xVal>
          <c:yVal>
            <c:numRef>
              <c:f>'-'!$C$29:$D$29</c:f>
              <c:numCache>
                <c:formatCode>General</c:formatCode>
                <c:ptCount val="2"/>
                <c:pt idx="0">
                  <c:v>108.91089108910892</c:v>
                </c:pt>
                <c:pt idx="1">
                  <c:v>47.004950495049506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F-CD49-4A0B-BD02-907C333A3FC1}"/>
            </c:ext>
          </c:extLst>
        </c:ser>
        <c:ser>
          <c:idx val="15"/>
          <c:order val="48"/>
          <c:spPr>
            <a:ln w="3175">
              <a:solidFill>
                <a:srgbClr val="000000"/>
              </a:solidFill>
              <a:prstDash val="solid"/>
            </a:ln>
          </c:spPr>
          <c:marker>
            <c:symbol val="none"/>
          </c:marker>
          <c:xVal>
            <c:numRef>
              <c:f>'-'!$C$26:$D$26</c:f>
              <c:numCache>
                <c:formatCode>General</c:formatCode>
                <c:ptCount val="2"/>
                <c:pt idx="0">
                  <c:v>0</c:v>
                </c:pt>
                <c:pt idx="1">
                  <c:v>25</c:v>
                </c:pt>
              </c:numCache>
            </c:numRef>
          </c:xVal>
          <c:yVal>
            <c:numRef>
              <c:f>'-'!$C$28:$D$28</c:f>
              <c:numCache>
                <c:formatCode>General</c:formatCode>
                <c:ptCount val="2"/>
                <c:pt idx="0">
                  <c:v>113.86138613861387</c:v>
                </c:pt>
                <c:pt idx="1">
                  <c:v>51.955445544554458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0-CD49-4A0B-BD02-907C333A3FC1}"/>
            </c:ext>
          </c:extLst>
        </c:ser>
        <c:ser>
          <c:idx val="10"/>
          <c:order val="49"/>
          <c:spPr>
            <a:ln w="3175">
              <a:solidFill>
                <a:srgbClr val="000000"/>
              </a:solidFill>
              <a:prstDash val="solid"/>
            </a:ln>
          </c:spPr>
          <c:marker>
            <c:symbol val="none"/>
          </c:marker>
          <c:xVal>
            <c:numRef>
              <c:f>'-'!$C$6:$R$6</c:f>
              <c:numCache>
                <c:formatCode>General</c:formatCode>
                <c:ptCount val="16"/>
                <c:pt idx="0">
                  <c:v>0</c:v>
                </c:pt>
                <c:pt idx="1">
                  <c:v>2</c:v>
                </c:pt>
                <c:pt idx="2">
                  <c:v>4</c:v>
                </c:pt>
                <c:pt idx="3">
                  <c:v>6</c:v>
                </c:pt>
                <c:pt idx="4">
                  <c:v>8</c:v>
                </c:pt>
                <c:pt idx="5">
                  <c:v>10</c:v>
                </c:pt>
                <c:pt idx="6">
                  <c:v>12</c:v>
                </c:pt>
                <c:pt idx="7">
                  <c:v>14</c:v>
                </c:pt>
                <c:pt idx="8">
                  <c:v>16</c:v>
                </c:pt>
                <c:pt idx="9">
                  <c:v>18</c:v>
                </c:pt>
                <c:pt idx="10">
                  <c:v>20</c:v>
                </c:pt>
                <c:pt idx="11">
                  <c:v>22</c:v>
                </c:pt>
                <c:pt idx="12">
                  <c:v>24</c:v>
                </c:pt>
                <c:pt idx="13">
                  <c:v>26</c:v>
                </c:pt>
                <c:pt idx="14">
                  <c:v>28</c:v>
                </c:pt>
                <c:pt idx="15">
                  <c:v>30</c:v>
                </c:pt>
              </c:numCache>
            </c:numRef>
          </c:xVal>
          <c:yVal>
            <c:numRef>
              <c:f>'-'!$C$18:$R$18</c:f>
              <c:numCache>
                <c:formatCode>General</c:formatCode>
                <c:ptCount val="1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1-CD49-4A0B-BD02-907C333A3FC1}"/>
            </c:ext>
          </c:extLst>
        </c:ser>
        <c:ser>
          <c:idx val="13"/>
          <c:order val="50"/>
          <c:spPr>
            <a:ln w="3175">
              <a:solidFill>
                <a:srgbClr val="000000"/>
              </a:solidFill>
              <a:prstDash val="solid"/>
            </a:ln>
          </c:spPr>
          <c:marker>
            <c:symbol val="none"/>
          </c:marker>
          <c:xVal>
            <c:numRef>
              <c:f>'-'!$C$6:$R$6</c:f>
              <c:numCache>
                <c:formatCode>General</c:formatCode>
                <c:ptCount val="16"/>
                <c:pt idx="0">
                  <c:v>0</c:v>
                </c:pt>
                <c:pt idx="1">
                  <c:v>2</c:v>
                </c:pt>
                <c:pt idx="2">
                  <c:v>4</c:v>
                </c:pt>
                <c:pt idx="3">
                  <c:v>6</c:v>
                </c:pt>
                <c:pt idx="4">
                  <c:v>8</c:v>
                </c:pt>
                <c:pt idx="5">
                  <c:v>10</c:v>
                </c:pt>
                <c:pt idx="6">
                  <c:v>12</c:v>
                </c:pt>
                <c:pt idx="7">
                  <c:v>14</c:v>
                </c:pt>
                <c:pt idx="8">
                  <c:v>16</c:v>
                </c:pt>
                <c:pt idx="9">
                  <c:v>18</c:v>
                </c:pt>
                <c:pt idx="10">
                  <c:v>20</c:v>
                </c:pt>
                <c:pt idx="11">
                  <c:v>22</c:v>
                </c:pt>
                <c:pt idx="12">
                  <c:v>24</c:v>
                </c:pt>
                <c:pt idx="13">
                  <c:v>26</c:v>
                </c:pt>
                <c:pt idx="14">
                  <c:v>28</c:v>
                </c:pt>
                <c:pt idx="15">
                  <c:v>30</c:v>
                </c:pt>
              </c:numCache>
            </c:numRef>
          </c:xVal>
          <c:yVal>
            <c:numRef>
              <c:f>'-'!$C$21:$R$21</c:f>
              <c:numCache>
                <c:formatCode>General</c:formatCode>
                <c:ptCount val="16"/>
                <c:pt idx="0">
                  <c:v>-15</c:v>
                </c:pt>
                <c:pt idx="1">
                  <c:v>-15.055247524752476</c:v>
                </c:pt>
                <c:pt idx="2">
                  <c:v>-15.11049504950495</c:v>
                </c:pt>
                <c:pt idx="3">
                  <c:v>-15.165742574257427</c:v>
                </c:pt>
                <c:pt idx="4">
                  <c:v>-15.220990099009901</c:v>
                </c:pt>
                <c:pt idx="5">
                  <c:v>-15.276237623762377</c:v>
                </c:pt>
                <c:pt idx="6">
                  <c:v>-15.331485148514851</c:v>
                </c:pt>
                <c:pt idx="7">
                  <c:v>-15.386732673267327</c:v>
                </c:pt>
                <c:pt idx="8">
                  <c:v>-15.441980198019802</c:v>
                </c:pt>
                <c:pt idx="9">
                  <c:v>-15.497227722772278</c:v>
                </c:pt>
                <c:pt idx="10">
                  <c:v>-15.552475247524752</c:v>
                </c:pt>
                <c:pt idx="11">
                  <c:v>-15.607722772277228</c:v>
                </c:pt>
                <c:pt idx="12">
                  <c:v>-15.662970297029704</c:v>
                </c:pt>
                <c:pt idx="13">
                  <c:v>-15.718217821782179</c:v>
                </c:pt>
                <c:pt idx="14">
                  <c:v>-15.773465346534653</c:v>
                </c:pt>
                <c:pt idx="15">
                  <c:v>-15.828712871287129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32-CD49-4A0B-BD02-907C333A3FC1}"/>
            </c:ext>
          </c:extLst>
        </c:ser>
        <c:ser>
          <c:idx val="12"/>
          <c:order val="51"/>
          <c:spPr>
            <a:ln w="3175">
              <a:solidFill>
                <a:srgbClr val="000000"/>
              </a:solidFill>
              <a:prstDash val="solid"/>
            </a:ln>
          </c:spPr>
          <c:marker>
            <c:symbol val="none"/>
          </c:marker>
          <c:xVal>
            <c:numRef>
              <c:f>'-'!$C$6:$R$6</c:f>
              <c:numCache>
                <c:formatCode>General</c:formatCode>
                <c:ptCount val="16"/>
                <c:pt idx="0">
                  <c:v>0</c:v>
                </c:pt>
                <c:pt idx="1">
                  <c:v>2</c:v>
                </c:pt>
                <c:pt idx="2">
                  <c:v>4</c:v>
                </c:pt>
                <c:pt idx="3">
                  <c:v>6</c:v>
                </c:pt>
                <c:pt idx="4">
                  <c:v>8</c:v>
                </c:pt>
                <c:pt idx="5">
                  <c:v>10</c:v>
                </c:pt>
                <c:pt idx="6">
                  <c:v>12</c:v>
                </c:pt>
                <c:pt idx="7">
                  <c:v>14</c:v>
                </c:pt>
                <c:pt idx="8">
                  <c:v>16</c:v>
                </c:pt>
                <c:pt idx="9">
                  <c:v>18</c:v>
                </c:pt>
                <c:pt idx="10">
                  <c:v>20</c:v>
                </c:pt>
                <c:pt idx="11">
                  <c:v>22</c:v>
                </c:pt>
                <c:pt idx="12">
                  <c:v>24</c:v>
                </c:pt>
                <c:pt idx="13">
                  <c:v>26</c:v>
                </c:pt>
                <c:pt idx="14">
                  <c:v>28</c:v>
                </c:pt>
                <c:pt idx="15">
                  <c:v>30</c:v>
                </c:pt>
              </c:numCache>
            </c:numRef>
          </c:xVal>
          <c:yVal>
            <c:numRef>
              <c:f>'-'!$C$20:$R$20</c:f>
              <c:numCache>
                <c:formatCode>General</c:formatCode>
                <c:ptCount val="16"/>
                <c:pt idx="0">
                  <c:v>-10</c:v>
                </c:pt>
                <c:pt idx="1">
                  <c:v>-10.036831683168316</c:v>
                </c:pt>
                <c:pt idx="2">
                  <c:v>-10.073663366336634</c:v>
                </c:pt>
                <c:pt idx="3">
                  <c:v>-10.11049504950495</c:v>
                </c:pt>
                <c:pt idx="4">
                  <c:v>-10.147326732673266</c:v>
                </c:pt>
                <c:pt idx="5">
                  <c:v>-10.184158415841583</c:v>
                </c:pt>
                <c:pt idx="6">
                  <c:v>-10.220990099009901</c:v>
                </c:pt>
                <c:pt idx="7">
                  <c:v>-10.257821782178217</c:v>
                </c:pt>
                <c:pt idx="8">
                  <c:v>-10.294653465346533</c:v>
                </c:pt>
                <c:pt idx="9">
                  <c:v>-10.331485148514851</c:v>
                </c:pt>
                <c:pt idx="10">
                  <c:v>-10.368316831683169</c:v>
                </c:pt>
                <c:pt idx="11">
                  <c:v>-10.405148514851485</c:v>
                </c:pt>
                <c:pt idx="12">
                  <c:v>-10.441980198019802</c:v>
                </c:pt>
                <c:pt idx="13">
                  <c:v>-10.47881188118812</c:v>
                </c:pt>
                <c:pt idx="14">
                  <c:v>-10.515643564356434</c:v>
                </c:pt>
                <c:pt idx="15">
                  <c:v>-10.552475247524752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33-CD49-4A0B-BD02-907C333A3FC1}"/>
            </c:ext>
          </c:extLst>
        </c:ser>
        <c:ser>
          <c:idx val="11"/>
          <c:order val="52"/>
          <c:spPr>
            <a:ln w="3175">
              <a:solidFill>
                <a:srgbClr val="000000"/>
              </a:solidFill>
              <a:prstDash val="solid"/>
            </a:ln>
          </c:spPr>
          <c:marker>
            <c:symbol val="none"/>
          </c:marker>
          <c:xVal>
            <c:numRef>
              <c:f>'-'!$C$6:$R$6</c:f>
              <c:numCache>
                <c:formatCode>General</c:formatCode>
                <c:ptCount val="16"/>
                <c:pt idx="0">
                  <c:v>0</c:v>
                </c:pt>
                <c:pt idx="1">
                  <c:v>2</c:v>
                </c:pt>
                <c:pt idx="2">
                  <c:v>4</c:v>
                </c:pt>
                <c:pt idx="3">
                  <c:v>6</c:v>
                </c:pt>
                <c:pt idx="4">
                  <c:v>8</c:v>
                </c:pt>
                <c:pt idx="5">
                  <c:v>10</c:v>
                </c:pt>
                <c:pt idx="6">
                  <c:v>12</c:v>
                </c:pt>
                <c:pt idx="7">
                  <c:v>14</c:v>
                </c:pt>
                <c:pt idx="8">
                  <c:v>16</c:v>
                </c:pt>
                <c:pt idx="9">
                  <c:v>18</c:v>
                </c:pt>
                <c:pt idx="10">
                  <c:v>20</c:v>
                </c:pt>
                <c:pt idx="11">
                  <c:v>22</c:v>
                </c:pt>
                <c:pt idx="12">
                  <c:v>24</c:v>
                </c:pt>
                <c:pt idx="13">
                  <c:v>26</c:v>
                </c:pt>
                <c:pt idx="14">
                  <c:v>28</c:v>
                </c:pt>
                <c:pt idx="15">
                  <c:v>30</c:v>
                </c:pt>
              </c:numCache>
            </c:numRef>
          </c:xVal>
          <c:yVal>
            <c:numRef>
              <c:f>'-'!$C$19:$R$19</c:f>
              <c:numCache>
                <c:formatCode>General</c:formatCode>
                <c:ptCount val="16"/>
                <c:pt idx="0">
                  <c:v>-5</c:v>
                </c:pt>
                <c:pt idx="1">
                  <c:v>-5.018415841584158</c:v>
                </c:pt>
                <c:pt idx="2">
                  <c:v>-5.0368316831683169</c:v>
                </c:pt>
                <c:pt idx="3">
                  <c:v>-5.0552475247524749</c:v>
                </c:pt>
                <c:pt idx="4">
                  <c:v>-5.0736633663366328</c:v>
                </c:pt>
                <c:pt idx="5">
                  <c:v>-5.0920792079207917</c:v>
                </c:pt>
                <c:pt idx="6">
                  <c:v>-5.1104950495049506</c:v>
                </c:pt>
                <c:pt idx="7">
                  <c:v>-5.1289108910891086</c:v>
                </c:pt>
                <c:pt idx="8">
                  <c:v>-5.1473267326732666</c:v>
                </c:pt>
                <c:pt idx="9">
                  <c:v>-5.1657425742574254</c:v>
                </c:pt>
                <c:pt idx="10">
                  <c:v>-5.1841584158415843</c:v>
                </c:pt>
                <c:pt idx="11">
                  <c:v>-5.2025742574257423</c:v>
                </c:pt>
                <c:pt idx="12">
                  <c:v>-5.2209900990099012</c:v>
                </c:pt>
                <c:pt idx="13">
                  <c:v>-5.2394059405940601</c:v>
                </c:pt>
                <c:pt idx="14">
                  <c:v>-5.2578217821782172</c:v>
                </c:pt>
                <c:pt idx="15">
                  <c:v>-5.276237623762376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34-CD49-4A0B-BD02-907C333A3FC1}"/>
            </c:ext>
          </c:extLst>
        </c:ser>
        <c:ser>
          <c:idx val="9"/>
          <c:order val="53"/>
          <c:spPr>
            <a:ln w="3175">
              <a:solidFill>
                <a:srgbClr val="000000"/>
              </a:solidFill>
              <a:prstDash val="solid"/>
            </a:ln>
          </c:spPr>
          <c:marker>
            <c:symbol val="none"/>
          </c:marker>
          <c:xVal>
            <c:numRef>
              <c:f>'-'!$C$6:$R$6</c:f>
              <c:numCache>
                <c:formatCode>General</c:formatCode>
                <c:ptCount val="16"/>
                <c:pt idx="0">
                  <c:v>0</c:v>
                </c:pt>
                <c:pt idx="1">
                  <c:v>2</c:v>
                </c:pt>
                <c:pt idx="2">
                  <c:v>4</c:v>
                </c:pt>
                <c:pt idx="3">
                  <c:v>6</c:v>
                </c:pt>
                <c:pt idx="4">
                  <c:v>8</c:v>
                </c:pt>
                <c:pt idx="5">
                  <c:v>10</c:v>
                </c:pt>
                <c:pt idx="6">
                  <c:v>12</c:v>
                </c:pt>
                <c:pt idx="7">
                  <c:v>14</c:v>
                </c:pt>
                <c:pt idx="8">
                  <c:v>16</c:v>
                </c:pt>
                <c:pt idx="9">
                  <c:v>18</c:v>
                </c:pt>
                <c:pt idx="10">
                  <c:v>20</c:v>
                </c:pt>
                <c:pt idx="11">
                  <c:v>22</c:v>
                </c:pt>
                <c:pt idx="12">
                  <c:v>24</c:v>
                </c:pt>
                <c:pt idx="13">
                  <c:v>26</c:v>
                </c:pt>
                <c:pt idx="14">
                  <c:v>28</c:v>
                </c:pt>
                <c:pt idx="15">
                  <c:v>30</c:v>
                </c:pt>
              </c:numCache>
            </c:numRef>
          </c:xVal>
          <c:yVal>
            <c:numRef>
              <c:f>'-'!$C$17:$R$17</c:f>
              <c:numCache>
                <c:formatCode>General</c:formatCode>
                <c:ptCount val="16"/>
                <c:pt idx="0">
                  <c:v>5</c:v>
                </c:pt>
                <c:pt idx="1">
                  <c:v>5.018415841584158</c:v>
                </c:pt>
                <c:pt idx="2">
                  <c:v>5.0368316831683169</c:v>
                </c:pt>
                <c:pt idx="3">
                  <c:v>5.0552475247524749</c:v>
                </c:pt>
                <c:pt idx="4">
                  <c:v>5.0736633663366328</c:v>
                </c:pt>
                <c:pt idx="5">
                  <c:v>5.0920792079207917</c:v>
                </c:pt>
                <c:pt idx="6">
                  <c:v>5.1104950495049506</c:v>
                </c:pt>
                <c:pt idx="7">
                  <c:v>5.1289108910891086</c:v>
                </c:pt>
                <c:pt idx="8">
                  <c:v>5.1473267326732666</c:v>
                </c:pt>
                <c:pt idx="9">
                  <c:v>5.1657425742574254</c:v>
                </c:pt>
                <c:pt idx="10">
                  <c:v>5.1841584158415843</c:v>
                </c:pt>
                <c:pt idx="11">
                  <c:v>5.2025742574257423</c:v>
                </c:pt>
                <c:pt idx="12">
                  <c:v>5.2209900990099012</c:v>
                </c:pt>
                <c:pt idx="13">
                  <c:v>5.2394059405940601</c:v>
                </c:pt>
                <c:pt idx="14">
                  <c:v>5.2578217821782172</c:v>
                </c:pt>
                <c:pt idx="15">
                  <c:v>5.276237623762376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35-CD49-4A0B-BD02-907C333A3FC1}"/>
            </c:ext>
          </c:extLst>
        </c:ser>
        <c:ser>
          <c:idx val="8"/>
          <c:order val="54"/>
          <c:spPr>
            <a:ln w="3175">
              <a:solidFill>
                <a:srgbClr val="000000"/>
              </a:solidFill>
              <a:prstDash val="solid"/>
            </a:ln>
          </c:spPr>
          <c:marker>
            <c:symbol val="none"/>
          </c:marker>
          <c:xVal>
            <c:numRef>
              <c:f>'-'!$C$6:$R$6</c:f>
              <c:numCache>
                <c:formatCode>General</c:formatCode>
                <c:ptCount val="16"/>
                <c:pt idx="0">
                  <c:v>0</c:v>
                </c:pt>
                <c:pt idx="1">
                  <c:v>2</c:v>
                </c:pt>
                <c:pt idx="2">
                  <c:v>4</c:v>
                </c:pt>
                <c:pt idx="3">
                  <c:v>6</c:v>
                </c:pt>
                <c:pt idx="4">
                  <c:v>8</c:v>
                </c:pt>
                <c:pt idx="5">
                  <c:v>10</c:v>
                </c:pt>
                <c:pt idx="6">
                  <c:v>12</c:v>
                </c:pt>
                <c:pt idx="7">
                  <c:v>14</c:v>
                </c:pt>
                <c:pt idx="8">
                  <c:v>16</c:v>
                </c:pt>
                <c:pt idx="9">
                  <c:v>18</c:v>
                </c:pt>
                <c:pt idx="10">
                  <c:v>20</c:v>
                </c:pt>
                <c:pt idx="11">
                  <c:v>22</c:v>
                </c:pt>
                <c:pt idx="12">
                  <c:v>24</c:v>
                </c:pt>
                <c:pt idx="13">
                  <c:v>26</c:v>
                </c:pt>
                <c:pt idx="14">
                  <c:v>28</c:v>
                </c:pt>
                <c:pt idx="15">
                  <c:v>30</c:v>
                </c:pt>
              </c:numCache>
            </c:numRef>
          </c:xVal>
          <c:yVal>
            <c:numRef>
              <c:f>'-'!$C$16:$R$16</c:f>
              <c:numCache>
                <c:formatCode>General</c:formatCode>
                <c:ptCount val="16"/>
                <c:pt idx="0">
                  <c:v>10</c:v>
                </c:pt>
                <c:pt idx="1">
                  <c:v>10.036831683168316</c:v>
                </c:pt>
                <c:pt idx="2">
                  <c:v>10.073663366336634</c:v>
                </c:pt>
                <c:pt idx="3">
                  <c:v>10.11049504950495</c:v>
                </c:pt>
                <c:pt idx="4">
                  <c:v>10.147326732673266</c:v>
                </c:pt>
                <c:pt idx="5">
                  <c:v>10.184158415841583</c:v>
                </c:pt>
                <c:pt idx="6">
                  <c:v>10.220990099009901</c:v>
                </c:pt>
                <c:pt idx="7">
                  <c:v>10.257821782178217</c:v>
                </c:pt>
                <c:pt idx="8">
                  <c:v>10.294653465346533</c:v>
                </c:pt>
                <c:pt idx="9">
                  <c:v>10.331485148514851</c:v>
                </c:pt>
                <c:pt idx="10">
                  <c:v>10.368316831683169</c:v>
                </c:pt>
                <c:pt idx="11">
                  <c:v>10.405148514851485</c:v>
                </c:pt>
                <c:pt idx="12">
                  <c:v>10.441980198019802</c:v>
                </c:pt>
                <c:pt idx="13">
                  <c:v>10.47881188118812</c:v>
                </c:pt>
                <c:pt idx="14">
                  <c:v>10.515643564356434</c:v>
                </c:pt>
                <c:pt idx="15">
                  <c:v>10.552475247524752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36-CD49-4A0B-BD02-907C333A3FC1}"/>
            </c:ext>
          </c:extLst>
        </c:ser>
        <c:ser>
          <c:idx val="7"/>
          <c:order val="55"/>
          <c:spPr>
            <a:ln w="3175">
              <a:solidFill>
                <a:srgbClr val="000000"/>
              </a:solidFill>
              <a:prstDash val="solid"/>
            </a:ln>
          </c:spPr>
          <c:marker>
            <c:symbol val="none"/>
          </c:marker>
          <c:xVal>
            <c:numRef>
              <c:f>'-'!$C$6:$R$6</c:f>
              <c:numCache>
                <c:formatCode>General</c:formatCode>
                <c:ptCount val="16"/>
                <c:pt idx="0">
                  <c:v>0</c:v>
                </c:pt>
                <c:pt idx="1">
                  <c:v>2</c:v>
                </c:pt>
                <c:pt idx="2">
                  <c:v>4</c:v>
                </c:pt>
                <c:pt idx="3">
                  <c:v>6</c:v>
                </c:pt>
                <c:pt idx="4">
                  <c:v>8</c:v>
                </c:pt>
                <c:pt idx="5">
                  <c:v>10</c:v>
                </c:pt>
                <c:pt idx="6">
                  <c:v>12</c:v>
                </c:pt>
                <c:pt idx="7">
                  <c:v>14</c:v>
                </c:pt>
                <c:pt idx="8">
                  <c:v>16</c:v>
                </c:pt>
                <c:pt idx="9">
                  <c:v>18</c:v>
                </c:pt>
                <c:pt idx="10">
                  <c:v>20</c:v>
                </c:pt>
                <c:pt idx="11">
                  <c:v>22</c:v>
                </c:pt>
                <c:pt idx="12">
                  <c:v>24</c:v>
                </c:pt>
                <c:pt idx="13">
                  <c:v>26</c:v>
                </c:pt>
                <c:pt idx="14">
                  <c:v>28</c:v>
                </c:pt>
                <c:pt idx="15">
                  <c:v>30</c:v>
                </c:pt>
              </c:numCache>
            </c:numRef>
          </c:xVal>
          <c:yVal>
            <c:numRef>
              <c:f>'-'!$C$15:$R$15</c:f>
              <c:numCache>
                <c:formatCode>General</c:formatCode>
                <c:ptCount val="16"/>
                <c:pt idx="0">
                  <c:v>15</c:v>
                </c:pt>
                <c:pt idx="1">
                  <c:v>15.055247524752476</c:v>
                </c:pt>
                <c:pt idx="2">
                  <c:v>15.11049504950495</c:v>
                </c:pt>
                <c:pt idx="3">
                  <c:v>15.165742574257427</c:v>
                </c:pt>
                <c:pt idx="4">
                  <c:v>15.220990099009901</c:v>
                </c:pt>
                <c:pt idx="5">
                  <c:v>15.276237623762377</c:v>
                </c:pt>
                <c:pt idx="6">
                  <c:v>15.331485148514851</c:v>
                </c:pt>
                <c:pt idx="7">
                  <c:v>15.386732673267327</c:v>
                </c:pt>
                <c:pt idx="8">
                  <c:v>15.441980198019802</c:v>
                </c:pt>
                <c:pt idx="9">
                  <c:v>15.497227722772278</c:v>
                </c:pt>
                <c:pt idx="10">
                  <c:v>15.552475247524752</c:v>
                </c:pt>
                <c:pt idx="11">
                  <c:v>15.607722772277228</c:v>
                </c:pt>
                <c:pt idx="12">
                  <c:v>15.662970297029704</c:v>
                </c:pt>
                <c:pt idx="13">
                  <c:v>15.718217821782179</c:v>
                </c:pt>
                <c:pt idx="14">
                  <c:v>15.773465346534653</c:v>
                </c:pt>
                <c:pt idx="15">
                  <c:v>15.828712871287129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37-CD49-4A0B-BD02-907C333A3FC1}"/>
            </c:ext>
          </c:extLst>
        </c:ser>
        <c:ser>
          <c:idx val="6"/>
          <c:order val="56"/>
          <c:spPr>
            <a:ln w="3175">
              <a:solidFill>
                <a:srgbClr val="000000"/>
              </a:solidFill>
              <a:prstDash val="solid"/>
            </a:ln>
          </c:spPr>
          <c:marker>
            <c:symbol val="none"/>
          </c:marker>
          <c:xVal>
            <c:numRef>
              <c:f>'-'!$C$6:$R$6</c:f>
              <c:numCache>
                <c:formatCode>General</c:formatCode>
                <c:ptCount val="16"/>
                <c:pt idx="0">
                  <c:v>0</c:v>
                </c:pt>
                <c:pt idx="1">
                  <c:v>2</c:v>
                </c:pt>
                <c:pt idx="2">
                  <c:v>4</c:v>
                </c:pt>
                <c:pt idx="3">
                  <c:v>6</c:v>
                </c:pt>
                <c:pt idx="4">
                  <c:v>8</c:v>
                </c:pt>
                <c:pt idx="5">
                  <c:v>10</c:v>
                </c:pt>
                <c:pt idx="6">
                  <c:v>12</c:v>
                </c:pt>
                <c:pt idx="7">
                  <c:v>14</c:v>
                </c:pt>
                <c:pt idx="8">
                  <c:v>16</c:v>
                </c:pt>
                <c:pt idx="9">
                  <c:v>18</c:v>
                </c:pt>
                <c:pt idx="10">
                  <c:v>20</c:v>
                </c:pt>
                <c:pt idx="11">
                  <c:v>22</c:v>
                </c:pt>
                <c:pt idx="12">
                  <c:v>24</c:v>
                </c:pt>
                <c:pt idx="13">
                  <c:v>26</c:v>
                </c:pt>
                <c:pt idx="14">
                  <c:v>28</c:v>
                </c:pt>
                <c:pt idx="15">
                  <c:v>30</c:v>
                </c:pt>
              </c:numCache>
            </c:numRef>
          </c:xVal>
          <c:yVal>
            <c:numRef>
              <c:f>'-'!$C$14:$R$14</c:f>
              <c:numCache>
                <c:formatCode>General</c:formatCode>
                <c:ptCount val="16"/>
                <c:pt idx="0">
                  <c:v>20</c:v>
                </c:pt>
                <c:pt idx="1">
                  <c:v>20.073663366336632</c:v>
                </c:pt>
                <c:pt idx="2">
                  <c:v>20.147326732673267</c:v>
                </c:pt>
                <c:pt idx="3">
                  <c:v>20.220990099009899</c:v>
                </c:pt>
                <c:pt idx="4">
                  <c:v>20.294653465346531</c:v>
                </c:pt>
                <c:pt idx="5">
                  <c:v>20.368316831683167</c:v>
                </c:pt>
                <c:pt idx="6">
                  <c:v>20.441980198019802</c:v>
                </c:pt>
                <c:pt idx="7">
                  <c:v>20.515643564356434</c:v>
                </c:pt>
                <c:pt idx="8">
                  <c:v>20.589306930693066</c:v>
                </c:pt>
                <c:pt idx="9">
                  <c:v>20.662970297029702</c:v>
                </c:pt>
                <c:pt idx="10">
                  <c:v>20.736633663366337</c:v>
                </c:pt>
                <c:pt idx="11">
                  <c:v>20.810297029702969</c:v>
                </c:pt>
                <c:pt idx="12">
                  <c:v>20.883960396039605</c:v>
                </c:pt>
                <c:pt idx="13">
                  <c:v>20.95762376237624</c:v>
                </c:pt>
                <c:pt idx="14">
                  <c:v>21.031287128712869</c:v>
                </c:pt>
                <c:pt idx="15">
                  <c:v>21.104950495049504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38-CD49-4A0B-BD02-907C333A3FC1}"/>
            </c:ext>
          </c:extLst>
        </c:ser>
        <c:ser>
          <c:idx val="5"/>
          <c:order val="57"/>
          <c:spPr>
            <a:ln w="3175">
              <a:solidFill>
                <a:srgbClr val="000000"/>
              </a:solidFill>
              <a:prstDash val="solid"/>
            </a:ln>
          </c:spPr>
          <c:marker>
            <c:symbol val="none"/>
          </c:marker>
          <c:xVal>
            <c:numRef>
              <c:f>'-'!$C$6:$R$6</c:f>
              <c:numCache>
                <c:formatCode>General</c:formatCode>
                <c:ptCount val="16"/>
                <c:pt idx="0">
                  <c:v>0</c:v>
                </c:pt>
                <c:pt idx="1">
                  <c:v>2</c:v>
                </c:pt>
                <c:pt idx="2">
                  <c:v>4</c:v>
                </c:pt>
                <c:pt idx="3">
                  <c:v>6</c:v>
                </c:pt>
                <c:pt idx="4">
                  <c:v>8</c:v>
                </c:pt>
                <c:pt idx="5">
                  <c:v>10</c:v>
                </c:pt>
                <c:pt idx="6">
                  <c:v>12</c:v>
                </c:pt>
                <c:pt idx="7">
                  <c:v>14</c:v>
                </c:pt>
                <c:pt idx="8">
                  <c:v>16</c:v>
                </c:pt>
                <c:pt idx="9">
                  <c:v>18</c:v>
                </c:pt>
                <c:pt idx="10">
                  <c:v>20</c:v>
                </c:pt>
                <c:pt idx="11">
                  <c:v>22</c:v>
                </c:pt>
                <c:pt idx="12">
                  <c:v>24</c:v>
                </c:pt>
                <c:pt idx="13">
                  <c:v>26</c:v>
                </c:pt>
                <c:pt idx="14">
                  <c:v>28</c:v>
                </c:pt>
                <c:pt idx="15">
                  <c:v>30</c:v>
                </c:pt>
              </c:numCache>
            </c:numRef>
          </c:xVal>
          <c:yVal>
            <c:numRef>
              <c:f>'-'!$C$13:$R$13</c:f>
              <c:numCache>
                <c:formatCode>General</c:formatCode>
                <c:ptCount val="16"/>
                <c:pt idx="0">
                  <c:v>25</c:v>
                </c:pt>
                <c:pt idx="1">
                  <c:v>25.092079207920793</c:v>
                </c:pt>
                <c:pt idx="2">
                  <c:v>25.184158415841583</c:v>
                </c:pt>
                <c:pt idx="3">
                  <c:v>25.276237623762377</c:v>
                </c:pt>
                <c:pt idx="4">
                  <c:v>25.368316831683167</c:v>
                </c:pt>
                <c:pt idx="5">
                  <c:v>25.46039603960396</c:v>
                </c:pt>
                <c:pt idx="6">
                  <c:v>25.552475247524754</c:v>
                </c:pt>
                <c:pt idx="7">
                  <c:v>25.644554455445544</c:v>
                </c:pt>
                <c:pt idx="8">
                  <c:v>25.736633663366337</c:v>
                </c:pt>
                <c:pt idx="9">
                  <c:v>25.828712871287127</c:v>
                </c:pt>
                <c:pt idx="10">
                  <c:v>25.920792079207921</c:v>
                </c:pt>
                <c:pt idx="11">
                  <c:v>26.012871287128711</c:v>
                </c:pt>
                <c:pt idx="12">
                  <c:v>26.104950495049504</c:v>
                </c:pt>
                <c:pt idx="13">
                  <c:v>26.197029702970298</c:v>
                </c:pt>
                <c:pt idx="14">
                  <c:v>26.289108910891088</c:v>
                </c:pt>
                <c:pt idx="15">
                  <c:v>26.381188118811881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9-CD49-4A0B-BD02-907C333A3FC1}"/>
            </c:ext>
          </c:extLst>
        </c:ser>
        <c:ser>
          <c:idx val="4"/>
          <c:order val="58"/>
          <c:spPr>
            <a:ln w="3175">
              <a:solidFill>
                <a:srgbClr val="000000"/>
              </a:solidFill>
              <a:prstDash val="solid"/>
            </a:ln>
          </c:spPr>
          <c:marker>
            <c:symbol val="none"/>
          </c:marker>
          <c:xVal>
            <c:numRef>
              <c:f>'-'!$C$6:$R$6</c:f>
              <c:numCache>
                <c:formatCode>General</c:formatCode>
                <c:ptCount val="16"/>
                <c:pt idx="0">
                  <c:v>0</c:v>
                </c:pt>
                <c:pt idx="1">
                  <c:v>2</c:v>
                </c:pt>
                <c:pt idx="2">
                  <c:v>4</c:v>
                </c:pt>
                <c:pt idx="3">
                  <c:v>6</c:v>
                </c:pt>
                <c:pt idx="4">
                  <c:v>8</c:v>
                </c:pt>
                <c:pt idx="5">
                  <c:v>10</c:v>
                </c:pt>
                <c:pt idx="6">
                  <c:v>12</c:v>
                </c:pt>
                <c:pt idx="7">
                  <c:v>14</c:v>
                </c:pt>
                <c:pt idx="8">
                  <c:v>16</c:v>
                </c:pt>
                <c:pt idx="9">
                  <c:v>18</c:v>
                </c:pt>
                <c:pt idx="10">
                  <c:v>20</c:v>
                </c:pt>
                <c:pt idx="11">
                  <c:v>22</c:v>
                </c:pt>
                <c:pt idx="12">
                  <c:v>24</c:v>
                </c:pt>
                <c:pt idx="13">
                  <c:v>26</c:v>
                </c:pt>
                <c:pt idx="14">
                  <c:v>28</c:v>
                </c:pt>
                <c:pt idx="15">
                  <c:v>30</c:v>
                </c:pt>
              </c:numCache>
            </c:numRef>
          </c:xVal>
          <c:yVal>
            <c:numRef>
              <c:f>'-'!$C$12:$R$12</c:f>
              <c:numCache>
                <c:formatCode>General</c:formatCode>
                <c:ptCount val="16"/>
                <c:pt idx="0">
                  <c:v>30</c:v>
                </c:pt>
                <c:pt idx="1">
                  <c:v>30.110495049504951</c:v>
                </c:pt>
                <c:pt idx="2">
                  <c:v>30.220990099009899</c:v>
                </c:pt>
                <c:pt idx="3">
                  <c:v>30.331485148514854</c:v>
                </c:pt>
                <c:pt idx="4">
                  <c:v>30.441980198019802</c:v>
                </c:pt>
                <c:pt idx="5">
                  <c:v>30.552475247524754</c:v>
                </c:pt>
                <c:pt idx="6">
                  <c:v>30.662970297029702</c:v>
                </c:pt>
                <c:pt idx="7">
                  <c:v>30.773465346534653</c:v>
                </c:pt>
                <c:pt idx="8">
                  <c:v>30.883960396039605</c:v>
                </c:pt>
                <c:pt idx="9">
                  <c:v>30.994455445544556</c:v>
                </c:pt>
                <c:pt idx="10">
                  <c:v>31.104950495049504</c:v>
                </c:pt>
                <c:pt idx="11">
                  <c:v>31.215445544554456</c:v>
                </c:pt>
                <c:pt idx="12">
                  <c:v>31.325940594059407</c:v>
                </c:pt>
                <c:pt idx="13">
                  <c:v>31.436435643564359</c:v>
                </c:pt>
                <c:pt idx="14">
                  <c:v>31.546930693069307</c:v>
                </c:pt>
                <c:pt idx="15">
                  <c:v>31.657425742574258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A-CD49-4A0B-BD02-907C333A3FC1}"/>
            </c:ext>
          </c:extLst>
        </c:ser>
        <c:ser>
          <c:idx val="3"/>
          <c:order val="59"/>
          <c:spPr>
            <a:ln w="3175">
              <a:solidFill>
                <a:srgbClr val="000000"/>
              </a:solidFill>
              <a:prstDash val="solid"/>
            </a:ln>
          </c:spPr>
          <c:marker>
            <c:symbol val="none"/>
          </c:marker>
          <c:xVal>
            <c:numRef>
              <c:f>'-'!$C$6:$R$6</c:f>
              <c:numCache>
                <c:formatCode>General</c:formatCode>
                <c:ptCount val="16"/>
                <c:pt idx="0">
                  <c:v>0</c:v>
                </c:pt>
                <c:pt idx="1">
                  <c:v>2</c:v>
                </c:pt>
                <c:pt idx="2">
                  <c:v>4</c:v>
                </c:pt>
                <c:pt idx="3">
                  <c:v>6</c:v>
                </c:pt>
                <c:pt idx="4">
                  <c:v>8</c:v>
                </c:pt>
                <c:pt idx="5">
                  <c:v>10</c:v>
                </c:pt>
                <c:pt idx="6">
                  <c:v>12</c:v>
                </c:pt>
                <c:pt idx="7">
                  <c:v>14</c:v>
                </c:pt>
                <c:pt idx="8">
                  <c:v>16</c:v>
                </c:pt>
                <c:pt idx="9">
                  <c:v>18</c:v>
                </c:pt>
                <c:pt idx="10">
                  <c:v>20</c:v>
                </c:pt>
                <c:pt idx="11">
                  <c:v>22</c:v>
                </c:pt>
                <c:pt idx="12">
                  <c:v>24</c:v>
                </c:pt>
                <c:pt idx="13">
                  <c:v>26</c:v>
                </c:pt>
                <c:pt idx="14">
                  <c:v>28</c:v>
                </c:pt>
                <c:pt idx="15">
                  <c:v>30</c:v>
                </c:pt>
              </c:numCache>
            </c:numRef>
          </c:xVal>
          <c:yVal>
            <c:numRef>
              <c:f>'-'!$C$11:$R$11</c:f>
              <c:numCache>
                <c:formatCode>General</c:formatCode>
                <c:ptCount val="16"/>
                <c:pt idx="0">
                  <c:v>35</c:v>
                </c:pt>
                <c:pt idx="1">
                  <c:v>35.128910891089113</c:v>
                </c:pt>
                <c:pt idx="2">
                  <c:v>35.257821782178219</c:v>
                </c:pt>
                <c:pt idx="3">
                  <c:v>35.386732673267325</c:v>
                </c:pt>
                <c:pt idx="4">
                  <c:v>35.515643564356438</c:v>
                </c:pt>
                <c:pt idx="5">
                  <c:v>35.644554455445551</c:v>
                </c:pt>
                <c:pt idx="6">
                  <c:v>35.77346534653465</c:v>
                </c:pt>
                <c:pt idx="7">
                  <c:v>35.902376237623763</c:v>
                </c:pt>
                <c:pt idx="8">
                  <c:v>36.031287128712876</c:v>
                </c:pt>
                <c:pt idx="9">
                  <c:v>36.160198019801982</c:v>
                </c:pt>
                <c:pt idx="10">
                  <c:v>36.289108910891088</c:v>
                </c:pt>
                <c:pt idx="11">
                  <c:v>36.418019801980201</c:v>
                </c:pt>
                <c:pt idx="12">
                  <c:v>36.546930693069314</c:v>
                </c:pt>
                <c:pt idx="13">
                  <c:v>36.675841584158412</c:v>
                </c:pt>
                <c:pt idx="14">
                  <c:v>36.804752475247525</c:v>
                </c:pt>
                <c:pt idx="15">
                  <c:v>36.933663366336638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B-CD49-4A0B-BD02-907C333A3FC1}"/>
            </c:ext>
          </c:extLst>
        </c:ser>
        <c:ser>
          <c:idx val="2"/>
          <c:order val="60"/>
          <c:spPr>
            <a:ln w="3175">
              <a:solidFill>
                <a:srgbClr val="000000"/>
              </a:solidFill>
              <a:prstDash val="solid"/>
            </a:ln>
          </c:spPr>
          <c:marker>
            <c:symbol val="none"/>
          </c:marker>
          <c:xVal>
            <c:numRef>
              <c:f>'-'!$C$6:$R$6</c:f>
              <c:numCache>
                <c:formatCode>General</c:formatCode>
                <c:ptCount val="16"/>
                <c:pt idx="0">
                  <c:v>0</c:v>
                </c:pt>
                <c:pt idx="1">
                  <c:v>2</c:v>
                </c:pt>
                <c:pt idx="2">
                  <c:v>4</c:v>
                </c:pt>
                <c:pt idx="3">
                  <c:v>6</c:v>
                </c:pt>
                <c:pt idx="4">
                  <c:v>8</c:v>
                </c:pt>
                <c:pt idx="5">
                  <c:v>10</c:v>
                </c:pt>
                <c:pt idx="6">
                  <c:v>12</c:v>
                </c:pt>
                <c:pt idx="7">
                  <c:v>14</c:v>
                </c:pt>
                <c:pt idx="8">
                  <c:v>16</c:v>
                </c:pt>
                <c:pt idx="9">
                  <c:v>18</c:v>
                </c:pt>
                <c:pt idx="10">
                  <c:v>20</c:v>
                </c:pt>
                <c:pt idx="11">
                  <c:v>22</c:v>
                </c:pt>
                <c:pt idx="12">
                  <c:v>24</c:v>
                </c:pt>
                <c:pt idx="13">
                  <c:v>26</c:v>
                </c:pt>
                <c:pt idx="14">
                  <c:v>28</c:v>
                </c:pt>
                <c:pt idx="15">
                  <c:v>30</c:v>
                </c:pt>
              </c:numCache>
            </c:numRef>
          </c:xVal>
          <c:yVal>
            <c:numRef>
              <c:f>'-'!$C$10:$R$10</c:f>
              <c:numCache>
                <c:formatCode>General</c:formatCode>
                <c:ptCount val="16"/>
                <c:pt idx="0">
                  <c:v>40</c:v>
                </c:pt>
                <c:pt idx="1">
                  <c:v>40.147326732673264</c:v>
                </c:pt>
                <c:pt idx="2">
                  <c:v>40.294653465346535</c:v>
                </c:pt>
                <c:pt idx="3">
                  <c:v>40.441980198019799</c:v>
                </c:pt>
                <c:pt idx="4">
                  <c:v>40.589306930693063</c:v>
                </c:pt>
                <c:pt idx="5">
                  <c:v>40.736633663366334</c:v>
                </c:pt>
                <c:pt idx="6">
                  <c:v>40.883960396039605</c:v>
                </c:pt>
                <c:pt idx="7">
                  <c:v>41.031287128712869</c:v>
                </c:pt>
                <c:pt idx="8">
                  <c:v>41.178613861386133</c:v>
                </c:pt>
                <c:pt idx="9">
                  <c:v>41.325940594059404</c:v>
                </c:pt>
                <c:pt idx="10">
                  <c:v>41.473267326732675</c:v>
                </c:pt>
                <c:pt idx="11">
                  <c:v>41.620594059405938</c:v>
                </c:pt>
                <c:pt idx="12">
                  <c:v>41.767920792079209</c:v>
                </c:pt>
                <c:pt idx="13">
                  <c:v>41.915247524752481</c:v>
                </c:pt>
                <c:pt idx="14">
                  <c:v>42.062574257425737</c:v>
                </c:pt>
                <c:pt idx="15">
                  <c:v>42.209900990099008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C-CD49-4A0B-BD02-907C333A3FC1}"/>
            </c:ext>
          </c:extLst>
        </c:ser>
        <c:ser>
          <c:idx val="1"/>
          <c:order val="61"/>
          <c:spPr>
            <a:ln w="3175">
              <a:solidFill>
                <a:srgbClr val="000000"/>
              </a:solidFill>
              <a:prstDash val="solid"/>
            </a:ln>
          </c:spPr>
          <c:marker>
            <c:symbol val="none"/>
          </c:marker>
          <c:xVal>
            <c:numRef>
              <c:f>'-'!$C$6:$R$6</c:f>
              <c:numCache>
                <c:formatCode>General</c:formatCode>
                <c:ptCount val="16"/>
                <c:pt idx="0">
                  <c:v>0</c:v>
                </c:pt>
                <c:pt idx="1">
                  <c:v>2</c:v>
                </c:pt>
                <c:pt idx="2">
                  <c:v>4</c:v>
                </c:pt>
                <c:pt idx="3">
                  <c:v>6</c:v>
                </c:pt>
                <c:pt idx="4">
                  <c:v>8</c:v>
                </c:pt>
                <c:pt idx="5">
                  <c:v>10</c:v>
                </c:pt>
                <c:pt idx="6">
                  <c:v>12</c:v>
                </c:pt>
                <c:pt idx="7">
                  <c:v>14</c:v>
                </c:pt>
                <c:pt idx="8">
                  <c:v>16</c:v>
                </c:pt>
                <c:pt idx="9">
                  <c:v>18</c:v>
                </c:pt>
                <c:pt idx="10">
                  <c:v>20</c:v>
                </c:pt>
                <c:pt idx="11">
                  <c:v>22</c:v>
                </c:pt>
                <c:pt idx="12">
                  <c:v>24</c:v>
                </c:pt>
                <c:pt idx="13">
                  <c:v>26</c:v>
                </c:pt>
                <c:pt idx="14">
                  <c:v>28</c:v>
                </c:pt>
                <c:pt idx="15">
                  <c:v>30</c:v>
                </c:pt>
              </c:numCache>
            </c:numRef>
          </c:xVal>
          <c:yVal>
            <c:numRef>
              <c:f>'-'!$C$9:$R$9</c:f>
              <c:numCache>
                <c:formatCode>General</c:formatCode>
                <c:ptCount val="16"/>
                <c:pt idx="0">
                  <c:v>45</c:v>
                </c:pt>
                <c:pt idx="1">
                  <c:v>45.165742574257429</c:v>
                </c:pt>
                <c:pt idx="2">
                  <c:v>45.331485148514858</c:v>
                </c:pt>
                <c:pt idx="3">
                  <c:v>45.49722772277228</c:v>
                </c:pt>
                <c:pt idx="4">
                  <c:v>45.662970297029709</c:v>
                </c:pt>
                <c:pt idx="5">
                  <c:v>45.828712871287138</c:v>
                </c:pt>
                <c:pt idx="6">
                  <c:v>45.994455445544553</c:v>
                </c:pt>
                <c:pt idx="7">
                  <c:v>46.160198019801982</c:v>
                </c:pt>
                <c:pt idx="8">
                  <c:v>46.325940594059404</c:v>
                </c:pt>
                <c:pt idx="9">
                  <c:v>46.491683168316833</c:v>
                </c:pt>
                <c:pt idx="10">
                  <c:v>46.657425742574262</c:v>
                </c:pt>
                <c:pt idx="11">
                  <c:v>46.823168316831683</c:v>
                </c:pt>
                <c:pt idx="12">
                  <c:v>46.988910891089112</c:v>
                </c:pt>
                <c:pt idx="13">
                  <c:v>47.154653465346541</c:v>
                </c:pt>
                <c:pt idx="14">
                  <c:v>47.320396039603963</c:v>
                </c:pt>
                <c:pt idx="15">
                  <c:v>47.486138613861392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D-CD49-4A0B-BD02-907C333A3FC1}"/>
            </c:ext>
          </c:extLst>
        </c:ser>
        <c:ser>
          <c:idx val="0"/>
          <c:order val="62"/>
          <c:spPr>
            <a:ln w="3175">
              <a:solidFill>
                <a:srgbClr val="000000"/>
              </a:solidFill>
              <a:prstDash val="solid"/>
            </a:ln>
          </c:spPr>
          <c:marker>
            <c:symbol val="none"/>
          </c:marker>
          <c:xVal>
            <c:numRef>
              <c:f>'-'!$C$6:$R$6</c:f>
              <c:numCache>
                <c:formatCode>General</c:formatCode>
                <c:ptCount val="16"/>
                <c:pt idx="0">
                  <c:v>0</c:v>
                </c:pt>
                <c:pt idx="1">
                  <c:v>2</c:v>
                </c:pt>
                <c:pt idx="2">
                  <c:v>4</c:v>
                </c:pt>
                <c:pt idx="3">
                  <c:v>6</c:v>
                </c:pt>
                <c:pt idx="4">
                  <c:v>8</c:v>
                </c:pt>
                <c:pt idx="5">
                  <c:v>10</c:v>
                </c:pt>
                <c:pt idx="6">
                  <c:v>12</c:v>
                </c:pt>
                <c:pt idx="7">
                  <c:v>14</c:v>
                </c:pt>
                <c:pt idx="8">
                  <c:v>16</c:v>
                </c:pt>
                <c:pt idx="9">
                  <c:v>18</c:v>
                </c:pt>
                <c:pt idx="10">
                  <c:v>20</c:v>
                </c:pt>
                <c:pt idx="11">
                  <c:v>22</c:v>
                </c:pt>
                <c:pt idx="12">
                  <c:v>24</c:v>
                </c:pt>
                <c:pt idx="13">
                  <c:v>26</c:v>
                </c:pt>
                <c:pt idx="14">
                  <c:v>28</c:v>
                </c:pt>
                <c:pt idx="15">
                  <c:v>30</c:v>
                </c:pt>
              </c:numCache>
            </c:numRef>
          </c:xVal>
          <c:yVal>
            <c:numRef>
              <c:f>'-'!$C$8:$R$8</c:f>
              <c:numCache>
                <c:formatCode>General</c:formatCode>
                <c:ptCount val="16"/>
                <c:pt idx="0">
                  <c:v>50</c:v>
                </c:pt>
                <c:pt idx="1">
                  <c:v>50.184158415841587</c:v>
                </c:pt>
                <c:pt idx="2">
                  <c:v>50.368316831683167</c:v>
                </c:pt>
                <c:pt idx="3">
                  <c:v>50.552475247524754</c:v>
                </c:pt>
                <c:pt idx="4">
                  <c:v>50.736633663366334</c:v>
                </c:pt>
                <c:pt idx="5">
                  <c:v>50.920792079207921</c:v>
                </c:pt>
                <c:pt idx="6">
                  <c:v>51.104950495049508</c:v>
                </c:pt>
                <c:pt idx="7">
                  <c:v>51.289108910891088</c:v>
                </c:pt>
                <c:pt idx="8">
                  <c:v>51.473267326732675</c:v>
                </c:pt>
                <c:pt idx="9">
                  <c:v>51.657425742574254</c:v>
                </c:pt>
                <c:pt idx="10">
                  <c:v>51.841584158415841</c:v>
                </c:pt>
                <c:pt idx="11">
                  <c:v>52.025742574257421</c:v>
                </c:pt>
                <c:pt idx="12">
                  <c:v>52.209900990099008</c:v>
                </c:pt>
                <c:pt idx="13">
                  <c:v>52.394059405940595</c:v>
                </c:pt>
                <c:pt idx="14">
                  <c:v>52.578217821782175</c:v>
                </c:pt>
                <c:pt idx="15">
                  <c:v>52.762376237623762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3E-CD49-4A0B-BD02-907C333A3FC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154574832"/>
        <c:axId val="1"/>
      </c:scatterChart>
      <c:valAx>
        <c:axId val="1154574832"/>
        <c:scaling>
          <c:orientation val="minMax"/>
          <c:max val="25"/>
          <c:min val="0"/>
        </c:scaling>
        <c:delete val="0"/>
        <c:axPos val="b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i [g/kg s.v.]</a:t>
                </a:r>
              </a:p>
            </c:rich>
          </c:tx>
          <c:layout>
            <c:manualLayout>
              <c:xMode val="edge"/>
              <c:yMode val="edge"/>
              <c:x val="0.43478326789532779"/>
              <c:y val="0.96437407456989044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out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/>
            </a:pPr>
            <a:endParaRPr lang="ru-RU"/>
          </a:p>
        </c:txPr>
        <c:crossAx val="1"/>
        <c:crossesAt val="-20"/>
        <c:crossBetween val="midCat"/>
        <c:majorUnit val="1"/>
        <c:minorUnit val="0.2"/>
      </c:valAx>
      <c:valAx>
        <c:axId val="1"/>
        <c:scaling>
          <c:orientation val="minMax"/>
          <c:max val="55"/>
          <c:min val="-20"/>
        </c:scaling>
        <c:delete val="0"/>
        <c:axPos val="l"/>
        <c:numFmt formatCode="General" sourceLinked="1"/>
        <c:majorTickMark val="out"/>
        <c:minorTickMark val="out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/>
            </a:pPr>
            <a:endParaRPr lang="ru-RU"/>
          </a:p>
        </c:txPr>
        <c:crossAx val="1154574832"/>
        <c:crossesAt val="0"/>
        <c:crossBetween val="midCat"/>
        <c:majorUnit val="5"/>
        <c:minorUnit val="1"/>
      </c:valAx>
      <c:spPr>
        <a:noFill/>
        <a:ln w="12700">
          <a:solidFill>
            <a:srgbClr val="000000"/>
          </a:solidFill>
          <a:prstDash val="solid"/>
        </a:ln>
      </c:spPr>
    </c:plotArea>
    <c:plotVisOnly val="1"/>
    <c:dispBlanksAs val="gap"/>
    <c:showDLblsOverMax val="0"/>
  </c:chart>
  <c:spPr>
    <a:solidFill>
      <a:schemeClr val="bg1"/>
    </a:solidFill>
    <a:ln w="6350">
      <a:noFill/>
    </a:ln>
  </c:spPr>
  <c:txPr>
    <a:bodyPr/>
    <a:lstStyle/>
    <a:p>
      <a:pPr>
        <a:defRPr sz="1000" b="1" i="0" u="none" strike="noStrike" baseline="0">
          <a:solidFill>
            <a:srgbClr val="000000"/>
          </a:solidFill>
          <a:latin typeface="Verdana" panose="020B0604030504040204" pitchFamily="34" charset="0"/>
          <a:ea typeface="Arial"/>
          <a:cs typeface="Arial"/>
        </a:defRPr>
      </a:pPr>
      <a:endParaRPr lang="ru-RU"/>
    </a:p>
  </c:txPr>
  <c:printSettings>
    <c:headerFooter alignWithMargins="0"/>
    <c:pageMargins b="0.39370078740157483" l="0.78740157480314965" r="0.39370078740157483" t="0.39370078740157483" header="0" footer="0"/>
    <c:pageSetup orientation="portrait" horizontalDpi="300" verticalDpi="300"/>
  </c:printSettings>
</c:chartSpac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.xml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.xml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.xml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chart" Target="../charts/chart5.xml"/></Relationships>
</file>

<file path=xl/drawings/_rels/drawing6.xml.rels><?xml version="1.0" encoding="UTF-8" standalone="yes"?>
<Relationships xmlns="http://schemas.openxmlformats.org/package/2006/relationships"><Relationship Id="rId1" Type="http://schemas.openxmlformats.org/officeDocument/2006/relationships/chart" Target="../charts/chart6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11</xdr:col>
      <xdr:colOff>476250</xdr:colOff>
      <xdr:row>1</xdr:row>
      <xdr:rowOff>85726</xdr:rowOff>
    </xdr:from>
    <xdr:to>
      <xdr:col>13</xdr:col>
      <xdr:colOff>314325</xdr:colOff>
      <xdr:row>2</xdr:row>
      <xdr:rowOff>152401</xdr:rowOff>
    </xdr:to>
    <xdr:sp macro="[0]!VymazZadani" textlink="">
      <xdr:nvSpPr>
        <xdr:cNvPr id="2" name="Rectangle 31"/>
        <xdr:cNvSpPr>
          <a:spLocks noChangeArrowheads="1"/>
        </xdr:cNvSpPr>
      </xdr:nvSpPr>
      <xdr:spPr bwMode="auto">
        <a:xfrm>
          <a:off x="6838950" y="342901"/>
          <a:ext cx="809625" cy="22860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57150" cmpd="thinThick">
          <a:solidFill>
            <a:srgbClr xmlns:mc="http://schemas.openxmlformats.org/markup-compatibility/2006" xmlns:a14="http://schemas.microsoft.com/office/drawing/2010/main" val="0000FF" mc:Ignorable="a14" a14:legacySpreadsheetColorIndex="39"/>
          </a:solidFill>
          <a:miter lim="800000"/>
          <a:headEnd/>
          <a:tailEnd/>
        </a:ln>
      </xdr:spPr>
      <xdr:txBody>
        <a:bodyPr vertOverflow="clip" wrap="square" lIns="27432" tIns="22860" rIns="27432" bIns="22860" anchor="ctr" upright="1"/>
        <a:lstStyle/>
        <a:p>
          <a:pPr algn="ctr" rtl="0">
            <a:defRPr sz="1000"/>
          </a:pPr>
          <a:r>
            <a:rPr lang="ru-RU" sz="1000" b="0" i="0" u="none" strike="noStrike" baseline="0">
              <a:solidFill>
                <a:srgbClr val="000080"/>
              </a:solidFill>
              <a:latin typeface="Arial"/>
              <a:cs typeface="Arial"/>
            </a:rPr>
            <a:t>Удалить</a:t>
          </a:r>
        </a:p>
      </xdr:txBody>
    </xdr:sp>
    <xdr:clientData/>
  </xdr:twoCellAnchor>
  <xdr:twoCellAnchor>
    <xdr:from>
      <xdr:col>3</xdr:col>
      <xdr:colOff>363073</xdr:colOff>
      <xdr:row>26</xdr:row>
      <xdr:rowOff>2720</xdr:rowOff>
    </xdr:from>
    <xdr:to>
      <xdr:col>15</xdr:col>
      <xdr:colOff>439831</xdr:colOff>
      <xdr:row>73</xdr:row>
      <xdr:rowOff>157443</xdr:rowOff>
    </xdr:to>
    <xdr:graphicFrame macro="">
      <xdr:nvGraphicFramePr>
        <xdr:cNvPr id="3" name="Диаграмма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447675</xdr:colOff>
          <xdr:row>0</xdr:row>
          <xdr:rowOff>38100</xdr:rowOff>
        </xdr:from>
        <xdr:to>
          <xdr:col>13</xdr:col>
          <xdr:colOff>323850</xdr:colOff>
          <xdr:row>1</xdr:row>
          <xdr:rowOff>57150</xdr:rowOff>
        </xdr:to>
        <xdr:sp macro="" textlink="">
          <xdr:nvSpPr>
            <xdr:cNvPr id="6145" name="Button 1" hidden="1">
              <a:extLst>
                <a:ext uri="{63B3BB69-23CF-44E3-9099-C40C66FF867C}">
                  <a14:compatExt spid="_x0000_s614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ru-RU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Шаблоны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11</xdr:col>
      <xdr:colOff>476250</xdr:colOff>
      <xdr:row>1</xdr:row>
      <xdr:rowOff>85726</xdr:rowOff>
    </xdr:from>
    <xdr:to>
      <xdr:col>13</xdr:col>
      <xdr:colOff>314325</xdr:colOff>
      <xdr:row>2</xdr:row>
      <xdr:rowOff>152401</xdr:rowOff>
    </xdr:to>
    <xdr:sp macro="[0]!VymazZadani" textlink="">
      <xdr:nvSpPr>
        <xdr:cNvPr id="2" name="Rectangle 31"/>
        <xdr:cNvSpPr>
          <a:spLocks noChangeArrowheads="1"/>
        </xdr:cNvSpPr>
      </xdr:nvSpPr>
      <xdr:spPr bwMode="auto">
        <a:xfrm>
          <a:off x="6838950" y="342901"/>
          <a:ext cx="809625" cy="22860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57150" cmpd="thinThick">
          <a:solidFill>
            <a:srgbClr xmlns:mc="http://schemas.openxmlformats.org/markup-compatibility/2006" xmlns:a14="http://schemas.microsoft.com/office/drawing/2010/main" val="0000FF" mc:Ignorable="a14" a14:legacySpreadsheetColorIndex="39"/>
          </a:solidFill>
          <a:miter lim="800000"/>
          <a:headEnd/>
          <a:tailEnd/>
        </a:ln>
      </xdr:spPr>
      <xdr:txBody>
        <a:bodyPr vertOverflow="clip" wrap="square" lIns="27432" tIns="22860" rIns="27432" bIns="22860" anchor="ctr" upright="1"/>
        <a:lstStyle/>
        <a:p>
          <a:pPr algn="ctr" rtl="0">
            <a:defRPr sz="1000"/>
          </a:pPr>
          <a:r>
            <a:rPr lang="ru-RU" sz="1000" b="0" i="0" u="none" strike="noStrike" baseline="0">
              <a:solidFill>
                <a:srgbClr val="000080"/>
              </a:solidFill>
              <a:latin typeface="Arial"/>
              <a:cs typeface="Arial"/>
            </a:rPr>
            <a:t>Удалить</a:t>
          </a:r>
        </a:p>
      </xdr:txBody>
    </xdr:sp>
    <xdr:clientData/>
  </xdr:twoCellAnchor>
  <xdr:twoCellAnchor>
    <xdr:from>
      <xdr:col>3</xdr:col>
      <xdr:colOff>363073</xdr:colOff>
      <xdr:row>26</xdr:row>
      <xdr:rowOff>2720</xdr:rowOff>
    </xdr:from>
    <xdr:to>
      <xdr:col>15</xdr:col>
      <xdr:colOff>439831</xdr:colOff>
      <xdr:row>73</xdr:row>
      <xdr:rowOff>157443</xdr:rowOff>
    </xdr:to>
    <xdr:graphicFrame macro="">
      <xdr:nvGraphicFramePr>
        <xdr:cNvPr id="3" name="Диаграмма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447675</xdr:colOff>
          <xdr:row>0</xdr:row>
          <xdr:rowOff>38100</xdr:rowOff>
        </xdr:from>
        <xdr:to>
          <xdr:col>13</xdr:col>
          <xdr:colOff>323850</xdr:colOff>
          <xdr:row>1</xdr:row>
          <xdr:rowOff>57150</xdr:rowOff>
        </xdr:to>
        <xdr:sp macro="" textlink="">
          <xdr:nvSpPr>
            <xdr:cNvPr id="11265" name="Button 1" hidden="1">
              <a:extLst>
                <a:ext uri="{63B3BB69-23CF-44E3-9099-C40C66FF867C}">
                  <a14:compatExt spid="_x0000_s1126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ru-RU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Шаблоны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11</xdr:col>
      <xdr:colOff>476250</xdr:colOff>
      <xdr:row>1</xdr:row>
      <xdr:rowOff>85726</xdr:rowOff>
    </xdr:from>
    <xdr:to>
      <xdr:col>13</xdr:col>
      <xdr:colOff>314325</xdr:colOff>
      <xdr:row>2</xdr:row>
      <xdr:rowOff>152401</xdr:rowOff>
    </xdr:to>
    <xdr:sp macro="[0]!VymazZadani" textlink="">
      <xdr:nvSpPr>
        <xdr:cNvPr id="2" name="Rectangle 31"/>
        <xdr:cNvSpPr>
          <a:spLocks noChangeArrowheads="1"/>
        </xdr:cNvSpPr>
      </xdr:nvSpPr>
      <xdr:spPr bwMode="auto">
        <a:xfrm>
          <a:off x="6838950" y="342901"/>
          <a:ext cx="809625" cy="22860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57150" cmpd="thinThick">
          <a:solidFill>
            <a:srgbClr xmlns:mc="http://schemas.openxmlformats.org/markup-compatibility/2006" xmlns:a14="http://schemas.microsoft.com/office/drawing/2010/main" val="0000FF" mc:Ignorable="a14" a14:legacySpreadsheetColorIndex="39"/>
          </a:solidFill>
          <a:miter lim="800000"/>
          <a:headEnd/>
          <a:tailEnd/>
        </a:ln>
      </xdr:spPr>
      <xdr:txBody>
        <a:bodyPr vertOverflow="clip" wrap="square" lIns="27432" tIns="22860" rIns="27432" bIns="22860" anchor="ctr" upright="1"/>
        <a:lstStyle/>
        <a:p>
          <a:pPr algn="ctr" rtl="0">
            <a:defRPr sz="1000"/>
          </a:pPr>
          <a:r>
            <a:rPr lang="ru-RU" sz="1000" b="0" i="0" u="none" strike="noStrike" baseline="0">
              <a:solidFill>
                <a:srgbClr val="000080"/>
              </a:solidFill>
              <a:latin typeface="Arial"/>
              <a:cs typeface="Arial"/>
            </a:rPr>
            <a:t>Удалить</a:t>
          </a:r>
        </a:p>
      </xdr:txBody>
    </xdr:sp>
    <xdr:clientData/>
  </xdr:twoCellAnchor>
  <xdr:twoCellAnchor>
    <xdr:from>
      <xdr:col>3</xdr:col>
      <xdr:colOff>363073</xdr:colOff>
      <xdr:row>26</xdr:row>
      <xdr:rowOff>2720</xdr:rowOff>
    </xdr:from>
    <xdr:to>
      <xdr:col>15</xdr:col>
      <xdr:colOff>439831</xdr:colOff>
      <xdr:row>73</xdr:row>
      <xdr:rowOff>157443</xdr:rowOff>
    </xdr:to>
    <xdr:graphicFrame macro="">
      <xdr:nvGraphicFramePr>
        <xdr:cNvPr id="3" name="Диаграмма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447675</xdr:colOff>
          <xdr:row>0</xdr:row>
          <xdr:rowOff>38100</xdr:rowOff>
        </xdr:from>
        <xdr:to>
          <xdr:col>13</xdr:col>
          <xdr:colOff>323850</xdr:colOff>
          <xdr:row>1</xdr:row>
          <xdr:rowOff>57150</xdr:rowOff>
        </xdr:to>
        <xdr:sp macro="" textlink="">
          <xdr:nvSpPr>
            <xdr:cNvPr id="8193" name="Button 1" hidden="1">
              <a:extLst>
                <a:ext uri="{63B3BB69-23CF-44E3-9099-C40C66FF867C}">
                  <a14:compatExt spid="_x0000_s819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ru-RU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Шаблоны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11</xdr:col>
      <xdr:colOff>476250</xdr:colOff>
      <xdr:row>1</xdr:row>
      <xdr:rowOff>85726</xdr:rowOff>
    </xdr:from>
    <xdr:to>
      <xdr:col>13</xdr:col>
      <xdr:colOff>314325</xdr:colOff>
      <xdr:row>2</xdr:row>
      <xdr:rowOff>152401</xdr:rowOff>
    </xdr:to>
    <xdr:sp macro="[0]!VymazZadani" textlink="">
      <xdr:nvSpPr>
        <xdr:cNvPr id="2" name="Rectangle 31"/>
        <xdr:cNvSpPr>
          <a:spLocks noChangeArrowheads="1"/>
        </xdr:cNvSpPr>
      </xdr:nvSpPr>
      <xdr:spPr bwMode="auto">
        <a:xfrm>
          <a:off x="6838950" y="342901"/>
          <a:ext cx="809625" cy="22860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57150" cmpd="thinThick">
          <a:solidFill>
            <a:srgbClr xmlns:mc="http://schemas.openxmlformats.org/markup-compatibility/2006" xmlns:a14="http://schemas.microsoft.com/office/drawing/2010/main" val="0000FF" mc:Ignorable="a14" a14:legacySpreadsheetColorIndex="39"/>
          </a:solidFill>
          <a:miter lim="800000"/>
          <a:headEnd/>
          <a:tailEnd/>
        </a:ln>
      </xdr:spPr>
      <xdr:txBody>
        <a:bodyPr vertOverflow="clip" wrap="square" lIns="27432" tIns="22860" rIns="27432" bIns="22860" anchor="ctr" upright="1"/>
        <a:lstStyle/>
        <a:p>
          <a:pPr algn="ctr" rtl="0">
            <a:defRPr sz="1000"/>
          </a:pPr>
          <a:r>
            <a:rPr lang="ru-RU" sz="1000" b="0" i="0" u="none" strike="noStrike" baseline="0">
              <a:solidFill>
                <a:srgbClr val="000080"/>
              </a:solidFill>
              <a:latin typeface="Arial"/>
              <a:cs typeface="Arial"/>
            </a:rPr>
            <a:t>Удалить</a:t>
          </a:r>
        </a:p>
      </xdr:txBody>
    </xdr:sp>
    <xdr:clientData/>
  </xdr:twoCellAnchor>
  <xdr:twoCellAnchor>
    <xdr:from>
      <xdr:col>3</xdr:col>
      <xdr:colOff>363073</xdr:colOff>
      <xdr:row>26</xdr:row>
      <xdr:rowOff>2720</xdr:rowOff>
    </xdr:from>
    <xdr:to>
      <xdr:col>15</xdr:col>
      <xdr:colOff>439831</xdr:colOff>
      <xdr:row>73</xdr:row>
      <xdr:rowOff>157443</xdr:rowOff>
    </xdr:to>
    <xdr:graphicFrame macro="">
      <xdr:nvGraphicFramePr>
        <xdr:cNvPr id="3" name="Диаграмма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447675</xdr:colOff>
          <xdr:row>0</xdr:row>
          <xdr:rowOff>38100</xdr:rowOff>
        </xdr:from>
        <xdr:to>
          <xdr:col>13</xdr:col>
          <xdr:colOff>323850</xdr:colOff>
          <xdr:row>1</xdr:row>
          <xdr:rowOff>57150</xdr:rowOff>
        </xdr:to>
        <xdr:sp macro="" textlink="">
          <xdr:nvSpPr>
            <xdr:cNvPr id="15361" name="Button 1" hidden="1">
              <a:extLst>
                <a:ext uri="{63B3BB69-23CF-44E3-9099-C40C66FF867C}">
                  <a14:compatExt spid="_x0000_s1536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ru-RU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Шаблоны</a:t>
              </a:r>
            </a:p>
          </xdr:txBody>
        </xdr:sp>
        <xdr:clientData fPrintsWithSheet="0"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11</xdr:col>
      <xdr:colOff>476250</xdr:colOff>
      <xdr:row>1</xdr:row>
      <xdr:rowOff>85726</xdr:rowOff>
    </xdr:from>
    <xdr:to>
      <xdr:col>13</xdr:col>
      <xdr:colOff>314325</xdr:colOff>
      <xdr:row>2</xdr:row>
      <xdr:rowOff>152401</xdr:rowOff>
    </xdr:to>
    <xdr:sp macro="[0]!VymazZadani" textlink="">
      <xdr:nvSpPr>
        <xdr:cNvPr id="2" name="Rectangle 31"/>
        <xdr:cNvSpPr>
          <a:spLocks noChangeArrowheads="1"/>
        </xdr:cNvSpPr>
      </xdr:nvSpPr>
      <xdr:spPr bwMode="auto">
        <a:xfrm>
          <a:off x="6838950" y="342901"/>
          <a:ext cx="809625" cy="22860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57150" cmpd="thinThick">
          <a:solidFill>
            <a:srgbClr xmlns:mc="http://schemas.openxmlformats.org/markup-compatibility/2006" xmlns:a14="http://schemas.microsoft.com/office/drawing/2010/main" val="0000FF" mc:Ignorable="a14" a14:legacySpreadsheetColorIndex="39"/>
          </a:solidFill>
          <a:miter lim="800000"/>
          <a:headEnd/>
          <a:tailEnd/>
        </a:ln>
      </xdr:spPr>
      <xdr:txBody>
        <a:bodyPr vertOverflow="clip" wrap="square" lIns="27432" tIns="22860" rIns="27432" bIns="22860" anchor="ctr" upright="1"/>
        <a:lstStyle/>
        <a:p>
          <a:pPr algn="ctr" rtl="0">
            <a:defRPr sz="1000"/>
          </a:pPr>
          <a:r>
            <a:rPr lang="ru-RU" sz="1000" b="0" i="0" u="none" strike="noStrike" baseline="0">
              <a:solidFill>
                <a:srgbClr val="000080"/>
              </a:solidFill>
              <a:latin typeface="Arial"/>
              <a:cs typeface="Arial"/>
            </a:rPr>
            <a:t>Удалить</a:t>
          </a:r>
        </a:p>
      </xdr:txBody>
    </xdr:sp>
    <xdr:clientData/>
  </xdr:twoCellAnchor>
  <xdr:twoCellAnchor>
    <xdr:from>
      <xdr:col>3</xdr:col>
      <xdr:colOff>363073</xdr:colOff>
      <xdr:row>26</xdr:row>
      <xdr:rowOff>2720</xdr:rowOff>
    </xdr:from>
    <xdr:to>
      <xdr:col>15</xdr:col>
      <xdr:colOff>439831</xdr:colOff>
      <xdr:row>73</xdr:row>
      <xdr:rowOff>157443</xdr:rowOff>
    </xdr:to>
    <xdr:graphicFrame macro="">
      <xdr:nvGraphicFramePr>
        <xdr:cNvPr id="3" name="Диаграмма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447675</xdr:colOff>
          <xdr:row>0</xdr:row>
          <xdr:rowOff>38100</xdr:rowOff>
        </xdr:from>
        <xdr:to>
          <xdr:col>13</xdr:col>
          <xdr:colOff>323850</xdr:colOff>
          <xdr:row>1</xdr:row>
          <xdr:rowOff>57150</xdr:rowOff>
        </xdr:to>
        <xdr:sp macro="" textlink="">
          <xdr:nvSpPr>
            <xdr:cNvPr id="9217" name="Button 1" hidden="1">
              <a:extLst>
                <a:ext uri="{63B3BB69-23CF-44E3-9099-C40C66FF867C}">
                  <a14:compatExt spid="_x0000_s921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ru-RU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Шаблоны</a:t>
              </a:r>
            </a:p>
          </xdr:txBody>
        </xdr:sp>
        <xdr:clientData fPrintsWithSheet="0"/>
      </xdr:twoCellAnchor>
    </mc:Choice>
    <mc:Fallback/>
  </mc:AlternateContent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11</xdr:col>
      <xdr:colOff>476250</xdr:colOff>
      <xdr:row>1</xdr:row>
      <xdr:rowOff>85726</xdr:rowOff>
    </xdr:from>
    <xdr:to>
      <xdr:col>13</xdr:col>
      <xdr:colOff>314325</xdr:colOff>
      <xdr:row>2</xdr:row>
      <xdr:rowOff>152401</xdr:rowOff>
    </xdr:to>
    <xdr:sp macro="[0]!VymazZadani" textlink="">
      <xdr:nvSpPr>
        <xdr:cNvPr id="2079" name="Rectangle 31"/>
        <xdr:cNvSpPr>
          <a:spLocks noChangeArrowheads="1"/>
        </xdr:cNvSpPr>
      </xdr:nvSpPr>
      <xdr:spPr bwMode="auto">
        <a:xfrm>
          <a:off x="6610350" y="342901"/>
          <a:ext cx="809625" cy="22860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57150" cmpd="thinThick">
          <a:solidFill>
            <a:srgbClr xmlns:mc="http://schemas.openxmlformats.org/markup-compatibility/2006" xmlns:a14="http://schemas.microsoft.com/office/drawing/2010/main" val="0000FF" mc:Ignorable="a14" a14:legacySpreadsheetColorIndex="39"/>
          </a:solidFill>
          <a:miter lim="800000"/>
          <a:headEnd/>
          <a:tailEnd/>
        </a:ln>
      </xdr:spPr>
      <xdr:txBody>
        <a:bodyPr vertOverflow="clip" wrap="square" lIns="27432" tIns="22860" rIns="27432" bIns="22860" anchor="ctr" upright="1"/>
        <a:lstStyle/>
        <a:p>
          <a:pPr algn="ctr" rtl="0">
            <a:defRPr sz="1000"/>
          </a:pPr>
          <a:r>
            <a:rPr lang="ru-RU" sz="1000" b="0" i="0" u="none" strike="noStrike" baseline="0">
              <a:solidFill>
                <a:srgbClr val="000080"/>
              </a:solidFill>
              <a:latin typeface="Arial"/>
              <a:cs typeface="Arial"/>
            </a:rPr>
            <a:t>Удалить</a:t>
          </a:r>
        </a:p>
      </xdr:txBody>
    </xdr:sp>
    <xdr:clientData/>
  </xdr:twoCellAnchor>
  <xdr:twoCellAnchor>
    <xdr:from>
      <xdr:col>3</xdr:col>
      <xdr:colOff>363073</xdr:colOff>
      <xdr:row>26</xdr:row>
      <xdr:rowOff>2720</xdr:rowOff>
    </xdr:from>
    <xdr:to>
      <xdr:col>15</xdr:col>
      <xdr:colOff>439831</xdr:colOff>
      <xdr:row>73</xdr:row>
      <xdr:rowOff>157443</xdr:rowOff>
    </xdr:to>
    <xdr:graphicFrame macro="">
      <xdr:nvGraphicFramePr>
        <xdr:cNvPr id="2101" name="Диаграмма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447675</xdr:colOff>
          <xdr:row>0</xdr:row>
          <xdr:rowOff>38100</xdr:rowOff>
        </xdr:from>
        <xdr:to>
          <xdr:col>13</xdr:col>
          <xdr:colOff>323850</xdr:colOff>
          <xdr:row>1</xdr:row>
          <xdr:rowOff>57150</xdr:rowOff>
        </xdr:to>
        <xdr:sp macro="" textlink="">
          <xdr:nvSpPr>
            <xdr:cNvPr id="5121" name="Button 1" hidden="1">
              <a:extLst>
                <a:ext uri="{63B3BB69-23CF-44E3-9099-C40C66FF867C}">
                  <a14:compatExt spid="_x0000_s512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ru-RU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Шаблоны</a:t>
              </a:r>
            </a:p>
          </xdr:txBody>
        </xdr:sp>
        <xdr:clientData fPrintsWithSheet="0"/>
      </xdr:twoCellAnchor>
    </mc:Choice>
    <mc:Fallback/>
  </mc:AlternateContent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Strakhov/YandexDisk/&#1055;&#1088;&#1086;&#1077;&#1082;&#1090;&#1099;%202018/CIMRUS/&#1042;&#1085;&#1091;&#1090;&#1088;&#1077;&#1085;&#1085;&#1080;&#1077;/&#1056;&#1072;&#1079;&#1074;&#1080;&#1090;&#1080;&#1077;/&#1054;&#1042;&#1048;&#1050;_&#1090;&#1088;&#1077;&#1085;&#1080;&#1088;&#1086;&#1074;&#1082;&#1080;/&#1077;&#1082;&#1089;&#1077;&#1083;&#1100;_&#1054;&#1042;&#1048;&#1050;/&#1044;&#1080;&#1072;&#1075;&#1088;&#1072;&#1084;&#1099;/Processes_in_HVAC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Данные"/>
      <sheetName val="Диаграмма"/>
      <sheetName val="Данные и установки"/>
      <sheetName val="Шаблоны"/>
      <sheetName val="Параметры_нар_воздуха"/>
    </sheetNames>
    <sheetDataSet>
      <sheetData sheetId="0"/>
      <sheetData sheetId="1" refreshError="1"/>
      <sheetData sheetId="2" refreshError="1"/>
      <sheetData sheetId="3" refreshError="1"/>
      <sheetData sheetId="4" refreshError="1"/>
    </sheetDataSet>
  </externalBook>
</externalLink>
</file>

<file path=xl/tables/table1.xml><?xml version="1.0" encoding="utf-8"?>
<table xmlns="http://schemas.openxmlformats.org/spreadsheetml/2006/main" id="1" name="Таблица1" displayName="Таблица1" ref="A1:G6" totalsRowShown="0">
  <autoFilter ref="A1:G6"/>
  <tableColumns count="7">
    <tableColumn id="1" name="S_sup_name"/>
    <tableColumn id="2" name="S_EA_max"/>
    <tableColumn id="3" name="S_SA_fresh"/>
    <tableColumn id="4" name="S_SA_max"/>
    <tableColumn id="5" name="S_SA_recirc"/>
    <tableColumn id="6" name="max_temp"/>
    <tableColumn id="7" name="min_temp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id="2" name="ahu_index" displayName="ahu_index" ref="A1:A21" totalsRowShown="0" headerRowDxfId="3" dataDxfId="2" tableBorderDxfId="1">
  <autoFilter ref="A1:A21"/>
  <tableColumns count="1">
    <tableColumn id="1" name="index" dataDxfId="0"/>
  </tableColumns>
  <tableStyleInfo name="TableStyleLight8" showFirstColumn="0" showLastColumn="0" showRowStripes="1" showColumnStripes="0"/>
</table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Стандартная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090000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4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090000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4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a:spPr>
      <a:bodyPr vertOverflow="clip" wrap="square" lIns="18288" tIns="0" rIns="0" bIns="0" upright="1"/>
      <a:lstStyle/>
    </a:lnDef>
  </a:objectDefaults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2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4" Type="http://schemas.openxmlformats.org/officeDocument/2006/relationships/ctrlProp" Target="../ctrlProps/ctrlProp3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4" Type="http://schemas.openxmlformats.org/officeDocument/2006/relationships/ctrlProp" Target="../ctrlProps/ctrlProp4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5.v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Relationship Id="rId4" Type="http://schemas.openxmlformats.org/officeDocument/2006/relationships/ctrlProp" Target="../ctrlProps/ctrlProp5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6.vml"/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6.bin"/><Relationship Id="rId4" Type="http://schemas.openxmlformats.org/officeDocument/2006/relationships/ctrlProp" Target="../ctrlProps/ctrlProp6.xml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.xml"/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.bin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2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List6"/>
  <dimension ref="A1:AI356"/>
  <sheetViews>
    <sheetView tabSelected="1" topLeftCell="F1" zoomScaleNormal="100" workbookViewId="0">
      <selection activeCell="T11" sqref="T11"/>
    </sheetView>
  </sheetViews>
  <sheetFormatPr defaultRowHeight="12.75" x14ac:dyDescent="0.2"/>
  <cols>
    <col min="1" max="1" width="2.42578125" style="12" customWidth="1"/>
    <col min="2" max="2" width="16.7109375" style="12" customWidth="1"/>
    <col min="3" max="3" width="3.7109375" style="12" customWidth="1"/>
    <col min="4" max="4" width="9.140625" style="12"/>
    <col min="5" max="5" width="10.140625" style="12" customWidth="1"/>
    <col min="6" max="6" width="9.42578125" style="12" customWidth="1"/>
    <col min="7" max="7" width="9" style="12" customWidth="1"/>
    <col min="8" max="8" width="7.28515625" style="12" customWidth="1"/>
    <col min="9" max="9" width="7.42578125" style="12" customWidth="1"/>
    <col min="10" max="10" width="10.7109375" style="12" customWidth="1"/>
    <col min="11" max="11" width="9.42578125" style="12" customWidth="1"/>
    <col min="12" max="12" width="7.28515625" style="12" customWidth="1"/>
    <col min="13" max="13" width="7.28515625" style="110" customWidth="1"/>
    <col min="14" max="23" width="9.85546875" style="110" customWidth="1"/>
    <col min="24" max="24" width="9.140625" style="12"/>
    <col min="25" max="25" width="20.7109375" style="61" customWidth="1"/>
    <col min="26" max="26" width="12" style="61" customWidth="1"/>
    <col min="27" max="33" width="9.140625" style="56"/>
    <col min="34" max="16384" width="9.140625" style="12"/>
  </cols>
  <sheetData>
    <row r="1" spans="1:35" ht="20.25" x14ac:dyDescent="0.3">
      <c r="A1" s="7"/>
      <c r="B1" s="8"/>
      <c r="C1" s="9" t="s">
        <v>78</v>
      </c>
      <c r="D1" s="7"/>
      <c r="E1" s="7"/>
      <c r="F1" s="7"/>
      <c r="G1" s="7"/>
      <c r="H1" s="7"/>
      <c r="I1" s="7"/>
      <c r="J1" s="10" t="s">
        <v>75</v>
      </c>
      <c r="K1" s="11">
        <v>94.5</v>
      </c>
      <c r="L1" s="7" t="s">
        <v>11</v>
      </c>
      <c r="M1" s="93"/>
      <c r="N1" s="93"/>
      <c r="O1" s="93"/>
      <c r="P1" s="93"/>
      <c r="Q1" s="93"/>
      <c r="R1" s="93"/>
      <c r="S1" s="93"/>
      <c r="T1" s="93"/>
      <c r="U1" s="93"/>
      <c r="V1" s="93"/>
      <c r="W1" s="93"/>
      <c r="X1" s="7"/>
      <c r="Y1" s="90"/>
      <c r="Z1" s="90"/>
      <c r="AA1" s="90"/>
      <c r="AB1" s="90"/>
      <c r="AC1" s="90"/>
      <c r="AD1" s="58"/>
    </row>
    <row r="2" spans="1:35" ht="12.75" customHeight="1" x14ac:dyDescent="0.2">
      <c r="A2" s="7"/>
      <c r="B2" s="13"/>
      <c r="C2" s="52" t="s">
        <v>154</v>
      </c>
      <c r="D2" s="53"/>
      <c r="E2" s="53"/>
      <c r="F2" s="54"/>
      <c r="G2" s="7"/>
      <c r="H2" s="7"/>
      <c r="I2" s="7"/>
      <c r="J2" s="14" t="s">
        <v>76</v>
      </c>
      <c r="K2" s="11">
        <v>100</v>
      </c>
      <c r="L2" s="7" t="s">
        <v>5</v>
      </c>
      <c r="M2" s="94">
        <f>K2/100</f>
        <v>1</v>
      </c>
      <c r="N2" s="93"/>
      <c r="O2" s="93"/>
      <c r="P2" s="93"/>
      <c r="Q2" s="93"/>
      <c r="R2" s="93"/>
      <c r="S2" s="93"/>
      <c r="T2" s="93"/>
      <c r="U2" s="93"/>
      <c r="V2" s="93"/>
      <c r="W2" s="93"/>
      <c r="X2" s="7"/>
      <c r="Y2" s="90"/>
      <c r="Z2" s="90"/>
      <c r="AA2" s="90"/>
      <c r="AB2" s="90"/>
      <c r="AC2" s="90"/>
      <c r="AD2" s="58"/>
    </row>
    <row r="3" spans="1:35" ht="12.75" customHeight="1" x14ac:dyDescent="0.2">
      <c r="A3" s="7"/>
      <c r="B3" s="7"/>
      <c r="C3" s="7"/>
      <c r="D3" s="7"/>
      <c r="E3" s="7"/>
      <c r="F3" s="7"/>
      <c r="G3" s="7"/>
      <c r="H3" s="7"/>
      <c r="I3" s="7"/>
      <c r="J3" s="14" t="s">
        <v>77</v>
      </c>
      <c r="K3" s="11">
        <v>3</v>
      </c>
      <c r="L3" s="15" t="s">
        <v>4</v>
      </c>
      <c r="M3" s="93"/>
      <c r="N3" s="93"/>
      <c r="O3" s="93"/>
      <c r="P3" s="93"/>
      <c r="Q3" s="93"/>
      <c r="R3" s="93"/>
      <c r="S3" s="93"/>
      <c r="T3" s="93"/>
      <c r="U3" s="93"/>
      <c r="V3" s="93"/>
      <c r="W3" s="93"/>
      <c r="X3" s="7"/>
      <c r="Y3" s="90" t="s">
        <v>118</v>
      </c>
      <c r="Z3" s="90">
        <f>IF(Tchladice&lt;-50,#N/A,IF(Tchladice&lt;0,EXP((1738.4+28.74*Tchladice)/(271+Tchladice)),IF(Tchladice&lt;=100,EXP((1500.3+23.5*Tchladice)/(234+Tchladice)),#N/A)))</f>
        <v>755.8538982845879</v>
      </c>
      <c r="AA3" s="90"/>
      <c r="AB3" s="90"/>
      <c r="AC3" s="90"/>
      <c r="AD3" s="58"/>
    </row>
    <row r="4" spans="1:35" ht="12.75" customHeight="1" x14ac:dyDescent="0.2">
      <c r="A4" s="7"/>
      <c r="B4" s="16" t="s">
        <v>69</v>
      </c>
      <c r="C4" s="7"/>
      <c r="D4" s="7"/>
      <c r="E4" s="17">
        <v>1</v>
      </c>
      <c r="F4" s="17">
        <v>2</v>
      </c>
      <c r="G4" s="17">
        <v>3</v>
      </c>
      <c r="H4" s="17">
        <v>4</v>
      </c>
      <c r="I4" s="17">
        <v>5</v>
      </c>
      <c r="J4" s="17">
        <v>6</v>
      </c>
      <c r="K4" s="17">
        <v>7</v>
      </c>
      <c r="L4" s="17">
        <v>8</v>
      </c>
      <c r="M4" s="17">
        <v>9</v>
      </c>
      <c r="N4" s="17">
        <v>10</v>
      </c>
      <c r="O4" s="17">
        <v>11</v>
      </c>
      <c r="P4" s="17">
        <v>12</v>
      </c>
      <c r="Q4" s="17">
        <v>13</v>
      </c>
      <c r="R4" s="17">
        <v>14</v>
      </c>
      <c r="S4" s="17">
        <v>15</v>
      </c>
      <c r="T4" s="17">
        <v>17</v>
      </c>
      <c r="U4" s="17">
        <v>18</v>
      </c>
      <c r="V4" s="17">
        <v>19</v>
      </c>
      <c r="W4" s="17">
        <v>20</v>
      </c>
      <c r="X4" s="7"/>
      <c r="Y4" s="90" t="s">
        <v>119</v>
      </c>
      <c r="Z4" s="90">
        <f>0.6222*Z3/(Tlak_vzduchu-Z3/1000)</f>
        <v>5.0167644068397435</v>
      </c>
      <c r="AA4" s="90"/>
      <c r="AB4" s="91"/>
      <c r="AC4" s="91"/>
      <c r="AD4"/>
      <c r="AE4"/>
      <c r="AF4"/>
      <c r="AG4"/>
      <c r="AH4"/>
      <c r="AI4"/>
    </row>
    <row r="5" spans="1:35" ht="12.75" customHeight="1" x14ac:dyDescent="0.2">
      <c r="A5" s="7"/>
      <c r="B5" s="15" t="s">
        <v>61</v>
      </c>
      <c r="C5" s="7" t="s">
        <v>149</v>
      </c>
      <c r="D5" s="7" t="s">
        <v>150</v>
      </c>
      <c r="E5" s="92" t="s">
        <v>167</v>
      </c>
      <c r="F5" s="92" t="s">
        <v>160</v>
      </c>
      <c r="G5" s="92" t="s">
        <v>161</v>
      </c>
      <c r="H5" s="92" t="s">
        <v>164</v>
      </c>
      <c r="I5" s="92" t="s">
        <v>165</v>
      </c>
      <c r="J5" s="92" t="s">
        <v>166</v>
      </c>
      <c r="K5" s="92" t="s">
        <v>152</v>
      </c>
      <c r="L5" s="92" t="s">
        <v>153</v>
      </c>
      <c r="M5" s="92" t="s">
        <v>143</v>
      </c>
      <c r="N5" s="92" t="s">
        <v>144</v>
      </c>
      <c r="O5" s="92" t="s">
        <v>145</v>
      </c>
      <c r="P5" s="92" t="s">
        <v>146</v>
      </c>
      <c r="Q5" s="92" t="s">
        <v>147</v>
      </c>
      <c r="R5" s="92" t="s">
        <v>148</v>
      </c>
      <c r="S5" s="92" t="s">
        <v>195</v>
      </c>
      <c r="T5" s="92" t="s">
        <v>172</v>
      </c>
      <c r="U5" s="92" t="s">
        <v>170</v>
      </c>
      <c r="V5" s="92"/>
      <c r="W5" s="92"/>
      <c r="X5" s="7"/>
      <c r="Y5" s="90"/>
      <c r="Z5" s="90"/>
      <c r="AA5" s="90"/>
      <c r="AB5" s="91"/>
      <c r="AC5" s="91"/>
      <c r="AD5"/>
      <c r="AE5"/>
      <c r="AF5"/>
      <c r="AG5"/>
      <c r="AH5"/>
      <c r="AI5"/>
    </row>
    <row r="6" spans="1:35" x14ac:dyDescent="0.2">
      <c r="A6" s="7"/>
      <c r="B6" s="7" t="s">
        <v>62</v>
      </c>
      <c r="C6" s="18" t="s">
        <v>0</v>
      </c>
      <c r="D6" s="19" t="s">
        <v>4</v>
      </c>
      <c r="E6" s="2"/>
      <c r="F6" s="2">
        <v>-27</v>
      </c>
      <c r="G6" s="2">
        <v>-27</v>
      </c>
      <c r="H6" s="2">
        <v>-27</v>
      </c>
      <c r="I6" s="2">
        <v>20</v>
      </c>
      <c r="J6" s="2"/>
      <c r="K6" s="122">
        <f>J16</f>
        <v>12.276969485124184</v>
      </c>
      <c r="L6" s="122">
        <v>8</v>
      </c>
      <c r="M6" s="123">
        <f>L6</f>
        <v>8</v>
      </c>
      <c r="N6" s="96">
        <v>20</v>
      </c>
      <c r="O6" s="96">
        <v>35</v>
      </c>
      <c r="P6" s="96">
        <v>16</v>
      </c>
      <c r="Q6" s="123">
        <f>P16</f>
        <v>16</v>
      </c>
      <c r="R6" s="2">
        <v>20</v>
      </c>
      <c r="S6" s="122">
        <f>R16</f>
        <v>20</v>
      </c>
      <c r="T6" s="122">
        <f t="shared" ref="T6:U6" si="0">S16</f>
        <v>20</v>
      </c>
      <c r="U6" s="122">
        <f t="shared" si="0"/>
        <v>20</v>
      </c>
      <c r="V6" s="96"/>
      <c r="W6" s="96"/>
      <c r="X6" s="7"/>
      <c r="Y6" s="90"/>
      <c r="Z6" s="90">
        <f>1.01*Tchladice+(2501+1.86*Tchladice)*Z4/1000</f>
        <v>15.604921326896363</v>
      </c>
      <c r="AA6" s="90"/>
      <c r="AB6" s="90"/>
      <c r="AC6" s="90"/>
      <c r="AD6" s="58"/>
    </row>
    <row r="7" spans="1:35" x14ac:dyDescent="0.2">
      <c r="A7" s="7"/>
      <c r="B7" s="7" t="s">
        <v>63</v>
      </c>
      <c r="C7" s="20" t="s">
        <v>1</v>
      </c>
      <c r="D7" s="19" t="s">
        <v>5</v>
      </c>
      <c r="E7" s="2"/>
      <c r="F7" s="2">
        <v>20</v>
      </c>
      <c r="G7" s="2">
        <v>20</v>
      </c>
      <c r="H7" s="2">
        <v>20</v>
      </c>
      <c r="I7" s="2">
        <v>60</v>
      </c>
      <c r="J7" s="2"/>
      <c r="K7" s="55">
        <f>J17</f>
        <v>0.82237877683581573</v>
      </c>
      <c r="L7" s="55"/>
      <c r="M7" s="97">
        <f>L17</f>
        <v>1.0957095429561066E-2</v>
      </c>
      <c r="N7" s="96"/>
      <c r="O7" s="96">
        <v>40</v>
      </c>
      <c r="P7" s="96"/>
      <c r="Q7" s="97">
        <f>P17</f>
        <v>0.75771330367416145</v>
      </c>
      <c r="R7" s="2"/>
      <c r="S7" s="55">
        <f>R17</f>
        <v>5.8899545819655012E-3</v>
      </c>
      <c r="T7" s="55">
        <f t="shared" ref="T7:U7" si="1">S17</f>
        <v>5.889954581965501E-5</v>
      </c>
      <c r="U7" s="55">
        <f t="shared" si="1"/>
        <v>5.8899545819655022E-7</v>
      </c>
      <c r="V7" s="96"/>
      <c r="W7" s="96"/>
      <c r="X7" s="7"/>
      <c r="Y7" s="90"/>
      <c r="Z7" s="90"/>
      <c r="AA7" s="90"/>
      <c r="AB7" s="90"/>
      <c r="AC7" s="90"/>
      <c r="AD7" s="58"/>
    </row>
    <row r="8" spans="1:35" x14ac:dyDescent="0.2">
      <c r="A8" s="7"/>
      <c r="B8" s="7" t="s">
        <v>67</v>
      </c>
      <c r="C8" s="18" t="s">
        <v>2</v>
      </c>
      <c r="D8" s="19" t="s">
        <v>6</v>
      </c>
      <c r="E8" s="2"/>
      <c r="F8" s="2"/>
      <c r="G8" s="2"/>
      <c r="H8" s="2"/>
      <c r="I8" s="2"/>
      <c r="J8" s="2"/>
      <c r="K8" s="2"/>
      <c r="L8" s="2"/>
      <c r="M8" s="96"/>
      <c r="N8" s="96"/>
      <c r="O8" s="96"/>
      <c r="P8" s="96"/>
      <c r="Q8" s="96"/>
      <c r="R8" s="2"/>
      <c r="S8" s="2"/>
      <c r="T8" s="2"/>
      <c r="U8" s="2"/>
      <c r="V8" s="96"/>
      <c r="W8" s="96"/>
      <c r="X8" s="7"/>
      <c r="Y8" s="90"/>
      <c r="Z8" s="90"/>
      <c r="AA8" s="90"/>
      <c r="AB8" s="90"/>
      <c r="AC8" s="90"/>
      <c r="AD8" s="58"/>
    </row>
    <row r="9" spans="1:35" ht="13.5" thickBot="1" x14ac:dyDescent="0.25">
      <c r="A9" s="7"/>
      <c r="B9" s="7" t="s">
        <v>65</v>
      </c>
      <c r="C9" s="18" t="s">
        <v>3</v>
      </c>
      <c r="D9" s="19" t="s">
        <v>7</v>
      </c>
      <c r="E9" s="49"/>
      <c r="F9" s="3"/>
      <c r="G9" s="3"/>
      <c r="H9" s="3"/>
      <c r="I9" s="3"/>
      <c r="J9" s="3"/>
      <c r="K9" s="3"/>
      <c r="L9" s="49"/>
      <c r="M9" s="98"/>
      <c r="N9" s="98"/>
      <c r="O9" s="98"/>
      <c r="P9" s="98"/>
      <c r="Q9" s="98"/>
      <c r="R9" s="49"/>
      <c r="S9" s="49"/>
      <c r="T9" s="49"/>
      <c r="U9" s="49"/>
      <c r="V9" s="98"/>
      <c r="W9" s="98"/>
      <c r="X9" s="7"/>
      <c r="Y9" s="90"/>
      <c r="Z9" s="90"/>
      <c r="AA9" s="90"/>
      <c r="AB9" s="90"/>
      <c r="AC9" s="90"/>
      <c r="AD9" s="58"/>
    </row>
    <row r="10" spans="1:35" ht="13.5" thickTop="1" x14ac:dyDescent="0.2">
      <c r="A10" s="7"/>
      <c r="B10" s="7" t="s">
        <v>68</v>
      </c>
      <c r="C10" s="22" t="s">
        <v>60</v>
      </c>
      <c r="D10" s="19"/>
      <c r="E10" s="4"/>
      <c r="F10" s="4"/>
      <c r="G10" s="4"/>
      <c r="H10" s="4"/>
      <c r="I10" s="4"/>
      <c r="J10" s="4" t="s">
        <v>142</v>
      </c>
      <c r="K10" s="4"/>
      <c r="L10" s="4" t="s">
        <v>53</v>
      </c>
      <c r="M10" s="99"/>
      <c r="N10" s="99" t="s">
        <v>53</v>
      </c>
      <c r="O10" s="99"/>
      <c r="P10" s="99" t="s">
        <v>58</v>
      </c>
      <c r="Q10" s="99"/>
      <c r="R10" s="4" t="s">
        <v>53</v>
      </c>
      <c r="S10" s="4"/>
      <c r="T10" s="4"/>
      <c r="U10" s="4"/>
      <c r="V10" s="99"/>
      <c r="W10" s="99"/>
      <c r="X10" s="7"/>
      <c r="Y10" s="90"/>
      <c r="Z10" s="90"/>
      <c r="AA10" s="90"/>
      <c r="AB10" s="90"/>
      <c r="AC10" s="90"/>
      <c r="AD10" s="58"/>
    </row>
    <row r="11" spans="1:35" x14ac:dyDescent="0.2">
      <c r="A11" s="7"/>
      <c r="B11" s="7" t="s">
        <v>64</v>
      </c>
      <c r="C11" s="16" t="s">
        <v>21</v>
      </c>
      <c r="D11" s="19" t="s">
        <v>22</v>
      </c>
      <c r="E11" s="6"/>
      <c r="F11" s="6">
        <v>2000</v>
      </c>
      <c r="G11" s="6">
        <v>2000</v>
      </c>
      <c r="H11" s="6">
        <v>2000</v>
      </c>
      <c r="I11" s="6">
        <v>10000</v>
      </c>
      <c r="J11" s="6"/>
      <c r="K11" s="6">
        <f>H11+I11</f>
        <v>12000</v>
      </c>
      <c r="L11" s="6"/>
      <c r="M11" s="6">
        <f>J11+K11</f>
        <v>12000</v>
      </c>
      <c r="N11" s="100"/>
      <c r="O11" s="100">
        <v>5000</v>
      </c>
      <c r="P11" s="100"/>
      <c r="Q11" s="100">
        <f>O11</f>
        <v>5000</v>
      </c>
      <c r="R11" s="100"/>
      <c r="S11" s="6">
        <f>Q11</f>
        <v>5000</v>
      </c>
      <c r="T11" s="6">
        <f>S11</f>
        <v>5000</v>
      </c>
      <c r="U11" s="6">
        <f t="shared" ref="T11:U11" si="2">S11</f>
        <v>5000</v>
      </c>
      <c r="V11" s="100"/>
      <c r="W11" s="100"/>
      <c r="X11" s="7"/>
      <c r="Y11" s="90"/>
      <c r="Z11" s="90"/>
      <c r="AA11" s="90"/>
      <c r="AB11" s="90"/>
      <c r="AC11" s="90"/>
      <c r="AD11" s="58"/>
    </row>
    <row r="12" spans="1:35" x14ac:dyDescent="0.2">
      <c r="A12" s="7"/>
      <c r="B12" s="7"/>
      <c r="C12" s="7"/>
      <c r="D12" s="19" t="s">
        <v>23</v>
      </c>
      <c r="E12" s="2"/>
      <c r="F12" s="2"/>
      <c r="G12" s="2"/>
      <c r="H12" s="2"/>
      <c r="I12" s="2"/>
      <c r="J12" s="2"/>
      <c r="K12" s="2"/>
      <c r="L12" s="2"/>
      <c r="M12" s="96"/>
      <c r="N12" s="96"/>
      <c r="O12" s="96"/>
      <c r="P12" s="96"/>
      <c r="Q12" s="96"/>
      <c r="R12" s="2"/>
      <c r="S12" s="2"/>
      <c r="T12" s="2"/>
      <c r="U12" s="96"/>
      <c r="V12" s="96"/>
      <c r="W12" s="96"/>
      <c r="X12" s="7"/>
      <c r="Y12" s="90"/>
      <c r="Z12" s="90"/>
      <c r="AA12" s="90"/>
      <c r="AB12" s="90"/>
      <c r="AC12" s="90"/>
      <c r="AD12" s="58"/>
    </row>
    <row r="13" spans="1:35" x14ac:dyDescent="0.2">
      <c r="A13" s="7"/>
      <c r="B13" s="7" t="s">
        <v>66</v>
      </c>
      <c r="C13" s="16" t="s">
        <v>27</v>
      </c>
      <c r="D13" s="19" t="s">
        <v>28</v>
      </c>
      <c r="E13" s="2"/>
      <c r="F13" s="2"/>
      <c r="G13" s="2"/>
      <c r="H13" s="2"/>
      <c r="I13" s="2"/>
      <c r="J13" s="2"/>
      <c r="K13" s="2"/>
      <c r="L13" s="2"/>
      <c r="M13" s="96"/>
      <c r="N13" s="96"/>
      <c r="O13" s="96"/>
      <c r="P13" s="96"/>
      <c r="Q13" s="96"/>
      <c r="R13" s="2"/>
      <c r="S13" s="2"/>
      <c r="T13" s="2"/>
      <c r="U13" s="96"/>
      <c r="V13" s="96"/>
      <c r="W13" s="96"/>
      <c r="X13" s="7"/>
      <c r="Y13" s="90"/>
      <c r="Z13" s="90"/>
      <c r="AA13" s="90"/>
      <c r="AB13" s="90"/>
      <c r="AC13" s="90"/>
      <c r="AD13" s="58"/>
    </row>
    <row r="14" spans="1:35" x14ac:dyDescent="0.2">
      <c r="A14" s="7"/>
      <c r="B14" s="16"/>
      <c r="C14" s="7"/>
      <c r="D14" s="7"/>
      <c r="E14" s="23" t="str">
        <f t="shared" ref="E14:W14" si="3">IF(E96,"ERROR",IF(E97,"?",IF(E98,"-","")))</f>
        <v>-</v>
      </c>
      <c r="F14" s="23" t="str">
        <f t="shared" si="3"/>
        <v/>
      </c>
      <c r="G14" s="23" t="str">
        <f t="shared" si="3"/>
        <v/>
      </c>
      <c r="H14" s="23"/>
      <c r="I14" s="23" t="str">
        <f t="shared" si="3"/>
        <v/>
      </c>
      <c r="J14" s="23" t="str">
        <f t="shared" si="3"/>
        <v/>
      </c>
      <c r="K14" s="23" t="str">
        <f t="shared" si="3"/>
        <v/>
      </c>
      <c r="L14" s="23" t="str">
        <f t="shared" si="3"/>
        <v/>
      </c>
      <c r="M14" s="95" t="str">
        <f t="shared" si="3"/>
        <v/>
      </c>
      <c r="N14" s="95" t="str">
        <f t="shared" si="3"/>
        <v/>
      </c>
      <c r="O14" s="95" t="str">
        <f t="shared" si="3"/>
        <v/>
      </c>
      <c r="P14" s="95" t="str">
        <f t="shared" si="3"/>
        <v/>
      </c>
      <c r="Q14" s="95" t="str">
        <f t="shared" si="3"/>
        <v/>
      </c>
      <c r="R14" s="95" t="str">
        <f t="shared" si="3"/>
        <v/>
      </c>
      <c r="S14" s="95" t="str">
        <f t="shared" si="3"/>
        <v/>
      </c>
      <c r="T14" s="95" t="str">
        <f t="shared" si="3"/>
        <v/>
      </c>
      <c r="U14" s="95" t="str">
        <f t="shared" si="3"/>
        <v/>
      </c>
      <c r="V14" s="95" t="str">
        <f t="shared" si="3"/>
        <v>-</v>
      </c>
      <c r="W14" s="95" t="str">
        <f t="shared" si="3"/>
        <v>-</v>
      </c>
      <c r="X14" s="7"/>
      <c r="Y14" s="90"/>
      <c r="Z14" s="90"/>
      <c r="AA14" s="90"/>
      <c r="AB14" s="90"/>
      <c r="AC14" s="90"/>
      <c r="AD14" s="58"/>
    </row>
    <row r="15" spans="1:35" ht="13.5" thickBot="1" x14ac:dyDescent="0.25">
      <c r="A15" s="7"/>
      <c r="B15" s="16" t="s">
        <v>151</v>
      </c>
      <c r="C15" s="7" t="s">
        <v>149</v>
      </c>
      <c r="D15" s="7" t="s">
        <v>150</v>
      </c>
      <c r="E15" s="21" t="str">
        <f>IF(E5&gt;0,E5,"")</f>
        <v>air_in_left</v>
      </c>
      <c r="F15" s="21" t="str">
        <f t="shared" ref="F15:W15" si="4">IF(F5&gt;0,F5,"")</f>
        <v>Filter_G4</v>
      </c>
      <c r="G15" s="21" t="str">
        <f t="shared" si="4"/>
        <v>Filter_F7</v>
      </c>
      <c r="H15" s="21" t="str">
        <f t="shared" si="4"/>
        <v>Mix_up1</v>
      </c>
      <c r="I15" s="21" t="str">
        <f t="shared" si="4"/>
        <v>Mix_up2</v>
      </c>
      <c r="J15" s="21" t="str">
        <f t="shared" si="4"/>
        <v>Mix_up_result</v>
      </c>
      <c r="K15" s="21" t="str">
        <f t="shared" si="4"/>
        <v>RE1_in</v>
      </c>
      <c r="L15" s="21" t="str">
        <f t="shared" si="4"/>
        <v>RE1_out</v>
      </c>
      <c r="M15" s="101" t="str">
        <f t="shared" si="4"/>
        <v>HE1_in</v>
      </c>
      <c r="N15" s="101" t="str">
        <f t="shared" si="4"/>
        <v>HE1_out</v>
      </c>
      <c r="O15" s="101" t="str">
        <f t="shared" si="4"/>
        <v>CE1_in</v>
      </c>
      <c r="P15" s="101" t="str">
        <f t="shared" si="4"/>
        <v>CE1_out</v>
      </c>
      <c r="Q15" s="101" t="str">
        <f t="shared" si="4"/>
        <v>HE2_in</v>
      </c>
      <c r="R15" s="101" t="str">
        <f t="shared" si="4"/>
        <v>HE2_out</v>
      </c>
      <c r="S15" s="101" t="str">
        <f t="shared" si="4"/>
        <v>fan</v>
      </c>
      <c r="T15" s="101" t="str">
        <f t="shared" si="4"/>
        <v>silencer</v>
      </c>
      <c r="U15" s="101" t="str">
        <f t="shared" si="4"/>
        <v>air_out_up</v>
      </c>
      <c r="V15" s="101" t="str">
        <f t="shared" si="4"/>
        <v/>
      </c>
      <c r="W15" s="101" t="str">
        <f t="shared" si="4"/>
        <v/>
      </c>
      <c r="X15" s="7"/>
      <c r="AA15" s="57"/>
      <c r="AB15" s="58"/>
      <c r="AC15" s="58"/>
      <c r="AD15" s="58"/>
    </row>
    <row r="16" spans="1:35" x14ac:dyDescent="0.2">
      <c r="A16" s="7"/>
      <c r="B16" s="7" t="s">
        <v>62</v>
      </c>
      <c r="C16" s="18" t="s">
        <v>0</v>
      </c>
      <c r="D16" s="19" t="s">
        <v>4</v>
      </c>
      <c r="E16" s="24" t="str">
        <f t="shared" ref="E16:W16" si="5">IF(E14="",E151,"")</f>
        <v/>
      </c>
      <c r="F16" s="24">
        <f t="shared" si="5"/>
        <v>-27</v>
      </c>
      <c r="G16" s="24">
        <f t="shared" si="5"/>
        <v>-27</v>
      </c>
      <c r="H16" s="24">
        <f t="shared" si="5"/>
        <v>-27</v>
      </c>
      <c r="I16" s="24">
        <f t="shared" si="5"/>
        <v>20</v>
      </c>
      <c r="J16" s="24">
        <f t="shared" si="5"/>
        <v>12.276969485124184</v>
      </c>
      <c r="K16" s="24">
        <f t="shared" si="5"/>
        <v>12.276969485124184</v>
      </c>
      <c r="L16" s="24">
        <f t="shared" si="5"/>
        <v>8</v>
      </c>
      <c r="M16" s="102">
        <f t="shared" si="5"/>
        <v>8</v>
      </c>
      <c r="N16" s="103">
        <f t="shared" si="5"/>
        <v>20</v>
      </c>
      <c r="O16" s="103">
        <f t="shared" si="5"/>
        <v>35</v>
      </c>
      <c r="P16" s="103">
        <f t="shared" si="5"/>
        <v>16</v>
      </c>
      <c r="Q16" s="103">
        <f t="shared" si="5"/>
        <v>16</v>
      </c>
      <c r="R16" s="103">
        <f t="shared" si="5"/>
        <v>20</v>
      </c>
      <c r="S16" s="103">
        <f t="shared" si="5"/>
        <v>20</v>
      </c>
      <c r="T16" s="103">
        <f t="shared" si="5"/>
        <v>20</v>
      </c>
      <c r="U16" s="103">
        <f t="shared" si="5"/>
        <v>20</v>
      </c>
      <c r="V16" s="103" t="str">
        <f t="shared" si="5"/>
        <v/>
      </c>
      <c r="W16" s="103" t="str">
        <f t="shared" si="5"/>
        <v/>
      </c>
      <c r="X16" s="7"/>
      <c r="AA16" s="57"/>
      <c r="AB16" s="58"/>
      <c r="AC16" s="58"/>
      <c r="AD16" s="58"/>
    </row>
    <row r="17" spans="1:33" x14ac:dyDescent="0.2">
      <c r="A17" s="7"/>
      <c r="B17" s="7" t="s">
        <v>94</v>
      </c>
      <c r="C17" s="20" t="s">
        <v>1</v>
      </c>
      <c r="D17" s="19" t="s">
        <v>5</v>
      </c>
      <c r="E17" s="25" t="str">
        <f t="shared" ref="E17:N17" si="6">IF(E14="",IF(E18=0,0,Tlak_vzduchu/E154*1000/(0.6222/E18*1000+1)),"")</f>
        <v/>
      </c>
      <c r="F17" s="25">
        <f t="shared" si="6"/>
        <v>0.20000000000000004</v>
      </c>
      <c r="G17" s="25">
        <f t="shared" si="6"/>
        <v>0.20000000000000004</v>
      </c>
      <c r="H17" s="25">
        <f t="shared" ref="H17" si="7">IF(H14="",IF(H18=0,0,Tlak_vzduchu/H154*1000/(0.6222/H18*1000+1)),"")</f>
        <v>0.20000000000000004</v>
      </c>
      <c r="I17" s="25">
        <f t="shared" si="6"/>
        <v>0.59999999999999987</v>
      </c>
      <c r="J17" s="25">
        <f t="shared" si="6"/>
        <v>0.82237877683581573</v>
      </c>
      <c r="K17" s="25">
        <f t="shared" si="6"/>
        <v>8.2237877683581581E-3</v>
      </c>
      <c r="L17" s="25">
        <f t="shared" si="6"/>
        <v>1.0957095429561066E-2</v>
      </c>
      <c r="M17" s="104">
        <f t="shared" si="6"/>
        <v>1.0957095429561067E-4</v>
      </c>
      <c r="N17" s="104">
        <f t="shared" si="6"/>
        <v>5.0195831763897202E-5</v>
      </c>
      <c r="O17" s="104">
        <f t="shared" ref="O17:W17" si="8">IF(O14="",IF(O18=0,0,Tlak_vzduchu/O154*1000/(0.6222/O18*1000+1)),"")</f>
        <v>0.4</v>
      </c>
      <c r="P17" s="104">
        <f t="shared" si="8"/>
        <v>0.75771330367416145</v>
      </c>
      <c r="Q17" s="104">
        <f t="shared" si="8"/>
        <v>7.5771330367416147E-3</v>
      </c>
      <c r="R17" s="104">
        <f t="shared" si="8"/>
        <v>5.8899545819655012E-3</v>
      </c>
      <c r="S17" s="104">
        <f t="shared" si="8"/>
        <v>5.889954581965501E-5</v>
      </c>
      <c r="T17" s="104">
        <f t="shared" si="8"/>
        <v>5.8899545819655022E-7</v>
      </c>
      <c r="U17" s="104">
        <f t="shared" si="8"/>
        <v>5.889954581965502E-9</v>
      </c>
      <c r="V17" s="104" t="str">
        <f t="shared" si="8"/>
        <v/>
      </c>
      <c r="W17" s="104" t="str">
        <f t="shared" si="8"/>
        <v/>
      </c>
      <c r="X17" s="7"/>
      <c r="AA17" s="57"/>
      <c r="AB17" s="58"/>
      <c r="AC17" s="58"/>
      <c r="AD17" s="58"/>
    </row>
    <row r="18" spans="1:33" x14ac:dyDescent="0.2">
      <c r="A18" s="7"/>
      <c r="B18" s="7" t="s">
        <v>95</v>
      </c>
      <c r="C18" s="18" t="s">
        <v>2</v>
      </c>
      <c r="D18" s="19" t="s">
        <v>6</v>
      </c>
      <c r="E18" s="21" t="str">
        <f t="shared" ref="E18:W18" si="9">IF(E14="",E152,"")</f>
        <v/>
      </c>
      <c r="F18" s="21">
        <f t="shared" si="9"/>
        <v>6.801154036428593E-2</v>
      </c>
      <c r="G18" s="21">
        <f t="shared" si="9"/>
        <v>6.801154036428593E-2</v>
      </c>
      <c r="H18" s="21">
        <f t="shared" si="9"/>
        <v>6.801154036428593E-2</v>
      </c>
      <c r="I18" s="21">
        <f t="shared" si="9"/>
        <v>9.3757233081908904</v>
      </c>
      <c r="J18" s="21">
        <f t="shared" si="9"/>
        <v>7.8244380135531229</v>
      </c>
      <c r="K18" s="21">
        <f t="shared" si="9"/>
        <v>7.7282240629995516E-2</v>
      </c>
      <c r="L18" s="21">
        <f t="shared" si="9"/>
        <v>7.7282240629995516E-2</v>
      </c>
      <c r="M18" s="101">
        <f t="shared" si="9"/>
        <v>7.727273871375711E-4</v>
      </c>
      <c r="N18" s="101">
        <f t="shared" si="9"/>
        <v>7.727273871375711E-4</v>
      </c>
      <c r="O18" s="101">
        <f t="shared" si="9"/>
        <v>15.17511246915182</v>
      </c>
      <c r="P18" s="101">
        <f t="shared" si="9"/>
        <v>9.2012211080269264</v>
      </c>
      <c r="Q18" s="101">
        <f t="shared" si="9"/>
        <v>9.0684559843778378E-2</v>
      </c>
      <c r="R18" s="101">
        <f t="shared" si="9"/>
        <v>9.0684559843778378E-2</v>
      </c>
      <c r="S18" s="101">
        <f t="shared" si="9"/>
        <v>9.0671476786990859E-4</v>
      </c>
      <c r="T18" s="101">
        <f t="shared" si="9"/>
        <v>9.0671345975486622E-6</v>
      </c>
      <c r="U18" s="101">
        <f t="shared" si="9"/>
        <v>9.0671344667373509E-8</v>
      </c>
      <c r="V18" s="101" t="str">
        <f t="shared" si="9"/>
        <v/>
      </c>
      <c r="W18" s="101" t="str">
        <f t="shared" si="9"/>
        <v/>
      </c>
      <c r="X18" s="7"/>
      <c r="AA18" s="57"/>
      <c r="AB18" s="58"/>
      <c r="AC18" s="58"/>
      <c r="AD18" s="58"/>
    </row>
    <row r="19" spans="1:33" s="129" customFormat="1" x14ac:dyDescent="0.2">
      <c r="A19" s="124"/>
      <c r="B19" s="124" t="s">
        <v>65</v>
      </c>
      <c r="C19" s="125" t="s">
        <v>3</v>
      </c>
      <c r="D19" s="126" t="s">
        <v>7</v>
      </c>
      <c r="E19" s="127" t="str">
        <f t="shared" ref="E19:W19" si="10">IF(E14="",E155,"")</f>
        <v/>
      </c>
      <c r="F19" s="127">
        <f t="shared" si="10"/>
        <v>-27.103318677106014</v>
      </c>
      <c r="G19" s="127">
        <f t="shared" si="10"/>
        <v>-27.103318677106014</v>
      </c>
      <c r="H19" s="127">
        <f t="shared" si="10"/>
        <v>-27.103318677106014</v>
      </c>
      <c r="I19" s="127">
        <f t="shared" si="10"/>
        <v>43.997460900850115</v>
      </c>
      <c r="J19" s="127">
        <f t="shared" si="10"/>
        <v>32.147330971190769</v>
      </c>
      <c r="K19" s="127">
        <f t="shared" si="10"/>
        <v>12.594786816371563</v>
      </c>
      <c r="L19" s="127">
        <f t="shared" si="10"/>
        <v>8.2744328435561929</v>
      </c>
      <c r="M19" s="127">
        <f t="shared" si="10"/>
        <v>8.0819440893787515</v>
      </c>
      <c r="N19" s="127">
        <f t="shared" si="10"/>
        <v>20.201961336654033</v>
      </c>
      <c r="O19" s="127">
        <f t="shared" si="10"/>
        <v>74.290856107090491</v>
      </c>
      <c r="P19" s="127">
        <f t="shared" si="10"/>
        <v>39.446082331350226</v>
      </c>
      <c r="Q19" s="127">
        <f t="shared" si="10"/>
        <v>16.389500856670242</v>
      </c>
      <c r="R19" s="127">
        <f t="shared" si="10"/>
        <v>20.430175549795479</v>
      </c>
      <c r="S19" s="127">
        <f t="shared" si="10"/>
        <v>20.202301423423808</v>
      </c>
      <c r="T19" s="127">
        <f t="shared" si="10"/>
        <v>20.200023014201033</v>
      </c>
      <c r="U19" s="127">
        <f t="shared" si="10"/>
        <v>20.200000230142006</v>
      </c>
      <c r="V19" s="127" t="str">
        <f t="shared" si="10"/>
        <v/>
      </c>
      <c r="W19" s="127" t="str">
        <f t="shared" si="10"/>
        <v/>
      </c>
      <c r="X19" s="124"/>
      <c r="Y19" s="130">
        <f>(P19-O19)*P23/3000</f>
        <v>-58.074622959567101</v>
      </c>
      <c r="Z19" s="130">
        <f>(L19-K19)*L23/3000</f>
        <v>-17.281415891261481</v>
      </c>
      <c r="AA19" s="128"/>
      <c r="AB19" s="128"/>
      <c r="AC19" s="128"/>
      <c r="AD19" s="128"/>
      <c r="AE19" s="128"/>
      <c r="AF19" s="128"/>
      <c r="AG19" s="128"/>
    </row>
    <row r="20" spans="1:33" x14ac:dyDescent="0.2">
      <c r="A20" s="7"/>
      <c r="B20" s="7" t="s">
        <v>72</v>
      </c>
      <c r="C20" s="20" t="s">
        <v>24</v>
      </c>
      <c r="D20" s="19" t="s">
        <v>26</v>
      </c>
      <c r="E20" s="26" t="str">
        <f>IF(E14="",Tlak_vzduchu*1000*(E18/1000+1)/461.39/(273.15+E16)/(E18/1000+0.6222),"")</f>
        <v/>
      </c>
      <c r="F20" s="26">
        <f t="shared" ref="F20:N20" si="11">IF(F14="",Tlak_vzduchu*1000*(F18/1000+1)/461.39/(273.15+F16)/(F18/1000+0.6222),"")</f>
        <v>1.3372599893844823</v>
      </c>
      <c r="G20" s="26">
        <f t="shared" si="11"/>
        <v>1.3372599893844823</v>
      </c>
      <c r="H20" s="26">
        <f t="shared" ref="H20" si="12">IF(H14="",Tlak_vzduchu*1000*(H18/1000+1)/461.39/(273.15+H16)/(H18/1000+0.6222),"")</f>
        <v>1.3372599893844823</v>
      </c>
      <c r="I20" s="26">
        <f t="shared" si="11"/>
        <v>1.1166090914094011</v>
      </c>
      <c r="J20" s="26">
        <f t="shared" si="11"/>
        <v>1.1478790085759638</v>
      </c>
      <c r="K20" s="26">
        <f t="shared" si="11"/>
        <v>1.1532361304256273</v>
      </c>
      <c r="L20" s="26">
        <f t="shared" si="11"/>
        <v>1.1707796329651012</v>
      </c>
      <c r="M20" s="105">
        <f t="shared" si="11"/>
        <v>1.1708340191310163</v>
      </c>
      <c r="N20" s="105">
        <f t="shared" si="11"/>
        <v>1.1229063089840874</v>
      </c>
      <c r="O20" s="105">
        <f t="shared" ref="O20:W20" si="13">IF(O14="",Tlak_vzduchu*1000*(O18/1000+1)/461.39/(273.15+O16)/(O18/1000+0.6222),"")</f>
        <v>1.0586376113064897</v>
      </c>
      <c r="P20" s="105">
        <f t="shared" si="13"/>
        <v>1.1321729753566148</v>
      </c>
      <c r="Q20" s="105">
        <f t="shared" si="13"/>
        <v>1.1383780587890284</v>
      </c>
      <c r="R20" s="105">
        <f t="shared" si="13"/>
        <v>1.1228450134703996</v>
      </c>
      <c r="S20" s="105">
        <f t="shared" si="13"/>
        <v>1.1229062176278097</v>
      </c>
      <c r="T20" s="105">
        <f t="shared" si="13"/>
        <v>1.1229068296693836</v>
      </c>
      <c r="U20" s="105">
        <f t="shared" si="13"/>
        <v>1.1229068357897993</v>
      </c>
      <c r="V20" s="105" t="str">
        <f t="shared" si="13"/>
        <v/>
      </c>
      <c r="W20" s="105" t="str">
        <f t="shared" si="13"/>
        <v/>
      </c>
      <c r="X20" s="7"/>
      <c r="AA20" s="57"/>
    </row>
    <row r="21" spans="1:33" ht="13.5" thickBot="1" x14ac:dyDescent="0.25">
      <c r="A21" s="7"/>
      <c r="B21" s="7" t="s">
        <v>71</v>
      </c>
      <c r="C21" s="18" t="s">
        <v>25</v>
      </c>
      <c r="D21" s="19" t="s">
        <v>4</v>
      </c>
      <c r="E21" s="21" t="str">
        <f t="shared" ref="E21:W21" si="14">IF(E14="",E156,"")</f>
        <v/>
      </c>
      <c r="F21" s="21">
        <f t="shared" si="14"/>
        <v>-27.608871400277707</v>
      </c>
      <c r="G21" s="21">
        <f t="shared" si="14"/>
        <v>-27.608871593611944</v>
      </c>
      <c r="H21" s="21">
        <f t="shared" si="14"/>
        <v>-27.608494898828361</v>
      </c>
      <c r="I21" s="21">
        <f t="shared" si="14"/>
        <v>14.98170477717769</v>
      </c>
      <c r="J21" s="21">
        <f t="shared" si="14"/>
        <v>10.72129012483185</v>
      </c>
      <c r="K21" s="21">
        <f t="shared" si="14"/>
        <v>1.5750109806780079</v>
      </c>
      <c r="L21" s="21">
        <f t="shared" si="14"/>
        <v>-1.1207509577152117</v>
      </c>
      <c r="M21" s="101">
        <f t="shared" si="14"/>
        <v>-1.1213952521538815</v>
      </c>
      <c r="N21" s="101">
        <f t="shared" si="14"/>
        <v>5.3064115875936508</v>
      </c>
      <c r="O21" s="101">
        <f t="shared" si="14"/>
        <v>-2.6495095945477067</v>
      </c>
      <c r="P21" s="101">
        <f t="shared" si="14"/>
        <v>-2.6495095945477067</v>
      </c>
      <c r="Q21" s="101">
        <f t="shared" si="14"/>
        <v>-2.6495095945477067</v>
      </c>
      <c r="R21" s="101">
        <f t="shared" si="14"/>
        <v>-2.6495095945477067</v>
      </c>
      <c r="S21" s="101">
        <f t="shared" si="14"/>
        <v>-2.6495095945477067</v>
      </c>
      <c r="T21" s="101">
        <f t="shared" si="14"/>
        <v>-2.6495095945477067</v>
      </c>
      <c r="U21" s="101">
        <f t="shared" si="14"/>
        <v>-2.6495095945477067</v>
      </c>
      <c r="V21" s="101" t="str">
        <f t="shared" si="14"/>
        <v/>
      </c>
      <c r="W21" s="101" t="str">
        <f t="shared" si="14"/>
        <v/>
      </c>
      <c r="X21" s="7"/>
      <c r="AA21" s="57"/>
    </row>
    <row r="22" spans="1:33" ht="13.5" thickTop="1" x14ac:dyDescent="0.2">
      <c r="A22" s="7"/>
      <c r="B22" s="7" t="s">
        <v>64</v>
      </c>
      <c r="C22" s="16" t="s">
        <v>57</v>
      </c>
      <c r="D22" s="19" t="s">
        <v>22</v>
      </c>
      <c r="E22" s="27" t="str">
        <f>IF(E14="",E35*3600/E20*(1+E18/1000),"")</f>
        <v/>
      </c>
      <c r="F22" s="27">
        <f t="shared" ref="F22:W22" si="15">IF(F14="",F35*3600/F20*(1+F18/1000),"")</f>
        <v>1794.8366411542963</v>
      </c>
      <c r="G22" s="27">
        <f t="shared" si="15"/>
        <v>1794.8366411542963</v>
      </c>
      <c r="H22" s="27">
        <f t="shared" si="15"/>
        <v>1794.8366411542963</v>
      </c>
      <c r="I22" s="27">
        <f t="shared" si="15"/>
        <v>10847.58199882619</v>
      </c>
      <c r="J22" s="27">
        <f t="shared" si="15"/>
        <v>12643.032757781066</v>
      </c>
      <c r="K22" s="27">
        <f t="shared" si="15"/>
        <v>12487.566495987274</v>
      </c>
      <c r="L22" s="27">
        <f t="shared" si="15"/>
        <v>12300.447034420135</v>
      </c>
      <c r="M22" s="106">
        <f t="shared" si="15"/>
        <v>12298.934684151003</v>
      </c>
      <c r="N22" s="106">
        <f t="shared" si="15"/>
        <v>12823.875876432036</v>
      </c>
      <c r="O22" s="106">
        <f t="shared" si="15"/>
        <v>5753.669253539746</v>
      </c>
      <c r="P22" s="106">
        <f t="shared" si="15"/>
        <v>5348.3058317487894</v>
      </c>
      <c r="Q22" s="106">
        <f t="shared" si="15"/>
        <v>5271.1347175315877</v>
      </c>
      <c r="R22" s="106">
        <f t="shared" si="15"/>
        <v>5344.0537521853175</v>
      </c>
      <c r="S22" s="106">
        <f t="shared" si="15"/>
        <v>5343.2827658251726</v>
      </c>
      <c r="T22" s="106">
        <f t="shared" si="15"/>
        <v>5343.2750570849948</v>
      </c>
      <c r="U22" s="106">
        <f t="shared" si="15"/>
        <v>5343.2749799977055</v>
      </c>
      <c r="V22" s="106" t="str">
        <f t="shared" si="15"/>
        <v/>
      </c>
      <c r="W22" s="106" t="str">
        <f t="shared" si="15"/>
        <v/>
      </c>
      <c r="X22" s="7"/>
      <c r="AA22" s="57"/>
    </row>
    <row r="23" spans="1:33" x14ac:dyDescent="0.2">
      <c r="A23" s="7"/>
      <c r="B23" s="7" t="s">
        <v>73</v>
      </c>
      <c r="C23" s="16" t="s">
        <v>56</v>
      </c>
      <c r="D23" s="19" t="s">
        <v>22</v>
      </c>
      <c r="E23" s="28" t="str">
        <f>IF(E14="",E35*3600/1.2,"")</f>
        <v/>
      </c>
      <c r="F23" s="28">
        <f t="shared" ref="F23:W23" si="16">IF(F14="",F35*3600/1.2,"")</f>
        <v>2000</v>
      </c>
      <c r="G23" s="28">
        <f t="shared" si="16"/>
        <v>2000</v>
      </c>
      <c r="H23" s="28">
        <f t="shared" si="16"/>
        <v>2000</v>
      </c>
      <c r="I23" s="28">
        <f t="shared" si="16"/>
        <v>9999.9999999999982</v>
      </c>
      <c r="J23" s="28">
        <f t="shared" si="16"/>
        <v>11999.999999999998</v>
      </c>
      <c r="K23" s="28">
        <f t="shared" si="16"/>
        <v>12000</v>
      </c>
      <c r="L23" s="28">
        <f t="shared" si="16"/>
        <v>12000</v>
      </c>
      <c r="M23" s="107">
        <f t="shared" si="16"/>
        <v>12000</v>
      </c>
      <c r="N23" s="108">
        <f t="shared" si="16"/>
        <v>12000</v>
      </c>
      <c r="O23" s="108">
        <f t="shared" si="16"/>
        <v>4999.9999999999991</v>
      </c>
      <c r="P23" s="108">
        <f t="shared" si="16"/>
        <v>4999.9999999999991</v>
      </c>
      <c r="Q23" s="108">
        <f t="shared" si="16"/>
        <v>4999.9999999999991</v>
      </c>
      <c r="R23" s="108">
        <f t="shared" si="16"/>
        <v>4999.9999999999991</v>
      </c>
      <c r="S23" s="108">
        <f t="shared" si="16"/>
        <v>4999.9999999999991</v>
      </c>
      <c r="T23" s="108">
        <f t="shared" si="16"/>
        <v>4999.9999999999991</v>
      </c>
      <c r="U23" s="108">
        <f t="shared" si="16"/>
        <v>4999.9999999999991</v>
      </c>
      <c r="V23" s="108" t="str">
        <f t="shared" si="16"/>
        <v/>
      </c>
      <c r="W23" s="108" t="str">
        <f t="shared" si="16"/>
        <v/>
      </c>
      <c r="X23" s="7"/>
      <c r="AA23" s="57"/>
    </row>
    <row r="24" spans="1:33" x14ac:dyDescent="0.2">
      <c r="A24" s="7"/>
      <c r="B24" s="7" t="s">
        <v>66</v>
      </c>
      <c r="C24" s="16" t="s">
        <v>27</v>
      </c>
      <c r="D24" s="19" t="s">
        <v>28</v>
      </c>
      <c r="E24" s="29" t="str">
        <f>IF(AND(E14="",E28&lt;&gt;5,E28&lt;&gt;0),E35*(E19-D19),"")</f>
        <v/>
      </c>
      <c r="F24" s="29" t="str">
        <f>IF(AND(F14="",F28&lt;&gt;5,F28&lt;&gt;0),F35*(F19-E19),"")</f>
        <v/>
      </c>
      <c r="G24" s="29" t="str">
        <f t="shared" ref="G24:W24" si="17">IF(AND(G14="",G28&lt;&gt;5,G28&lt;&gt;0),G35*(G19-F19),"")</f>
        <v/>
      </c>
      <c r="H24" s="29" t="str">
        <f t="shared" si="17"/>
        <v/>
      </c>
      <c r="I24" s="29" t="str">
        <f t="shared" si="17"/>
        <v/>
      </c>
      <c r="J24" s="29" t="str">
        <f t="shared" si="17"/>
        <v/>
      </c>
      <c r="K24" s="29" t="str">
        <f t="shared" si="17"/>
        <v/>
      </c>
      <c r="L24" s="29">
        <f t="shared" si="17"/>
        <v>-17.281415891261481</v>
      </c>
      <c r="M24" s="29" t="str">
        <f t="shared" si="17"/>
        <v/>
      </c>
      <c r="N24" s="29">
        <f t="shared" si="17"/>
        <v>48.480068989101127</v>
      </c>
      <c r="O24" s="29" t="str">
        <f t="shared" si="17"/>
        <v/>
      </c>
      <c r="P24" s="29">
        <f t="shared" si="17"/>
        <v>-58.074622959567101</v>
      </c>
      <c r="Q24" s="29" t="str">
        <f t="shared" si="17"/>
        <v/>
      </c>
      <c r="R24" s="29">
        <f t="shared" si="17"/>
        <v>6.7344578218753934</v>
      </c>
      <c r="S24" s="29" t="str">
        <f t="shared" si="17"/>
        <v/>
      </c>
      <c r="T24" s="29" t="str">
        <f>IF(AND(T14="",T28&lt;&gt;5,T28&lt;&gt;0),T35*(T19-#REF!),"")</f>
        <v/>
      </c>
      <c r="U24" s="29" t="str">
        <f t="shared" si="17"/>
        <v/>
      </c>
      <c r="V24" s="29" t="str">
        <f t="shared" si="17"/>
        <v/>
      </c>
      <c r="W24" s="29" t="str">
        <f t="shared" si="17"/>
        <v/>
      </c>
      <c r="X24" s="7"/>
      <c r="AA24" s="57"/>
    </row>
    <row r="25" spans="1:33" x14ac:dyDescent="0.2">
      <c r="A25" s="7"/>
      <c r="B25" s="7" t="s">
        <v>74</v>
      </c>
      <c r="C25" s="16" t="s">
        <v>29</v>
      </c>
      <c r="D25" s="19" t="s">
        <v>30</v>
      </c>
      <c r="E25" s="29" t="str">
        <f>IF(AND(E14="",E28&lt;&gt;0),IF(E28&lt;&gt;5,E35*(E18-D18)*3.6,(E35*E18-D35*D18-C35*C18)*3.6),"")</f>
        <v/>
      </c>
      <c r="F25" s="29" t="str">
        <f t="shared" ref="F25:W25" si="18">IF(AND(F14="",F28&lt;&gt;0),IF(F28&lt;&gt;5,F35*(F18-E18)*3.6,(F35*F18-E35*E18-D35*D18)*3.6),"")</f>
        <v/>
      </c>
      <c r="G25" s="29" t="str">
        <f t="shared" si="18"/>
        <v/>
      </c>
      <c r="H25" s="29" t="str">
        <f t="shared" si="18"/>
        <v/>
      </c>
      <c r="I25" s="29" t="str">
        <f t="shared" si="18"/>
        <v/>
      </c>
      <c r="J25" s="29">
        <f t="shared" si="18"/>
        <v>-6.1450844413002416E-15</v>
      </c>
      <c r="K25" s="29" t="str">
        <f t="shared" si="18"/>
        <v/>
      </c>
      <c r="L25" s="29">
        <f t="shared" si="18"/>
        <v>0</v>
      </c>
      <c r="M25" s="109" t="str">
        <f t="shared" si="18"/>
        <v/>
      </c>
      <c r="N25" s="101">
        <f t="shared" si="18"/>
        <v>0</v>
      </c>
      <c r="O25" s="101" t="str">
        <f t="shared" si="18"/>
        <v/>
      </c>
      <c r="P25" s="101">
        <f t="shared" si="18"/>
        <v>-35.843348166749365</v>
      </c>
      <c r="Q25" s="101" t="str">
        <f t="shared" si="18"/>
        <v/>
      </c>
      <c r="R25" s="101">
        <f t="shared" si="18"/>
        <v>0</v>
      </c>
      <c r="S25" s="101" t="str">
        <f t="shared" si="18"/>
        <v/>
      </c>
      <c r="T25" s="101" t="str">
        <f>IF(AND(T14="",T28&lt;&gt;0),IF(T28&lt;&gt;5,T35*(T18-#REF!)*3.6,(T35*T18-#REF!*#REF!-S35*S18)*3.6),"")</f>
        <v/>
      </c>
      <c r="U25" s="101" t="str">
        <f>IF(AND(U14="",U28&lt;&gt;0),IF(U28&lt;&gt;5,U35*(U18-T18)*3.6,(U35*U18-T35*T18-#REF!*#REF!)*3.6),"")</f>
        <v/>
      </c>
      <c r="V25" s="101" t="str">
        <f t="shared" si="18"/>
        <v/>
      </c>
      <c r="W25" s="101" t="str">
        <f t="shared" si="18"/>
        <v/>
      </c>
      <c r="X25" s="7"/>
      <c r="AA25" s="57"/>
    </row>
    <row r="26" spans="1:33" x14ac:dyDescent="0.2">
      <c r="A26" s="7"/>
      <c r="B26" s="7"/>
      <c r="C26" s="7"/>
      <c r="D26" s="7"/>
      <c r="E26" s="7"/>
      <c r="F26" s="7"/>
      <c r="G26" s="7"/>
      <c r="H26" s="7"/>
      <c r="I26" s="7"/>
      <c r="J26" s="7"/>
      <c r="K26" s="7"/>
      <c r="L26" s="7"/>
      <c r="M26" s="93"/>
      <c r="N26" s="93"/>
      <c r="O26" s="93"/>
      <c r="P26" s="93"/>
      <c r="Q26" s="93"/>
      <c r="R26" s="93"/>
      <c r="S26" s="93"/>
      <c r="T26" s="93"/>
      <c r="U26" s="93"/>
      <c r="V26" s="93"/>
      <c r="W26" s="93"/>
      <c r="X26" s="7"/>
      <c r="AA26" s="57"/>
    </row>
    <row r="27" spans="1:33" s="59" customFormat="1" x14ac:dyDescent="0.2">
      <c r="B27" s="65" t="s">
        <v>89</v>
      </c>
      <c r="Y27" s="61"/>
      <c r="Z27" s="61"/>
      <c r="AA27" s="61"/>
    </row>
    <row r="28" spans="1:33" s="59" customFormat="1" x14ac:dyDescent="0.2">
      <c r="B28" s="60" t="s">
        <v>103</v>
      </c>
      <c r="C28" s="59" t="s">
        <v>44</v>
      </c>
      <c r="E28" s="59">
        <f>IF(OR(E10="-",E10=""),0,IF(OR(E10="o",E10="O"),1,IF(OR(E10="c",E10="C"),2,IF(OR(E10="a",E10="A"),3,IF(OR(E10="p",E10="P"),4,IF(OR(E10="s",E10="S"),5,IF(OR(E10="x",E10="X"),6,10)))))))</f>
        <v>0</v>
      </c>
      <c r="F28" s="59">
        <f t="shared" ref="F28:W28" si="19">IF(OR(F10="-",F10=""),0,IF(OR(F10="o",F10="O"),1,IF(OR(F10="c",F10="C"),2,IF(OR(F10="a",F10="A"),3,IF(OR(F10="p",F10="P"),4,IF(OR(F10="s",F10="S"),5,IF(OR(F10="x",F10="X"),6,10)))))))</f>
        <v>0</v>
      </c>
      <c r="G28" s="59">
        <f t="shared" si="19"/>
        <v>0</v>
      </c>
      <c r="H28" s="59">
        <f t="shared" si="19"/>
        <v>0</v>
      </c>
      <c r="I28" s="59">
        <f t="shared" si="19"/>
        <v>0</v>
      </c>
      <c r="J28" s="59">
        <f t="shared" si="19"/>
        <v>5</v>
      </c>
      <c r="K28" s="59">
        <f t="shared" si="19"/>
        <v>0</v>
      </c>
      <c r="L28" s="59">
        <f t="shared" si="19"/>
        <v>1</v>
      </c>
      <c r="M28" s="59">
        <f t="shared" si="19"/>
        <v>0</v>
      </c>
      <c r="N28" s="59">
        <f t="shared" si="19"/>
        <v>1</v>
      </c>
      <c r="O28" s="59">
        <f t="shared" si="19"/>
        <v>0</v>
      </c>
      <c r="P28" s="59">
        <f t="shared" si="19"/>
        <v>2</v>
      </c>
      <c r="Q28" s="59">
        <f t="shared" si="19"/>
        <v>0</v>
      </c>
      <c r="R28" s="59">
        <f>IF(OR(R10="-",R10=""),0,IF(OR(R10="o",R10="O"),1,IF(OR(R10="c",R10="C"),2,IF(OR(R10="a",R10="A"),3,IF(OR(R10="p",R10="P"),4,IF(OR(R10="s",R10="S"),5,IF(OR(R10="x",R10="X"),6,10)))))))</f>
        <v>1</v>
      </c>
      <c r="S28" s="59">
        <f>IF(OR(S10="-",S10=""),0,IF(OR(S10="o",S10="O"),1,IF(OR(S10="c",S10="C"),2,IF(OR(S10="a",S10="A"),3,IF(OR(S10="p",S10="P"),4,IF(OR(S10="s",S10="S"),5,IF(OR(S10="x",S10="X"),6,10)))))))</f>
        <v>0</v>
      </c>
      <c r="T28" s="59">
        <f t="shared" si="19"/>
        <v>0</v>
      </c>
      <c r="U28" s="59">
        <f>IF(OR(U10="-",U10=""),0,IF(OR(U10="o",U10="O"),1,IF(OR(U10="c",U10="C"),2,IF(OR(U10="a",U10="A"),3,IF(OR(U10="p",U10="P"),4,IF(OR(U10="s",U10="S"),5,IF(OR(U10="x",U10="X"),6,10)))))))</f>
        <v>0</v>
      </c>
      <c r="V28" s="59">
        <f>IF(OR(V10="-",V10=""),0,IF(OR(V10="o",V10="O"),1,IF(OR(V10="c",V10="C"),2,IF(OR(V10="a",V10="A"),3,IF(OR(V10="p",V10="P"),4,IF(OR(V10="s",V10="S"),5,IF(OR(V10="x",V10="X"),6,10)))))))</f>
        <v>0</v>
      </c>
      <c r="W28" s="59">
        <f t="shared" si="19"/>
        <v>0</v>
      </c>
      <c r="Y28" s="61"/>
      <c r="Z28" s="61"/>
      <c r="AA28" s="61"/>
    </row>
    <row r="29" spans="1:33" s="59" customFormat="1" x14ac:dyDescent="0.2">
      <c r="C29" s="62" t="s">
        <v>0</v>
      </c>
      <c r="E29" s="59">
        <f>IF(E6="",0,1)</f>
        <v>0</v>
      </c>
      <c r="F29" s="59">
        <f>IF(F6="",0,1)</f>
        <v>1</v>
      </c>
      <c r="G29" s="59">
        <f t="shared" ref="G29:W32" si="20">IF(G6="",0,1)</f>
        <v>1</v>
      </c>
      <c r="H29" s="59">
        <f t="shared" si="20"/>
        <v>1</v>
      </c>
      <c r="I29" s="59">
        <f t="shared" si="20"/>
        <v>1</v>
      </c>
      <c r="J29" s="59">
        <f t="shared" si="20"/>
        <v>0</v>
      </c>
      <c r="K29" s="59">
        <f t="shared" si="20"/>
        <v>1</v>
      </c>
      <c r="L29" s="59">
        <f t="shared" si="20"/>
        <v>1</v>
      </c>
      <c r="M29" s="59">
        <f t="shared" si="20"/>
        <v>1</v>
      </c>
      <c r="N29" s="59">
        <f t="shared" si="20"/>
        <v>1</v>
      </c>
      <c r="O29" s="59">
        <f t="shared" si="20"/>
        <v>1</v>
      </c>
      <c r="P29" s="59">
        <f t="shared" si="20"/>
        <v>1</v>
      </c>
      <c r="Q29" s="59">
        <f t="shared" si="20"/>
        <v>1</v>
      </c>
      <c r="R29" s="59">
        <f t="shared" si="20"/>
        <v>1</v>
      </c>
      <c r="S29" s="59">
        <f t="shared" si="20"/>
        <v>1</v>
      </c>
      <c r="T29" s="59">
        <f t="shared" si="20"/>
        <v>1</v>
      </c>
      <c r="U29" s="59">
        <f t="shared" si="20"/>
        <v>1</v>
      </c>
      <c r="V29" s="59">
        <f t="shared" si="20"/>
        <v>0</v>
      </c>
      <c r="W29" s="59">
        <f t="shared" si="20"/>
        <v>0</v>
      </c>
      <c r="Y29" s="61"/>
      <c r="Z29" s="61"/>
      <c r="AA29" s="61"/>
    </row>
    <row r="30" spans="1:33" s="59" customFormat="1" x14ac:dyDescent="0.2">
      <c r="C30" s="63" t="s">
        <v>1</v>
      </c>
      <c r="E30" s="59">
        <f t="shared" ref="E30:F32" si="21">IF(E7="",0,1)</f>
        <v>0</v>
      </c>
      <c r="F30" s="59">
        <f t="shared" si="21"/>
        <v>1</v>
      </c>
      <c r="G30" s="59">
        <f t="shared" si="20"/>
        <v>1</v>
      </c>
      <c r="H30" s="59">
        <f t="shared" si="20"/>
        <v>1</v>
      </c>
      <c r="I30" s="59">
        <f t="shared" si="20"/>
        <v>1</v>
      </c>
      <c r="J30" s="59">
        <f t="shared" si="20"/>
        <v>0</v>
      </c>
      <c r="K30" s="59">
        <f t="shared" si="20"/>
        <v>1</v>
      </c>
      <c r="L30" s="59">
        <f t="shared" si="20"/>
        <v>0</v>
      </c>
      <c r="M30" s="59">
        <f t="shared" si="20"/>
        <v>1</v>
      </c>
      <c r="N30" s="59">
        <f t="shared" si="20"/>
        <v>0</v>
      </c>
      <c r="O30" s="59">
        <f t="shared" si="20"/>
        <v>1</v>
      </c>
      <c r="P30" s="59">
        <f t="shared" si="20"/>
        <v>0</v>
      </c>
      <c r="Q30" s="59">
        <f t="shared" si="20"/>
        <v>1</v>
      </c>
      <c r="R30" s="59">
        <f t="shared" si="20"/>
        <v>0</v>
      </c>
      <c r="S30" s="59">
        <f t="shared" si="20"/>
        <v>1</v>
      </c>
      <c r="T30" s="59">
        <f t="shared" si="20"/>
        <v>1</v>
      </c>
      <c r="U30" s="59">
        <f t="shared" si="20"/>
        <v>1</v>
      </c>
      <c r="V30" s="59">
        <f t="shared" si="20"/>
        <v>0</v>
      </c>
      <c r="W30" s="59">
        <f t="shared" si="20"/>
        <v>0</v>
      </c>
      <c r="Y30" s="61"/>
      <c r="Z30" s="61"/>
      <c r="AA30" s="61"/>
    </row>
    <row r="31" spans="1:33" s="59" customFormat="1" x14ac:dyDescent="0.2">
      <c r="C31" s="62" t="s">
        <v>2</v>
      </c>
      <c r="E31" s="59">
        <f t="shared" si="21"/>
        <v>0</v>
      </c>
      <c r="F31" s="59">
        <f t="shared" si="21"/>
        <v>0</v>
      </c>
      <c r="G31" s="59">
        <f t="shared" si="20"/>
        <v>0</v>
      </c>
      <c r="H31" s="59">
        <f t="shared" si="20"/>
        <v>0</v>
      </c>
      <c r="I31" s="59">
        <f t="shared" si="20"/>
        <v>0</v>
      </c>
      <c r="J31" s="59">
        <f t="shared" si="20"/>
        <v>0</v>
      </c>
      <c r="K31" s="59">
        <f t="shared" si="20"/>
        <v>0</v>
      </c>
      <c r="L31" s="59">
        <f t="shared" si="20"/>
        <v>0</v>
      </c>
      <c r="M31" s="59">
        <f t="shared" si="20"/>
        <v>0</v>
      </c>
      <c r="N31" s="59">
        <f t="shared" si="20"/>
        <v>0</v>
      </c>
      <c r="O31" s="59">
        <f t="shared" si="20"/>
        <v>0</v>
      </c>
      <c r="P31" s="59">
        <f t="shared" si="20"/>
        <v>0</v>
      </c>
      <c r="Q31" s="59">
        <f t="shared" si="20"/>
        <v>0</v>
      </c>
      <c r="R31" s="59">
        <f t="shared" si="20"/>
        <v>0</v>
      </c>
      <c r="S31" s="59">
        <f t="shared" si="20"/>
        <v>0</v>
      </c>
      <c r="T31" s="59">
        <f t="shared" si="20"/>
        <v>0</v>
      </c>
      <c r="U31" s="59">
        <f t="shared" si="20"/>
        <v>0</v>
      </c>
      <c r="V31" s="59">
        <f t="shared" si="20"/>
        <v>0</v>
      </c>
      <c r="W31" s="59">
        <f t="shared" si="20"/>
        <v>0</v>
      </c>
      <c r="Y31" s="61"/>
      <c r="Z31" s="61"/>
      <c r="AA31" s="61"/>
    </row>
    <row r="32" spans="1:33" s="59" customFormat="1" x14ac:dyDescent="0.2">
      <c r="C32" s="62" t="s">
        <v>3</v>
      </c>
      <c r="E32" s="59">
        <f t="shared" si="21"/>
        <v>0</v>
      </c>
      <c r="F32" s="59">
        <f t="shared" si="21"/>
        <v>0</v>
      </c>
      <c r="G32" s="59">
        <f t="shared" si="20"/>
        <v>0</v>
      </c>
      <c r="H32" s="59">
        <f t="shared" si="20"/>
        <v>0</v>
      </c>
      <c r="I32" s="59">
        <f t="shared" si="20"/>
        <v>0</v>
      </c>
      <c r="J32" s="59">
        <f t="shared" si="20"/>
        <v>0</v>
      </c>
      <c r="K32" s="59">
        <f t="shared" si="20"/>
        <v>0</v>
      </c>
      <c r="L32" s="59">
        <f t="shared" si="20"/>
        <v>0</v>
      </c>
      <c r="M32" s="59">
        <f t="shared" si="20"/>
        <v>0</v>
      </c>
      <c r="N32" s="59">
        <f t="shared" si="20"/>
        <v>0</v>
      </c>
      <c r="O32" s="59">
        <f t="shared" si="20"/>
        <v>0</v>
      </c>
      <c r="P32" s="59">
        <f t="shared" si="20"/>
        <v>0</v>
      </c>
      <c r="Q32" s="59">
        <f t="shared" si="20"/>
        <v>0</v>
      </c>
      <c r="R32" s="59">
        <f t="shared" si="20"/>
        <v>0</v>
      </c>
      <c r="S32" s="59">
        <f t="shared" si="20"/>
        <v>0</v>
      </c>
      <c r="T32" s="59">
        <f t="shared" si="20"/>
        <v>0</v>
      </c>
      <c r="U32" s="59">
        <f t="shared" si="20"/>
        <v>0</v>
      </c>
      <c r="V32" s="59">
        <f t="shared" si="20"/>
        <v>0</v>
      </c>
      <c r="W32" s="59">
        <f t="shared" si="20"/>
        <v>0</v>
      </c>
      <c r="Y32" s="61"/>
      <c r="Z32" s="61"/>
      <c r="AA32" s="61"/>
    </row>
    <row r="33" spans="2:27" s="59" customFormat="1" x14ac:dyDescent="0.2">
      <c r="C33" s="62" t="s">
        <v>27</v>
      </c>
      <c r="E33" s="59">
        <f>IF(E13="",0,1)</f>
        <v>0</v>
      </c>
      <c r="F33" s="59">
        <f t="shared" ref="F33:W33" si="22">IF(F13="",0,1)</f>
        <v>0</v>
      </c>
      <c r="G33" s="59">
        <f t="shared" si="22"/>
        <v>0</v>
      </c>
      <c r="H33" s="59">
        <f t="shared" si="22"/>
        <v>0</v>
      </c>
      <c r="I33" s="59">
        <f t="shared" si="22"/>
        <v>0</v>
      </c>
      <c r="J33" s="59">
        <f t="shared" si="22"/>
        <v>0</v>
      </c>
      <c r="K33" s="59">
        <f t="shared" si="22"/>
        <v>0</v>
      </c>
      <c r="L33" s="59">
        <f t="shared" si="22"/>
        <v>0</v>
      </c>
      <c r="M33" s="59">
        <f t="shared" si="22"/>
        <v>0</v>
      </c>
      <c r="N33" s="59">
        <f t="shared" si="22"/>
        <v>0</v>
      </c>
      <c r="O33" s="59">
        <f t="shared" si="22"/>
        <v>0</v>
      </c>
      <c r="P33" s="59">
        <f t="shared" si="22"/>
        <v>0</v>
      </c>
      <c r="Q33" s="59">
        <f t="shared" si="22"/>
        <v>0</v>
      </c>
      <c r="R33" s="59">
        <f>IF(R13="",0,1)</f>
        <v>0</v>
      </c>
      <c r="S33" s="59">
        <f>IF(S13="",0,1)</f>
        <v>0</v>
      </c>
      <c r="T33" s="59">
        <f t="shared" si="22"/>
        <v>0</v>
      </c>
      <c r="U33" s="59">
        <f>IF(U13="",0,1)</f>
        <v>0</v>
      </c>
      <c r="V33" s="59">
        <f>IF(V13="",0,1)</f>
        <v>0</v>
      </c>
      <c r="W33" s="59">
        <f t="shared" si="22"/>
        <v>0</v>
      </c>
      <c r="Y33" s="61"/>
      <c r="Z33" s="61"/>
      <c r="AA33" s="61"/>
    </row>
    <row r="34" spans="2:27" s="59" customFormat="1" ht="25.5" x14ac:dyDescent="0.2">
      <c r="B34" s="64" t="s">
        <v>104</v>
      </c>
      <c r="C34" s="65"/>
      <c r="E34" s="59">
        <f>E29+E30+E31+E32</f>
        <v>0</v>
      </c>
      <c r="F34" s="59">
        <f t="shared" ref="F34:W34" si="23">F29+F30+F31+F32</f>
        <v>2</v>
      </c>
      <c r="G34" s="59">
        <f t="shared" si="23"/>
        <v>2</v>
      </c>
      <c r="H34" s="59">
        <f t="shared" si="23"/>
        <v>2</v>
      </c>
      <c r="I34" s="59">
        <f t="shared" si="23"/>
        <v>2</v>
      </c>
      <c r="J34" s="59">
        <f t="shared" si="23"/>
        <v>0</v>
      </c>
      <c r="K34" s="59">
        <f t="shared" si="23"/>
        <v>2</v>
      </c>
      <c r="L34" s="59">
        <f t="shared" si="23"/>
        <v>1</v>
      </c>
      <c r="M34" s="59">
        <f t="shared" si="23"/>
        <v>2</v>
      </c>
      <c r="N34" s="59">
        <f t="shared" si="23"/>
        <v>1</v>
      </c>
      <c r="O34" s="59">
        <f t="shared" si="23"/>
        <v>2</v>
      </c>
      <c r="P34" s="59">
        <f t="shared" si="23"/>
        <v>1</v>
      </c>
      <c r="Q34" s="59">
        <f t="shared" si="23"/>
        <v>2</v>
      </c>
      <c r="R34" s="59">
        <f t="shared" si="23"/>
        <v>1</v>
      </c>
      <c r="S34" s="59">
        <f t="shared" si="23"/>
        <v>2</v>
      </c>
      <c r="T34" s="59">
        <f t="shared" si="23"/>
        <v>2</v>
      </c>
      <c r="U34" s="59">
        <f t="shared" si="23"/>
        <v>2</v>
      </c>
      <c r="V34" s="59">
        <f t="shared" si="23"/>
        <v>0</v>
      </c>
      <c r="W34" s="59">
        <f t="shared" si="23"/>
        <v>0</v>
      </c>
      <c r="Y34" s="61"/>
      <c r="Z34" s="61"/>
      <c r="AA34" s="61"/>
    </row>
    <row r="35" spans="2:27" s="59" customFormat="1" x14ac:dyDescent="0.2">
      <c r="B35" s="59" t="s">
        <v>90</v>
      </c>
      <c r="C35" s="65" t="s">
        <v>91</v>
      </c>
      <c r="E35" s="59">
        <f>IF(E11&lt;&gt;"",E11/3600*1.2,IF(E12&lt;&gt;"",E12*1.2,0))</f>
        <v>0</v>
      </c>
      <c r="F35" s="59">
        <f>IF(OR(F11&lt;&gt;"",F12&lt;&gt;"",F28=0),IF(F11&lt;&gt;"",F11/3600*1.2,IF(F12&lt;&gt;"",F12*1.2,0)),IF(OR(F28&lt;=4,F28=6),E35,#N/A))</f>
        <v>0.66666666666666663</v>
      </c>
      <c r="G35" s="59">
        <f>IF(OR(G11&lt;&gt;"",G12&lt;&gt;"",G28=0),IF(G11&lt;&gt;"",G11/3600*1.2,IF(G12&lt;&gt;"",G12*1.2,0)),IF(OR(G28&lt;=4,G28=6),F35,IF(G28=5,F35+E35,#N/A)))</f>
        <v>0.66666666666666663</v>
      </c>
      <c r="H35" s="59">
        <f t="shared" ref="H35:Q35" si="24">IF(OR(H11&lt;&gt;"",H12&lt;&gt;"",H28=0),IF(H11&lt;&gt;"",H11/3600*1.2,IF(H12&lt;&gt;"",H12*1.2,0)),IF(OR(H28&lt;=4,H28=6),G35,IF(H28=5,G35+F35,#N/A)))</f>
        <v>0.66666666666666663</v>
      </c>
      <c r="I35" s="59">
        <f t="shared" si="24"/>
        <v>3.333333333333333</v>
      </c>
      <c r="J35" s="59">
        <f t="shared" si="24"/>
        <v>3.9999999999999996</v>
      </c>
      <c r="K35" s="59">
        <f t="shared" si="24"/>
        <v>4</v>
      </c>
      <c r="L35" s="59">
        <f t="shared" si="24"/>
        <v>4</v>
      </c>
      <c r="M35" s="59">
        <f t="shared" si="24"/>
        <v>4</v>
      </c>
      <c r="N35" s="59">
        <f t="shared" si="24"/>
        <v>4</v>
      </c>
      <c r="O35" s="59">
        <f t="shared" si="24"/>
        <v>1.6666666666666665</v>
      </c>
      <c r="P35" s="59">
        <f t="shared" si="24"/>
        <v>1.6666666666666665</v>
      </c>
      <c r="Q35" s="59">
        <f t="shared" si="24"/>
        <v>1.6666666666666665</v>
      </c>
      <c r="R35" s="59">
        <f>IF(OR(R11&lt;&gt;"",R12&lt;&gt;"",R28=0),IF(R11&lt;&gt;"",R11/3600*1.2,IF(R12&lt;&gt;"",R12*1.2,0)),IF(OR(R28&lt;=4,R28=6),Q35,IF(R28=5,Q35+P35,#N/A)))</f>
        <v>1.6666666666666665</v>
      </c>
      <c r="S35" s="59">
        <f>IF(OR(S11&lt;&gt;"",S12&lt;&gt;"",S28=0),IF(S11&lt;&gt;"",S11/3600*1.2,IF(S12&lt;&gt;"",S12*1.2,0)),IF(OR(S28&lt;=4,S28=6),R35,IF(S28=5,R35+Q35,#N/A)))</f>
        <v>1.6666666666666665</v>
      </c>
      <c r="T35" s="59">
        <f>IF(OR(T11&lt;&gt;"",T12&lt;&gt;"",T28=0),IF(T11&lt;&gt;"",T11/3600*1.2,IF(T12&lt;&gt;"",T12*1.2,0)),IF(OR(T28&lt;=4,T28=6),#REF!,IF(T28=5,#REF!+S35,#N/A)))</f>
        <v>1.6666666666666665</v>
      </c>
      <c r="U35" s="59">
        <f>IF(OR(U11&lt;&gt;"",U12&lt;&gt;"",U28=0),IF(U11&lt;&gt;"",U11/3600*1.2,IF(U12&lt;&gt;"",U12*1.2,0)),IF(OR(U28&lt;=4,U28=6),T35,IF(U28=5,T35+#REF!,#N/A)))</f>
        <v>1.6666666666666665</v>
      </c>
      <c r="V35" s="59">
        <f>IF(OR(V11&lt;&gt;"",V12&lt;&gt;"",V28=0),IF(V11&lt;&gt;"",V11/3600*1.2,IF(V12&lt;&gt;"",V12*1.2,0)),IF(OR(V28&lt;=4,V28=6),U35,IF(V28=5,U35+T35,#N/A)))</f>
        <v>0</v>
      </c>
      <c r="W35" s="59">
        <f t="shared" ref="W35" si="25">IF(OR(W11&lt;&gt;"",W12&lt;&gt;"",W28=0),IF(W11&lt;&gt;"",W11/3600*1.2,IF(W12&lt;&gt;"",W12*1.2,0)),IF(OR(W28&lt;=4,W28=6),V35,IF(W28=5,V35+U35,#N/A)))</f>
        <v>0</v>
      </c>
      <c r="Y35" s="61"/>
      <c r="Z35" s="61"/>
      <c r="AA35" s="61"/>
    </row>
    <row r="36" spans="2:27" s="59" customFormat="1" ht="25.5" x14ac:dyDescent="0.2">
      <c r="B36" s="66" t="s">
        <v>132</v>
      </c>
      <c r="C36" s="62" t="s">
        <v>0</v>
      </c>
      <c r="E36" s="59" t="str">
        <f>IF(E29=1,E6,"")</f>
        <v/>
      </c>
      <c r="F36" s="59">
        <f t="shared" ref="F36:W36" si="26">IF(F29=1,F6,"")</f>
        <v>-27</v>
      </c>
      <c r="G36" s="59">
        <f t="shared" si="26"/>
        <v>-27</v>
      </c>
      <c r="H36" s="59">
        <f t="shared" si="26"/>
        <v>-27</v>
      </c>
      <c r="I36" s="59">
        <f t="shared" si="26"/>
        <v>20</v>
      </c>
      <c r="J36" s="59" t="str">
        <f t="shared" si="26"/>
        <v/>
      </c>
      <c r="K36" s="59">
        <f t="shared" si="26"/>
        <v>12.276969485124184</v>
      </c>
      <c r="L36" s="59">
        <f t="shared" si="26"/>
        <v>8</v>
      </c>
      <c r="M36" s="59">
        <f t="shared" si="26"/>
        <v>8</v>
      </c>
      <c r="N36" s="59">
        <f t="shared" si="26"/>
        <v>20</v>
      </c>
      <c r="O36" s="59">
        <f t="shared" si="26"/>
        <v>35</v>
      </c>
      <c r="P36" s="59">
        <f t="shared" si="26"/>
        <v>16</v>
      </c>
      <c r="Q36" s="59">
        <f t="shared" si="26"/>
        <v>16</v>
      </c>
      <c r="R36" s="59">
        <f>IF(R29=1,R6,"")</f>
        <v>20</v>
      </c>
      <c r="S36" s="59">
        <f>IF(S29=1,S6,"")</f>
        <v>20</v>
      </c>
      <c r="T36" s="59">
        <f t="shared" si="26"/>
        <v>20</v>
      </c>
      <c r="U36" s="59">
        <f>IF(U29=1,U6,"")</f>
        <v>20</v>
      </c>
      <c r="V36" s="59" t="str">
        <f>IF(V29=1,V6,"")</f>
        <v/>
      </c>
      <c r="W36" s="59" t="str">
        <f t="shared" si="26"/>
        <v/>
      </c>
      <c r="Y36" s="61"/>
      <c r="Z36" s="61"/>
      <c r="AA36" s="61"/>
    </row>
    <row r="37" spans="2:27" s="59" customFormat="1" x14ac:dyDescent="0.2">
      <c r="C37" s="63" t="s">
        <v>1</v>
      </c>
      <c r="E37" s="59" t="str">
        <f>IF(E30=1,E7/100,"")</f>
        <v/>
      </c>
      <c r="F37" s="59">
        <f t="shared" ref="F37:W37" si="27">IF(F30=1,F7/100,"")</f>
        <v>0.2</v>
      </c>
      <c r="G37" s="59">
        <f t="shared" si="27"/>
        <v>0.2</v>
      </c>
      <c r="H37" s="59">
        <f t="shared" si="27"/>
        <v>0.2</v>
      </c>
      <c r="I37" s="59">
        <f t="shared" si="27"/>
        <v>0.6</v>
      </c>
      <c r="J37" s="59" t="str">
        <f t="shared" si="27"/>
        <v/>
      </c>
      <c r="K37" s="59">
        <f t="shared" si="27"/>
        <v>8.2237877683581581E-3</v>
      </c>
      <c r="L37" s="59" t="str">
        <f t="shared" si="27"/>
        <v/>
      </c>
      <c r="M37" s="59">
        <f t="shared" si="27"/>
        <v>1.0957095429561066E-4</v>
      </c>
      <c r="N37" s="59" t="str">
        <f t="shared" si="27"/>
        <v/>
      </c>
      <c r="O37" s="59">
        <f t="shared" si="27"/>
        <v>0.4</v>
      </c>
      <c r="P37" s="59" t="str">
        <f t="shared" si="27"/>
        <v/>
      </c>
      <c r="Q37" s="59">
        <f t="shared" si="27"/>
        <v>7.5771330367416147E-3</v>
      </c>
      <c r="R37" s="59" t="str">
        <f>IF(R30=1,R7/100,"")</f>
        <v/>
      </c>
      <c r="S37" s="59">
        <f>IF(S30=1,S7/100,"")</f>
        <v>5.889954581965501E-5</v>
      </c>
      <c r="T37" s="59">
        <f t="shared" si="27"/>
        <v>5.8899545819655011E-7</v>
      </c>
      <c r="U37" s="59">
        <f>IF(U30=1,U7/100,"")</f>
        <v>5.889954581965502E-9</v>
      </c>
      <c r="V37" s="59" t="str">
        <f>IF(V30=1,V7/100,"")</f>
        <v/>
      </c>
      <c r="W37" s="59" t="str">
        <f t="shared" si="27"/>
        <v/>
      </c>
      <c r="Y37" s="61"/>
      <c r="Z37" s="61"/>
      <c r="AA37" s="61"/>
    </row>
    <row r="38" spans="2:27" s="59" customFormat="1" x14ac:dyDescent="0.2">
      <c r="C38" s="62" t="s">
        <v>2</v>
      </c>
      <c r="E38" s="59" t="str">
        <f>IF(E31=1,E8,"")</f>
        <v/>
      </c>
      <c r="F38" s="59" t="str">
        <f t="shared" ref="F38:W39" si="28">IF(F31=1,F8,"")</f>
        <v/>
      </c>
      <c r="G38" s="59" t="str">
        <f t="shared" si="28"/>
        <v/>
      </c>
      <c r="H38" s="59" t="str">
        <f t="shared" si="28"/>
        <v/>
      </c>
      <c r="I38" s="59" t="str">
        <f t="shared" si="28"/>
        <v/>
      </c>
      <c r="J38" s="59" t="str">
        <f t="shared" si="28"/>
        <v/>
      </c>
      <c r="K38" s="59" t="str">
        <f t="shared" si="28"/>
        <v/>
      </c>
      <c r="L38" s="59" t="str">
        <f t="shared" si="28"/>
        <v/>
      </c>
      <c r="M38" s="59" t="str">
        <f t="shared" si="28"/>
        <v/>
      </c>
      <c r="N38" s="59" t="str">
        <f t="shared" si="28"/>
        <v/>
      </c>
      <c r="O38" s="59" t="str">
        <f t="shared" si="28"/>
        <v/>
      </c>
      <c r="P38" s="59" t="str">
        <f t="shared" si="28"/>
        <v/>
      </c>
      <c r="Q38" s="59" t="str">
        <f t="shared" si="28"/>
        <v/>
      </c>
      <c r="R38" s="59" t="str">
        <f>IF(R31=1,R8,"")</f>
        <v/>
      </c>
      <c r="S38" s="59" t="str">
        <f>IF(S31=1,S8,"")</f>
        <v/>
      </c>
      <c r="T38" s="59" t="str">
        <f t="shared" si="28"/>
        <v/>
      </c>
      <c r="U38" s="59" t="str">
        <f>IF(U31=1,U8,"")</f>
        <v/>
      </c>
      <c r="V38" s="59" t="str">
        <f>IF(V31=1,V8,"")</f>
        <v/>
      </c>
      <c r="W38" s="59" t="str">
        <f t="shared" si="28"/>
        <v/>
      </c>
      <c r="Y38" s="61"/>
      <c r="Z38" s="61"/>
      <c r="AA38" s="61"/>
    </row>
    <row r="39" spans="2:27" s="59" customFormat="1" x14ac:dyDescent="0.2">
      <c r="C39" s="62" t="s">
        <v>3</v>
      </c>
      <c r="E39" s="59" t="str">
        <f>IF(E32=1,E9,"")</f>
        <v/>
      </c>
      <c r="F39" s="59" t="str">
        <f t="shared" si="28"/>
        <v/>
      </c>
      <c r="G39" s="59" t="str">
        <f t="shared" si="28"/>
        <v/>
      </c>
      <c r="H39" s="59" t="str">
        <f t="shared" si="28"/>
        <v/>
      </c>
      <c r="I39" s="59" t="str">
        <f t="shared" si="28"/>
        <v/>
      </c>
      <c r="J39" s="59" t="str">
        <f t="shared" si="28"/>
        <v/>
      </c>
      <c r="K39" s="59" t="str">
        <f t="shared" si="28"/>
        <v/>
      </c>
      <c r="L39" s="59" t="str">
        <f t="shared" si="28"/>
        <v/>
      </c>
      <c r="M39" s="59" t="str">
        <f t="shared" si="28"/>
        <v/>
      </c>
      <c r="N39" s="59" t="str">
        <f t="shared" si="28"/>
        <v/>
      </c>
      <c r="O39" s="59" t="str">
        <f t="shared" si="28"/>
        <v/>
      </c>
      <c r="P39" s="59" t="str">
        <f t="shared" si="28"/>
        <v/>
      </c>
      <c r="Q39" s="59" t="str">
        <f t="shared" si="28"/>
        <v/>
      </c>
      <c r="R39" s="59" t="str">
        <f>IF(R32=1,R9,"")</f>
        <v/>
      </c>
      <c r="S39" s="59" t="str">
        <f>IF(S32=1,S9,"")</f>
        <v/>
      </c>
      <c r="T39" s="59" t="str">
        <f t="shared" si="28"/>
        <v/>
      </c>
      <c r="U39" s="59" t="str">
        <f>IF(U32=1,U9,"")</f>
        <v/>
      </c>
      <c r="V39" s="59" t="str">
        <f>IF(V32=1,V9,"")</f>
        <v/>
      </c>
      <c r="W39" s="59" t="str">
        <f t="shared" si="28"/>
        <v/>
      </c>
      <c r="Y39" s="61"/>
      <c r="Z39" s="61"/>
      <c r="AA39" s="61"/>
    </row>
    <row r="40" spans="2:27" s="59" customFormat="1" x14ac:dyDescent="0.2">
      <c r="B40" s="59" t="s">
        <v>105</v>
      </c>
      <c r="C40" s="59" t="s">
        <v>36</v>
      </c>
      <c r="E40" s="67" t="b">
        <f>OR(E34&gt;2,E33=1)</f>
        <v>0</v>
      </c>
      <c r="F40" s="67" t="b">
        <f t="shared" ref="F40:W40" si="29">OR(F34&gt;2,F33=1)</f>
        <v>0</v>
      </c>
      <c r="G40" s="67" t="b">
        <f t="shared" si="29"/>
        <v>0</v>
      </c>
      <c r="H40" s="67" t="b">
        <f t="shared" si="29"/>
        <v>0</v>
      </c>
      <c r="I40" s="67" t="b">
        <f t="shared" si="29"/>
        <v>0</v>
      </c>
      <c r="J40" s="67" t="b">
        <f t="shared" si="29"/>
        <v>0</v>
      </c>
      <c r="K40" s="67" t="b">
        <f t="shared" si="29"/>
        <v>0</v>
      </c>
      <c r="L40" s="67" t="b">
        <f t="shared" si="29"/>
        <v>0</v>
      </c>
      <c r="M40" s="111" t="b">
        <f t="shared" si="29"/>
        <v>0</v>
      </c>
      <c r="N40" s="111" t="b">
        <f t="shared" si="29"/>
        <v>0</v>
      </c>
      <c r="O40" s="111" t="b">
        <f t="shared" si="29"/>
        <v>0</v>
      </c>
      <c r="P40" s="111" t="b">
        <f t="shared" si="29"/>
        <v>0</v>
      </c>
      <c r="Q40" s="111" t="b">
        <f t="shared" si="29"/>
        <v>0</v>
      </c>
      <c r="R40" s="111" t="b">
        <f t="shared" si="29"/>
        <v>0</v>
      </c>
      <c r="S40" s="111" t="b">
        <f t="shared" si="29"/>
        <v>0</v>
      </c>
      <c r="T40" s="111" t="b">
        <f t="shared" si="29"/>
        <v>0</v>
      </c>
      <c r="U40" s="111" t="b">
        <f t="shared" si="29"/>
        <v>0</v>
      </c>
      <c r="V40" s="111" t="b">
        <f t="shared" si="29"/>
        <v>0</v>
      </c>
      <c r="W40" s="111" t="b">
        <f t="shared" si="29"/>
        <v>0</v>
      </c>
      <c r="Y40" s="61"/>
      <c r="Z40" s="61"/>
      <c r="AA40" s="61"/>
    </row>
    <row r="41" spans="2:27" s="59" customFormat="1" x14ac:dyDescent="0.2">
      <c r="B41" s="59" t="s">
        <v>47</v>
      </c>
      <c r="C41" s="59" t="s">
        <v>36</v>
      </c>
      <c r="E41" s="67" t="b">
        <f>E34=1</f>
        <v>0</v>
      </c>
      <c r="F41" s="67" t="b">
        <f t="shared" ref="F41:W41" si="30">F34=1</f>
        <v>0</v>
      </c>
      <c r="G41" s="67" t="b">
        <f t="shared" si="30"/>
        <v>0</v>
      </c>
      <c r="H41" s="67" t="b">
        <f t="shared" si="30"/>
        <v>0</v>
      </c>
      <c r="I41" s="67" t="b">
        <f t="shared" si="30"/>
        <v>0</v>
      </c>
      <c r="J41" s="67" t="b">
        <f t="shared" si="30"/>
        <v>0</v>
      </c>
      <c r="K41" s="67" t="b">
        <f t="shared" si="30"/>
        <v>0</v>
      </c>
      <c r="L41" s="67" t="b">
        <f t="shared" si="30"/>
        <v>1</v>
      </c>
      <c r="M41" s="111" t="b">
        <f t="shared" si="30"/>
        <v>0</v>
      </c>
      <c r="N41" s="111" t="b">
        <f t="shared" si="30"/>
        <v>1</v>
      </c>
      <c r="O41" s="111" t="b">
        <f t="shared" si="30"/>
        <v>0</v>
      </c>
      <c r="P41" s="111" t="b">
        <f t="shared" si="30"/>
        <v>1</v>
      </c>
      <c r="Q41" s="111" t="b">
        <f t="shared" si="30"/>
        <v>0</v>
      </c>
      <c r="R41" s="111" t="b">
        <f t="shared" si="30"/>
        <v>1</v>
      </c>
      <c r="S41" s="111" t="b">
        <f t="shared" si="30"/>
        <v>0</v>
      </c>
      <c r="T41" s="111" t="b">
        <f t="shared" si="30"/>
        <v>0</v>
      </c>
      <c r="U41" s="111" t="b">
        <f t="shared" si="30"/>
        <v>0</v>
      </c>
      <c r="V41" s="111" t="b">
        <f t="shared" si="30"/>
        <v>0</v>
      </c>
      <c r="W41" s="111" t="b">
        <f t="shared" si="30"/>
        <v>0</v>
      </c>
      <c r="Y41" s="61"/>
      <c r="Z41" s="61"/>
      <c r="AA41" s="61"/>
    </row>
    <row r="42" spans="2:27" s="59" customFormat="1" x14ac:dyDescent="0.2">
      <c r="B42" s="59" t="s">
        <v>36</v>
      </c>
      <c r="C42" s="59" t="s">
        <v>36</v>
      </c>
      <c r="E42" s="67" t="b">
        <f>E34=0</f>
        <v>1</v>
      </c>
      <c r="F42" s="67" t="b">
        <f t="shared" ref="F42:W42" si="31">F34=0</f>
        <v>0</v>
      </c>
      <c r="G42" s="67" t="b">
        <f t="shared" si="31"/>
        <v>0</v>
      </c>
      <c r="H42" s="67" t="b">
        <f t="shared" si="31"/>
        <v>0</v>
      </c>
      <c r="I42" s="67" t="b">
        <f t="shared" si="31"/>
        <v>0</v>
      </c>
      <c r="J42" s="67" t="b">
        <f t="shared" si="31"/>
        <v>1</v>
      </c>
      <c r="K42" s="67" t="b">
        <f t="shared" si="31"/>
        <v>0</v>
      </c>
      <c r="L42" s="67" t="b">
        <f t="shared" si="31"/>
        <v>0</v>
      </c>
      <c r="M42" s="111" t="b">
        <f t="shared" si="31"/>
        <v>0</v>
      </c>
      <c r="N42" s="111" t="b">
        <f t="shared" si="31"/>
        <v>0</v>
      </c>
      <c r="O42" s="111" t="b">
        <f t="shared" si="31"/>
        <v>0</v>
      </c>
      <c r="P42" s="111" t="b">
        <f t="shared" si="31"/>
        <v>0</v>
      </c>
      <c r="Q42" s="111" t="b">
        <f t="shared" si="31"/>
        <v>0</v>
      </c>
      <c r="R42" s="111" t="b">
        <f t="shared" si="31"/>
        <v>0</v>
      </c>
      <c r="S42" s="111" t="b">
        <f t="shared" si="31"/>
        <v>0</v>
      </c>
      <c r="T42" s="111" t="b">
        <f t="shared" si="31"/>
        <v>0</v>
      </c>
      <c r="U42" s="111" t="b">
        <f t="shared" si="31"/>
        <v>0</v>
      </c>
      <c r="V42" s="111" t="b">
        <f t="shared" si="31"/>
        <v>1</v>
      </c>
      <c r="W42" s="111" t="b">
        <f t="shared" si="31"/>
        <v>1</v>
      </c>
      <c r="Y42" s="61"/>
      <c r="Z42" s="61"/>
      <c r="AA42" s="61"/>
    </row>
    <row r="43" spans="2:27" s="59" customFormat="1" x14ac:dyDescent="0.2">
      <c r="B43" s="65"/>
      <c r="Y43" s="61"/>
      <c r="Z43" s="61"/>
      <c r="AA43" s="61"/>
    </row>
    <row r="44" spans="2:27" s="59" customFormat="1" ht="25.5" x14ac:dyDescent="0.2">
      <c r="B44" s="66" t="s">
        <v>96</v>
      </c>
      <c r="C44" s="62" t="s">
        <v>0</v>
      </c>
      <c r="E44" s="68" t="str">
        <f>""</f>
        <v/>
      </c>
      <c r="F44" s="59">
        <f t="shared" ref="F44:W44" si="32">IF(F29=1,F6,"")</f>
        <v>-27</v>
      </c>
      <c r="G44" s="59">
        <f t="shared" si="32"/>
        <v>-27</v>
      </c>
      <c r="H44" s="59">
        <f t="shared" si="32"/>
        <v>-27</v>
      </c>
      <c r="I44" s="59">
        <f t="shared" si="32"/>
        <v>20</v>
      </c>
      <c r="J44" s="59" t="str">
        <f t="shared" si="32"/>
        <v/>
      </c>
      <c r="K44" s="59">
        <f t="shared" si="32"/>
        <v>12.276969485124184</v>
      </c>
      <c r="L44" s="59">
        <f t="shared" si="32"/>
        <v>8</v>
      </c>
      <c r="M44" s="59">
        <f t="shared" si="32"/>
        <v>8</v>
      </c>
      <c r="N44" s="59">
        <f t="shared" si="32"/>
        <v>20</v>
      </c>
      <c r="O44" s="59">
        <f t="shared" si="32"/>
        <v>35</v>
      </c>
      <c r="P44" s="59">
        <f t="shared" si="32"/>
        <v>16</v>
      </c>
      <c r="Q44" s="59">
        <f t="shared" si="32"/>
        <v>16</v>
      </c>
      <c r="R44" s="59">
        <f>IF(R29=1,R6,"")</f>
        <v>20</v>
      </c>
      <c r="S44" s="59">
        <f>IF(S29=1,S6,"")</f>
        <v>20</v>
      </c>
      <c r="T44" s="59">
        <f t="shared" si="32"/>
        <v>20</v>
      </c>
      <c r="U44" s="59">
        <f>IF(U29=1,U6,"")</f>
        <v>20</v>
      </c>
      <c r="V44" s="59" t="str">
        <f>IF(V29=1,V6,"")</f>
        <v/>
      </c>
      <c r="W44" s="59" t="str">
        <f t="shared" si="32"/>
        <v/>
      </c>
      <c r="Y44" s="61"/>
      <c r="Z44" s="61"/>
      <c r="AA44" s="61"/>
    </row>
    <row r="45" spans="2:27" s="59" customFormat="1" x14ac:dyDescent="0.2">
      <c r="C45" s="63" t="s">
        <v>1</v>
      </c>
      <c r="E45" s="68" t="str">
        <f>""</f>
        <v/>
      </c>
      <c r="F45" s="68" t="str">
        <f>""</f>
        <v/>
      </c>
      <c r="G45" s="68" t="str">
        <f>""</f>
        <v/>
      </c>
      <c r="H45" s="68" t="str">
        <f>""</f>
        <v/>
      </c>
      <c r="I45" s="68" t="str">
        <f>""</f>
        <v/>
      </c>
      <c r="J45" s="68" t="str">
        <f>""</f>
        <v/>
      </c>
      <c r="K45" s="68" t="str">
        <f>""</f>
        <v/>
      </c>
      <c r="L45" s="68" t="str">
        <f>""</f>
        <v/>
      </c>
      <c r="M45" s="68" t="str">
        <f>""</f>
        <v/>
      </c>
      <c r="N45" s="68" t="str">
        <f>""</f>
        <v/>
      </c>
      <c r="O45" s="68" t="str">
        <f>""</f>
        <v/>
      </c>
      <c r="P45" s="68" t="str">
        <f>""</f>
        <v/>
      </c>
      <c r="Q45" s="68" t="str">
        <f>""</f>
        <v/>
      </c>
      <c r="R45" s="68" t="str">
        <f>""</f>
        <v/>
      </c>
      <c r="S45" s="68" t="str">
        <f>""</f>
        <v/>
      </c>
      <c r="T45" s="68" t="str">
        <f>""</f>
        <v/>
      </c>
      <c r="U45" s="68" t="str">
        <f>""</f>
        <v/>
      </c>
      <c r="V45" s="68" t="str">
        <f>""</f>
        <v/>
      </c>
      <c r="W45" s="68" t="str">
        <f>""</f>
        <v/>
      </c>
      <c r="Y45" s="61"/>
      <c r="Z45" s="61"/>
      <c r="AA45" s="61"/>
    </row>
    <row r="46" spans="2:27" s="59" customFormat="1" x14ac:dyDescent="0.2">
      <c r="C46" s="62" t="s">
        <v>2</v>
      </c>
      <c r="E46" s="68" t="str">
        <f>""</f>
        <v/>
      </c>
      <c r="F46" s="69" t="str">
        <f>E18</f>
        <v/>
      </c>
      <c r="G46" s="69">
        <f t="shared" ref="G46:W46" si="33">F18</f>
        <v>6.801154036428593E-2</v>
      </c>
      <c r="H46" s="69">
        <f t="shared" si="33"/>
        <v>6.801154036428593E-2</v>
      </c>
      <c r="I46" s="69">
        <f t="shared" si="33"/>
        <v>6.801154036428593E-2</v>
      </c>
      <c r="J46" s="69">
        <f t="shared" si="33"/>
        <v>9.3757233081908904</v>
      </c>
      <c r="K46" s="69">
        <f t="shared" si="33"/>
        <v>7.8244380135531229</v>
      </c>
      <c r="L46" s="69">
        <f t="shared" si="33"/>
        <v>7.7282240629995516E-2</v>
      </c>
      <c r="M46" s="69">
        <f t="shared" si="33"/>
        <v>7.7282240629995516E-2</v>
      </c>
      <c r="N46" s="69">
        <f t="shared" si="33"/>
        <v>7.727273871375711E-4</v>
      </c>
      <c r="O46" s="69">
        <f t="shared" si="33"/>
        <v>7.727273871375711E-4</v>
      </c>
      <c r="P46" s="69">
        <f t="shared" si="33"/>
        <v>15.17511246915182</v>
      </c>
      <c r="Q46" s="69">
        <f t="shared" si="33"/>
        <v>9.2012211080269264</v>
      </c>
      <c r="R46" s="69">
        <f t="shared" si="33"/>
        <v>9.0684559843778378E-2</v>
      </c>
      <c r="S46" s="69">
        <f t="shared" si="33"/>
        <v>9.0684559843778378E-2</v>
      </c>
      <c r="T46" s="69" t="e">
        <f>#REF!</f>
        <v>#REF!</v>
      </c>
      <c r="U46" s="69">
        <f t="shared" si="33"/>
        <v>9.0671345975486622E-6</v>
      </c>
      <c r="V46" s="69">
        <f t="shared" si="33"/>
        <v>9.0671344667373509E-8</v>
      </c>
      <c r="W46" s="69" t="str">
        <f t="shared" si="33"/>
        <v/>
      </c>
      <c r="Y46" s="61"/>
      <c r="Z46" s="61"/>
      <c r="AA46" s="61"/>
    </row>
    <row r="47" spans="2:27" s="59" customFormat="1" x14ac:dyDescent="0.2">
      <c r="C47" s="62" t="s">
        <v>3</v>
      </c>
      <c r="E47" s="68" t="e">
        <f>IF(E29=1,"",D47+ABS(E13/E35))</f>
        <v>#DIV/0!</v>
      </c>
      <c r="F47" s="68" t="str">
        <f>IF(F29=1,"",E19+ABS(F13/F35))</f>
        <v/>
      </c>
      <c r="G47" s="68" t="str">
        <f t="shared" ref="G47:Q47" si="34">IF(G29=1,"",F19+ABS(G13/G35))</f>
        <v/>
      </c>
      <c r="H47" s="68" t="str">
        <f t="shared" si="34"/>
        <v/>
      </c>
      <c r="I47" s="68" t="str">
        <f t="shared" si="34"/>
        <v/>
      </c>
      <c r="J47" s="68">
        <f t="shared" si="34"/>
        <v>43.997460900850115</v>
      </c>
      <c r="K47" s="68" t="str">
        <f t="shared" si="34"/>
        <v/>
      </c>
      <c r="L47" s="68" t="str">
        <f t="shared" si="34"/>
        <v/>
      </c>
      <c r="M47" s="68" t="str">
        <f t="shared" si="34"/>
        <v/>
      </c>
      <c r="N47" s="68" t="str">
        <f t="shared" si="34"/>
        <v/>
      </c>
      <c r="O47" s="68" t="str">
        <f t="shared" si="34"/>
        <v/>
      </c>
      <c r="P47" s="68" t="str">
        <f t="shared" si="34"/>
        <v/>
      </c>
      <c r="Q47" s="68" t="str">
        <f t="shared" si="34"/>
        <v/>
      </c>
      <c r="R47" s="68" t="str">
        <f>IF(R29=1,"",Q19+ABS(R13/R35))</f>
        <v/>
      </c>
      <c r="S47" s="68" t="str">
        <f>IF(S29=1,"",R19+ABS(S13/S35))</f>
        <v/>
      </c>
      <c r="T47" s="68" t="str">
        <f>IF(T29=1,"",#REF!+ABS(T13/T35))</f>
        <v/>
      </c>
      <c r="U47" s="68" t="str">
        <f>IF(U29=1,"",T19+ABS(U13/U35))</f>
        <v/>
      </c>
      <c r="V47" s="68" t="e">
        <f>IF(V29=1,"",U19+ABS(V13/V35))</f>
        <v>#DIV/0!</v>
      </c>
      <c r="W47" s="68" t="e">
        <f t="shared" ref="W47" si="35">IF(W29=1,"",V19+ABS(W13/W35))</f>
        <v>#VALUE!</v>
      </c>
      <c r="Y47" s="61"/>
      <c r="Z47" s="61"/>
      <c r="AA47" s="61"/>
    </row>
    <row r="48" spans="2:27" s="59" customFormat="1" x14ac:dyDescent="0.2">
      <c r="B48" s="59" t="s">
        <v>105</v>
      </c>
      <c r="C48" s="59" t="s">
        <v>36</v>
      </c>
      <c r="E48" s="67" t="b">
        <f>TRUE</f>
        <v>1</v>
      </c>
      <c r="F48" s="67" t="b">
        <f>OR(F30=1,F31=1,F32=1,(F29+F33)=2)</f>
        <v>1</v>
      </c>
      <c r="G48" s="67" t="b">
        <f t="shared" ref="G48:W48" si="36">OR(G30=1,G31=1,G32=1,(G29+G33)=2)</f>
        <v>1</v>
      </c>
      <c r="H48" s="67" t="b">
        <f t="shared" si="36"/>
        <v>1</v>
      </c>
      <c r="I48" s="67" t="b">
        <f t="shared" si="36"/>
        <v>1</v>
      </c>
      <c r="J48" s="67" t="b">
        <f t="shared" si="36"/>
        <v>0</v>
      </c>
      <c r="K48" s="67" t="b">
        <f t="shared" si="36"/>
        <v>1</v>
      </c>
      <c r="L48" s="67" t="b">
        <f t="shared" si="36"/>
        <v>0</v>
      </c>
      <c r="M48" s="111" t="b">
        <f t="shared" si="36"/>
        <v>1</v>
      </c>
      <c r="N48" s="111" t="b">
        <f t="shared" si="36"/>
        <v>0</v>
      </c>
      <c r="O48" s="111" t="b">
        <f t="shared" si="36"/>
        <v>1</v>
      </c>
      <c r="P48" s="111" t="b">
        <f t="shared" si="36"/>
        <v>0</v>
      </c>
      <c r="Q48" s="111" t="b">
        <f t="shared" si="36"/>
        <v>1</v>
      </c>
      <c r="R48" s="111" t="b">
        <f t="shared" si="36"/>
        <v>0</v>
      </c>
      <c r="S48" s="111" t="b">
        <f t="shared" si="36"/>
        <v>1</v>
      </c>
      <c r="T48" s="111" t="b">
        <f t="shared" si="36"/>
        <v>1</v>
      </c>
      <c r="U48" s="111" t="b">
        <f t="shared" si="36"/>
        <v>1</v>
      </c>
      <c r="V48" s="111" t="b">
        <f t="shared" si="36"/>
        <v>0</v>
      </c>
      <c r="W48" s="111" t="b">
        <f t="shared" si="36"/>
        <v>0</v>
      </c>
      <c r="Y48" s="61"/>
      <c r="Z48" s="61"/>
      <c r="AA48" s="61"/>
    </row>
    <row r="49" spans="2:27" s="59" customFormat="1" x14ac:dyDescent="0.2">
      <c r="B49" s="59" t="s">
        <v>47</v>
      </c>
      <c r="C49" s="59" t="s">
        <v>36</v>
      </c>
      <c r="E49" s="67" t="b">
        <f>FALSE</f>
        <v>0</v>
      </c>
      <c r="F49" s="67" t="b">
        <f>(F29+F33)=0</f>
        <v>0</v>
      </c>
      <c r="G49" s="67" t="b">
        <f t="shared" ref="G49:W49" si="37">(G29+G33)=0</f>
        <v>0</v>
      </c>
      <c r="H49" s="67" t="b">
        <f t="shared" si="37"/>
        <v>0</v>
      </c>
      <c r="I49" s="67" t="b">
        <f t="shared" si="37"/>
        <v>0</v>
      </c>
      <c r="J49" s="67" t="b">
        <f t="shared" si="37"/>
        <v>1</v>
      </c>
      <c r="K49" s="67" t="b">
        <f t="shared" si="37"/>
        <v>0</v>
      </c>
      <c r="L49" s="67" t="b">
        <f t="shared" si="37"/>
        <v>0</v>
      </c>
      <c r="M49" s="111" t="b">
        <f t="shared" si="37"/>
        <v>0</v>
      </c>
      <c r="N49" s="111" t="b">
        <f t="shared" si="37"/>
        <v>0</v>
      </c>
      <c r="O49" s="111" t="b">
        <f t="shared" si="37"/>
        <v>0</v>
      </c>
      <c r="P49" s="111" t="b">
        <f t="shared" si="37"/>
        <v>0</v>
      </c>
      <c r="Q49" s="111" t="b">
        <f t="shared" si="37"/>
        <v>0</v>
      </c>
      <c r="R49" s="111" t="b">
        <f t="shared" si="37"/>
        <v>0</v>
      </c>
      <c r="S49" s="111" t="b">
        <f t="shared" si="37"/>
        <v>0</v>
      </c>
      <c r="T49" s="111" t="b">
        <f t="shared" si="37"/>
        <v>0</v>
      </c>
      <c r="U49" s="111" t="b">
        <f t="shared" si="37"/>
        <v>0</v>
      </c>
      <c r="V49" s="111" t="b">
        <f t="shared" si="37"/>
        <v>1</v>
      </c>
      <c r="W49" s="111" t="b">
        <f t="shared" si="37"/>
        <v>1</v>
      </c>
      <c r="Y49" s="61"/>
      <c r="Z49" s="61"/>
      <c r="AA49" s="61"/>
    </row>
    <row r="50" spans="2:27" s="59" customFormat="1" x14ac:dyDescent="0.2">
      <c r="B50" s="59" t="s">
        <v>36</v>
      </c>
      <c r="C50" s="59" t="s">
        <v>36</v>
      </c>
      <c r="E50" s="67" t="b">
        <f>FALSE</f>
        <v>0</v>
      </c>
      <c r="F50" s="67" t="b">
        <f>FALSE</f>
        <v>0</v>
      </c>
      <c r="G50" s="67" t="b">
        <f>FALSE</f>
        <v>0</v>
      </c>
      <c r="H50" s="67" t="b">
        <f>FALSE</f>
        <v>0</v>
      </c>
      <c r="I50" s="67" t="b">
        <f>FALSE</f>
        <v>0</v>
      </c>
      <c r="J50" s="67" t="b">
        <f>FALSE</f>
        <v>0</v>
      </c>
      <c r="K50" s="67" t="b">
        <f>FALSE</f>
        <v>0</v>
      </c>
      <c r="L50" s="67" t="b">
        <f>FALSE</f>
        <v>0</v>
      </c>
      <c r="M50" s="111" t="b">
        <f>FALSE</f>
        <v>0</v>
      </c>
      <c r="N50" s="111" t="b">
        <f>FALSE</f>
        <v>0</v>
      </c>
      <c r="O50" s="111" t="b">
        <f>FALSE</f>
        <v>0</v>
      </c>
      <c r="P50" s="111" t="b">
        <f>FALSE</f>
        <v>0</v>
      </c>
      <c r="Q50" s="111" t="b">
        <f>FALSE</f>
        <v>0</v>
      </c>
      <c r="R50" s="111" t="b">
        <f>FALSE</f>
        <v>0</v>
      </c>
      <c r="S50" s="111" t="b">
        <f>FALSE</f>
        <v>0</v>
      </c>
      <c r="T50" s="111" t="b">
        <f>FALSE</f>
        <v>0</v>
      </c>
      <c r="U50" s="111" t="b">
        <f>FALSE</f>
        <v>0</v>
      </c>
      <c r="V50" s="111" t="b">
        <f>FALSE</f>
        <v>0</v>
      </c>
      <c r="W50" s="111" t="b">
        <f>FALSE</f>
        <v>0</v>
      </c>
      <c r="Y50" s="61"/>
      <c r="Z50" s="61"/>
      <c r="AA50" s="61"/>
    </row>
    <row r="51" spans="2:27" s="59" customFormat="1" x14ac:dyDescent="0.2">
      <c r="B51" s="65"/>
      <c r="E51" s="68"/>
      <c r="Y51" s="61"/>
      <c r="Z51" s="61"/>
      <c r="AA51" s="61"/>
    </row>
    <row r="52" spans="2:27" s="59" customFormat="1" ht="25.5" x14ac:dyDescent="0.2">
      <c r="B52" s="66" t="s">
        <v>97</v>
      </c>
      <c r="C52" s="62" t="s">
        <v>0</v>
      </c>
      <c r="E52" s="68" t="str">
        <f>""</f>
        <v/>
      </c>
      <c r="F52" s="59">
        <f>IF(F29=1,F6,"")</f>
        <v>-27</v>
      </c>
      <c r="G52" s="59">
        <f t="shared" ref="G52:W52" si="38">IF(G29=1,G6,"")</f>
        <v>-27</v>
      </c>
      <c r="H52" s="59">
        <f t="shared" si="38"/>
        <v>-27</v>
      </c>
      <c r="I52" s="59">
        <f t="shared" si="38"/>
        <v>20</v>
      </c>
      <c r="J52" s="59" t="str">
        <f t="shared" si="38"/>
        <v/>
      </c>
      <c r="K52" s="59">
        <f t="shared" si="38"/>
        <v>12.276969485124184</v>
      </c>
      <c r="L52" s="59">
        <f t="shared" si="38"/>
        <v>8</v>
      </c>
      <c r="M52" s="59">
        <f t="shared" si="38"/>
        <v>8</v>
      </c>
      <c r="N52" s="59">
        <f t="shared" si="38"/>
        <v>20</v>
      </c>
      <c r="O52" s="59">
        <f t="shared" si="38"/>
        <v>35</v>
      </c>
      <c r="P52" s="59">
        <f t="shared" si="38"/>
        <v>16</v>
      </c>
      <c r="Q52" s="59">
        <f t="shared" si="38"/>
        <v>16</v>
      </c>
      <c r="R52" s="59">
        <f>IF(R29=1,R6,"")</f>
        <v>20</v>
      </c>
      <c r="S52" s="59">
        <f>IF(S29=1,S6,"")</f>
        <v>20</v>
      </c>
      <c r="T52" s="59">
        <f t="shared" si="38"/>
        <v>20</v>
      </c>
      <c r="U52" s="59">
        <f>IF(U29=1,U6,"")</f>
        <v>20</v>
      </c>
      <c r="V52" s="59" t="str">
        <f>IF(V29=1,V6,"")</f>
        <v/>
      </c>
      <c r="W52" s="59" t="str">
        <f t="shared" si="38"/>
        <v/>
      </c>
      <c r="Y52" s="61"/>
      <c r="Z52" s="61"/>
      <c r="AA52" s="61"/>
    </row>
    <row r="53" spans="2:27" s="59" customFormat="1" x14ac:dyDescent="0.2">
      <c r="C53" s="63" t="s">
        <v>1</v>
      </c>
      <c r="E53" s="68" t="str">
        <f>""</f>
        <v/>
      </c>
      <c r="F53" s="59" t="str">
        <f>""</f>
        <v/>
      </c>
      <c r="G53" s="59" t="str">
        <f>""</f>
        <v/>
      </c>
      <c r="H53" s="59" t="str">
        <f>""</f>
        <v/>
      </c>
      <c r="I53" s="59" t="str">
        <f>""</f>
        <v/>
      </c>
      <c r="J53" s="59" t="str">
        <f>""</f>
        <v/>
      </c>
      <c r="K53" s="59" t="str">
        <f>""</f>
        <v/>
      </c>
      <c r="L53" s="59" t="str">
        <f>""</f>
        <v/>
      </c>
      <c r="M53" s="59" t="str">
        <f>""</f>
        <v/>
      </c>
      <c r="N53" s="59" t="str">
        <f>""</f>
        <v/>
      </c>
      <c r="O53" s="59" t="str">
        <f>""</f>
        <v/>
      </c>
      <c r="P53" s="59" t="str">
        <f>""</f>
        <v/>
      </c>
      <c r="Q53" s="59" t="str">
        <f>""</f>
        <v/>
      </c>
      <c r="R53" s="59" t="str">
        <f>""</f>
        <v/>
      </c>
      <c r="S53" s="59" t="str">
        <f>""</f>
        <v/>
      </c>
      <c r="T53" s="59" t="str">
        <f>""</f>
        <v/>
      </c>
      <c r="U53" s="59" t="str">
        <f>""</f>
        <v/>
      </c>
      <c r="V53" s="59" t="str">
        <f>""</f>
        <v/>
      </c>
      <c r="W53" s="59" t="str">
        <f>""</f>
        <v/>
      </c>
      <c r="Y53" s="61"/>
      <c r="Z53" s="61"/>
      <c r="AA53" s="61"/>
    </row>
    <row r="54" spans="2:27" s="59" customFormat="1" x14ac:dyDescent="0.2">
      <c r="C54" s="62" t="s">
        <v>2</v>
      </c>
      <c r="E54" s="68" t="str">
        <f>""</f>
        <v/>
      </c>
      <c r="F54" s="59" t="str">
        <f>IF(F33=1,MIN(E18,E18+(xchladice-E18)*(E19-F55)/(E19-Hchladice)),IF(AND(F29=1,xchladice&gt;=E18),E18,""))</f>
        <v/>
      </c>
      <c r="G54" s="59">
        <f t="shared" ref="G54:N54" si="39">IF(G33=1,MIN(F18,F18+(xchladice-F18)*(F19-G55)/(F19-Hchladice)),IF(AND(G29=1,xchladice&gt;=F18),F18,""))</f>
        <v>6.801154036428593E-2</v>
      </c>
      <c r="H54" s="59">
        <f t="shared" si="39"/>
        <v>6.801154036428593E-2</v>
      </c>
      <c r="I54" s="59">
        <f t="shared" si="39"/>
        <v>6.801154036428593E-2</v>
      </c>
      <c r="J54" s="59" t="str">
        <f t="shared" si="39"/>
        <v/>
      </c>
      <c r="K54" s="59" t="str">
        <f t="shared" si="39"/>
        <v/>
      </c>
      <c r="L54" s="59">
        <f t="shared" si="39"/>
        <v>7.7282240629995516E-2</v>
      </c>
      <c r="M54" s="59">
        <f t="shared" si="39"/>
        <v>7.7282240629995516E-2</v>
      </c>
      <c r="N54" s="59">
        <f t="shared" si="39"/>
        <v>7.727273871375711E-4</v>
      </c>
      <c r="O54" s="59">
        <f t="shared" ref="O54" si="40">IF(O33=1,MIN(N18,N18+(xchladice-N18)*(N19-O55)/(N19-Hchladice)),IF(AND(O29=1,xchladice&gt;=N18),N18,""))</f>
        <v>7.727273871375711E-4</v>
      </c>
      <c r="P54" s="59" t="str">
        <f t="shared" ref="P54" si="41">IF(P33=1,MIN(O18,O18+(xchladice-O18)*(O19-P55)/(O19-Hchladice)),IF(AND(P29=1,xchladice&gt;=O18),O18,""))</f>
        <v/>
      </c>
      <c r="Q54" s="59" t="str">
        <f t="shared" ref="Q54" si="42">IF(Q33=1,MIN(P18,P18+(xchladice-P18)*(P19-Q55)/(P19-Hchladice)),IF(AND(Q29=1,xchladice&gt;=P18),P18,""))</f>
        <v/>
      </c>
      <c r="R54" s="59">
        <f t="shared" ref="R54" si="43">IF(R33=1,MIN(Q18,Q18+(xchladice-Q18)*(Q19-R55)/(Q19-Hchladice)),IF(AND(R29=1,xchladice&gt;=Q18),Q18,""))</f>
        <v>9.0684559843778378E-2</v>
      </c>
      <c r="S54" s="59">
        <f t="shared" ref="S54" si="44">IF(S33=1,MIN(R18,R18+(xchladice-R18)*(R19-S55)/(R19-Hchladice)),IF(AND(S29=1,xchladice&gt;=R18),R18,""))</f>
        <v>9.0684559843778378E-2</v>
      </c>
      <c r="T54" s="59" t="e">
        <f>IF(T33=1,MIN(#REF!,#REF!+(xchladice-#REF!)*(#REF!-T55)/(#REF!-Hchladice)),IF(AND(T29=1,xchladice&gt;=#REF!),#REF!,""))</f>
        <v>#REF!</v>
      </c>
      <c r="U54" s="59">
        <f t="shared" ref="U54" si="45">IF(U33=1,MIN(T18,T18+(xchladice-T18)*(T19-U55)/(T19-Hchladice)),IF(AND(U29=1,xchladice&gt;=T18),T18,""))</f>
        <v>9.0671345975486622E-6</v>
      </c>
      <c r="V54" s="59" t="str">
        <f t="shared" ref="V54" si="46">IF(V33=1,MIN(U18,U18+(xchladice-U18)*(U19-V55)/(U19-Hchladice)),IF(AND(V29=1,xchladice&gt;=U18),U18,""))</f>
        <v/>
      </c>
      <c r="W54" s="59" t="str">
        <f t="shared" ref="W54" si="47">IF(W33=1,MIN(V18,V18+(xchladice-V18)*(V19-W55)/(V19-Hchladice)),IF(AND(W29=1,xchladice&gt;=V18),V18,""))</f>
        <v/>
      </c>
      <c r="Y54" s="61"/>
      <c r="Z54" s="61"/>
      <c r="AA54" s="61"/>
    </row>
    <row r="55" spans="2:27" s="59" customFormat="1" x14ac:dyDescent="0.2">
      <c r="C55" s="62" t="s">
        <v>3</v>
      </c>
      <c r="E55" s="68" t="str">
        <f>""</f>
        <v/>
      </c>
      <c r="F55" s="59" t="e">
        <f>IF(F33=1,E19-ABS(F13/F35),IF(xchladice&lt;E18,E19-(E19-Hchladice)*(F6-E16)/(Tchladice-E16),""))</f>
        <v>#VALUE!</v>
      </c>
      <c r="G55" s="59" t="str">
        <f t="shared" ref="G55:N55" si="48">IF(G33=1,F19-ABS(G13/G35),IF(xchladice&lt;F18,F19-(F19-Hchladice)*(G6-F16)/(Tchladice-F16),""))</f>
        <v/>
      </c>
      <c r="H55" s="59" t="str">
        <f t="shared" si="48"/>
        <v/>
      </c>
      <c r="I55" s="59" t="str">
        <f t="shared" si="48"/>
        <v/>
      </c>
      <c r="J55" s="59">
        <f t="shared" si="48"/>
        <v>10.594473166786877</v>
      </c>
      <c r="K55" s="59">
        <f t="shared" si="48"/>
        <v>32.147330971190769</v>
      </c>
      <c r="L55" s="59" t="str">
        <f t="shared" si="48"/>
        <v/>
      </c>
      <c r="M55" s="59" t="str">
        <f t="shared" si="48"/>
        <v/>
      </c>
      <c r="N55" s="59" t="str">
        <f t="shared" si="48"/>
        <v/>
      </c>
      <c r="O55" s="59" t="str">
        <f t="shared" ref="O55" si="49">IF(O33=1,N19-ABS(O13/O35),IF(xchladice&lt;N18,N19-(N19-Hchladice)*(O6-N16)/(Tchladice-N16),""))</f>
        <v/>
      </c>
      <c r="P55" s="59">
        <f t="shared" ref="P55" si="50">IF(P33=1,O19-ABS(P13/P35),IF(xchladice&lt;O18,O19-(O19-Hchladice)*(P6-O16)/(Tchladice-O16),""))</f>
        <v>39.446082331350226</v>
      </c>
      <c r="Q55" s="59">
        <f t="shared" ref="Q55" si="51">IF(Q33=1,P19-ABS(Q13/Q35),IF(xchladice&lt;P18,P19-(P19-Hchladice)*(Q6-P16)/(Tchladice-P16),""))</f>
        <v>39.446082331350226</v>
      </c>
      <c r="R55" s="59" t="str">
        <f>IF(R33=1,Q19-ABS(R13/R35),IF(xchladice&lt;Q18,Q19-(Q19-Hchladice)*(R6-Q16)/(Tchladice-Q16),""))</f>
        <v/>
      </c>
      <c r="S55" s="59" t="str">
        <f>IF(S33=1,R19-ABS(S13/S35),IF(xchladice&lt;R18,R19-(R19-Hchladice)*(S6-R16)/(Tchladice-R16),""))</f>
        <v/>
      </c>
      <c r="T55" s="59" t="e">
        <f>IF(T33=1,#REF!-ABS(T13/T35),IF(xchladice&lt;#REF!,#REF!-(#REF!-Hchladice)*(T6-#REF!)/(Tchladice-#REF!),""))</f>
        <v>#REF!</v>
      </c>
      <c r="U55" s="59" t="str">
        <f>IF(U33=1,T19-ABS(U13/U35),IF(xchladice&lt;T18,T19-(T19-Hchladice)*(U6-T16)/(Tchladice-T16),""))</f>
        <v/>
      </c>
      <c r="V55" s="59" t="str">
        <f>IF(V33=1,U19-ABS(V13/V35),IF(xchladice&lt;U18,U19-(U19-Hchladice)*(V6-U16)/(Tchladice-U16),""))</f>
        <v/>
      </c>
      <c r="W55" s="59" t="e">
        <f t="shared" ref="W55" si="52">IF(W33=1,V19-ABS(W13/W35),IF(xchladice&lt;V18,V19-(V19-Hchladice)*(W6-V16)/(Tchladice-V16),""))</f>
        <v>#VALUE!</v>
      </c>
      <c r="Y55" s="61"/>
      <c r="Z55" s="61"/>
      <c r="AA55" s="61"/>
    </row>
    <row r="56" spans="2:27" s="59" customFormat="1" x14ac:dyDescent="0.2">
      <c r="B56" s="59" t="s">
        <v>105</v>
      </c>
      <c r="C56" s="59" t="s">
        <v>36</v>
      </c>
      <c r="E56" s="67" t="b">
        <f>TRUE</f>
        <v>1</v>
      </c>
      <c r="F56" s="67" t="b">
        <f>OR(F30=1,F31=1,F32=1,(F29+F33)=2)</f>
        <v>1</v>
      </c>
      <c r="G56" s="67" t="b">
        <f t="shared" ref="G56:W56" si="53">OR(G30=1,G31=1,G32=1,(G29+G33)=2)</f>
        <v>1</v>
      </c>
      <c r="H56" s="67" t="b">
        <f t="shared" si="53"/>
        <v>1</v>
      </c>
      <c r="I56" s="67" t="b">
        <f t="shared" si="53"/>
        <v>1</v>
      </c>
      <c r="J56" s="67" t="b">
        <f t="shared" si="53"/>
        <v>0</v>
      </c>
      <c r="K56" s="67" t="b">
        <f t="shared" si="53"/>
        <v>1</v>
      </c>
      <c r="L56" s="67" t="b">
        <f t="shared" si="53"/>
        <v>0</v>
      </c>
      <c r="M56" s="111" t="b">
        <f t="shared" si="53"/>
        <v>1</v>
      </c>
      <c r="N56" s="111" t="b">
        <f t="shared" si="53"/>
        <v>0</v>
      </c>
      <c r="O56" s="111" t="b">
        <f t="shared" si="53"/>
        <v>1</v>
      </c>
      <c r="P56" s="111" t="b">
        <f t="shared" si="53"/>
        <v>0</v>
      </c>
      <c r="Q56" s="111" t="b">
        <f t="shared" si="53"/>
        <v>1</v>
      </c>
      <c r="R56" s="111" t="b">
        <f t="shared" si="53"/>
        <v>0</v>
      </c>
      <c r="S56" s="111" t="b">
        <f t="shared" si="53"/>
        <v>1</v>
      </c>
      <c r="T56" s="111" t="b">
        <f t="shared" si="53"/>
        <v>1</v>
      </c>
      <c r="U56" s="111" t="b">
        <f t="shared" si="53"/>
        <v>1</v>
      </c>
      <c r="V56" s="111" t="b">
        <f t="shared" si="53"/>
        <v>0</v>
      </c>
      <c r="W56" s="111" t="b">
        <f t="shared" si="53"/>
        <v>0</v>
      </c>
      <c r="Y56" s="61"/>
      <c r="Z56" s="61"/>
      <c r="AA56" s="61"/>
    </row>
    <row r="57" spans="2:27" s="59" customFormat="1" x14ac:dyDescent="0.2">
      <c r="B57" s="59" t="s">
        <v>47</v>
      </c>
      <c r="C57" s="59" t="s">
        <v>36</v>
      </c>
      <c r="E57" s="67" t="b">
        <f>FALSE</f>
        <v>0</v>
      </c>
      <c r="F57" s="67" t="b">
        <f>(F29+F33)=0</f>
        <v>0</v>
      </c>
      <c r="G57" s="67" t="b">
        <f t="shared" ref="G57:W57" si="54">(G29+G33)=0</f>
        <v>0</v>
      </c>
      <c r="H57" s="67" t="b">
        <f t="shared" si="54"/>
        <v>0</v>
      </c>
      <c r="I57" s="67" t="b">
        <f t="shared" si="54"/>
        <v>0</v>
      </c>
      <c r="J57" s="67" t="b">
        <f t="shared" si="54"/>
        <v>1</v>
      </c>
      <c r="K57" s="67" t="b">
        <f t="shared" si="54"/>
        <v>0</v>
      </c>
      <c r="L57" s="67" t="b">
        <f t="shared" si="54"/>
        <v>0</v>
      </c>
      <c r="M57" s="111" t="b">
        <f t="shared" si="54"/>
        <v>0</v>
      </c>
      <c r="N57" s="111" t="b">
        <f t="shared" si="54"/>
        <v>0</v>
      </c>
      <c r="O57" s="111" t="b">
        <f t="shared" si="54"/>
        <v>0</v>
      </c>
      <c r="P57" s="111" t="b">
        <f t="shared" si="54"/>
        <v>0</v>
      </c>
      <c r="Q57" s="111" t="b">
        <f t="shared" si="54"/>
        <v>0</v>
      </c>
      <c r="R57" s="111" t="b">
        <f t="shared" si="54"/>
        <v>0</v>
      </c>
      <c r="S57" s="111" t="b">
        <f t="shared" si="54"/>
        <v>0</v>
      </c>
      <c r="T57" s="111" t="b">
        <f t="shared" si="54"/>
        <v>0</v>
      </c>
      <c r="U57" s="111" t="b">
        <f t="shared" si="54"/>
        <v>0</v>
      </c>
      <c r="V57" s="111" t="b">
        <f t="shared" si="54"/>
        <v>1</v>
      </c>
      <c r="W57" s="111" t="b">
        <f t="shared" si="54"/>
        <v>1</v>
      </c>
      <c r="Y57" s="61"/>
      <c r="Z57" s="61"/>
      <c r="AA57" s="61"/>
    </row>
    <row r="58" spans="2:27" s="59" customFormat="1" x14ac:dyDescent="0.2">
      <c r="B58" s="59" t="s">
        <v>36</v>
      </c>
      <c r="C58" s="59" t="s">
        <v>36</v>
      </c>
      <c r="E58" s="67" t="b">
        <f>FALSE</f>
        <v>0</v>
      </c>
      <c r="F58" s="67" t="b">
        <f>FALSE</f>
        <v>0</v>
      </c>
      <c r="G58" s="67" t="b">
        <f>FALSE</f>
        <v>0</v>
      </c>
      <c r="H58" s="67" t="b">
        <f>FALSE</f>
        <v>0</v>
      </c>
      <c r="I58" s="67" t="b">
        <f>FALSE</f>
        <v>0</v>
      </c>
      <c r="J58" s="67" t="b">
        <f>FALSE</f>
        <v>0</v>
      </c>
      <c r="K58" s="67" t="b">
        <f>FALSE</f>
        <v>0</v>
      </c>
      <c r="L58" s="67" t="b">
        <f>FALSE</f>
        <v>0</v>
      </c>
      <c r="M58" s="111" t="b">
        <f>FALSE</f>
        <v>0</v>
      </c>
      <c r="N58" s="111" t="b">
        <f>FALSE</f>
        <v>0</v>
      </c>
      <c r="O58" s="111" t="b">
        <f>FALSE</f>
        <v>0</v>
      </c>
      <c r="P58" s="111" t="b">
        <f>FALSE</f>
        <v>0</v>
      </c>
      <c r="Q58" s="111" t="b">
        <f>FALSE</f>
        <v>0</v>
      </c>
      <c r="R58" s="111" t="b">
        <f>FALSE</f>
        <v>0</v>
      </c>
      <c r="S58" s="111" t="b">
        <f>FALSE</f>
        <v>0</v>
      </c>
      <c r="T58" s="111" t="b">
        <f>FALSE</f>
        <v>0</v>
      </c>
      <c r="U58" s="111" t="b">
        <f>FALSE</f>
        <v>0</v>
      </c>
      <c r="V58" s="111" t="b">
        <f>FALSE</f>
        <v>0</v>
      </c>
      <c r="W58" s="111" t="b">
        <f>FALSE</f>
        <v>0</v>
      </c>
      <c r="Y58" s="61"/>
      <c r="Z58" s="61"/>
      <c r="AA58" s="61"/>
    </row>
    <row r="59" spans="2:27" s="59" customFormat="1" x14ac:dyDescent="0.2">
      <c r="B59" s="65"/>
      <c r="E59" s="68"/>
      <c r="Y59" s="61"/>
      <c r="Z59" s="61"/>
      <c r="AA59" s="61"/>
    </row>
    <row r="60" spans="2:27" s="59" customFormat="1" ht="38.25" x14ac:dyDescent="0.2">
      <c r="B60" s="66" t="s">
        <v>102</v>
      </c>
      <c r="C60" s="62" t="s">
        <v>0</v>
      </c>
      <c r="E60" s="68" t="str">
        <f>""</f>
        <v/>
      </c>
      <c r="F60" s="59">
        <f>IF(F29=1,MAX(F6,E21),"")</f>
        <v>-27</v>
      </c>
      <c r="G60" s="59">
        <f t="shared" ref="G60:W60" si="55">IF(G29=1,G6,"")</f>
        <v>-27</v>
      </c>
      <c r="H60" s="59">
        <f t="shared" si="55"/>
        <v>-27</v>
      </c>
      <c r="I60" s="59">
        <f t="shared" si="55"/>
        <v>20</v>
      </c>
      <c r="J60" s="59" t="str">
        <f t="shared" si="55"/>
        <v/>
      </c>
      <c r="K60" s="59">
        <f t="shared" si="55"/>
        <v>12.276969485124184</v>
      </c>
      <c r="L60" s="59">
        <f t="shared" si="55"/>
        <v>8</v>
      </c>
      <c r="M60" s="59">
        <f t="shared" si="55"/>
        <v>8</v>
      </c>
      <c r="N60" s="59">
        <f t="shared" si="55"/>
        <v>20</v>
      </c>
      <c r="O60" s="59">
        <f t="shared" si="55"/>
        <v>35</v>
      </c>
      <c r="P60" s="59">
        <f t="shared" si="55"/>
        <v>16</v>
      </c>
      <c r="Q60" s="59">
        <f t="shared" si="55"/>
        <v>16</v>
      </c>
      <c r="R60" s="59">
        <f>IF(R29=1,R6,"")</f>
        <v>20</v>
      </c>
      <c r="S60" s="59">
        <f>IF(S29=1,S6,"")</f>
        <v>20</v>
      </c>
      <c r="T60" s="59">
        <f t="shared" si="55"/>
        <v>20</v>
      </c>
      <c r="U60" s="59">
        <f>IF(U29=1,U6,"")</f>
        <v>20</v>
      </c>
      <c r="V60" s="59" t="str">
        <f>IF(V29=1,V6,"")</f>
        <v/>
      </c>
      <c r="W60" s="59" t="str">
        <f t="shared" si="55"/>
        <v/>
      </c>
      <c r="Y60" s="61"/>
      <c r="Z60" s="61"/>
      <c r="AA60" s="61"/>
    </row>
    <row r="61" spans="2:27" s="59" customFormat="1" x14ac:dyDescent="0.2">
      <c r="C61" s="63" t="s">
        <v>1</v>
      </c>
      <c r="E61" s="68" t="str">
        <f>""</f>
        <v/>
      </c>
      <c r="F61" s="59">
        <f>IF(F30=1,F7/100,"")</f>
        <v>0.2</v>
      </c>
      <c r="G61" s="59">
        <f t="shared" ref="G61:W61" si="56">IF(G30=1,G7/100,"")</f>
        <v>0.2</v>
      </c>
      <c r="H61" s="59">
        <f t="shared" si="56"/>
        <v>0.2</v>
      </c>
      <c r="I61" s="59">
        <f t="shared" si="56"/>
        <v>0.6</v>
      </c>
      <c r="J61" s="59" t="str">
        <f t="shared" si="56"/>
        <v/>
      </c>
      <c r="K61" s="59">
        <f t="shared" si="56"/>
        <v>8.2237877683581581E-3</v>
      </c>
      <c r="L61" s="59" t="str">
        <f t="shared" si="56"/>
        <v/>
      </c>
      <c r="M61" s="59">
        <f t="shared" si="56"/>
        <v>1.0957095429561066E-4</v>
      </c>
      <c r="N61" s="59" t="str">
        <f t="shared" si="56"/>
        <v/>
      </c>
      <c r="O61" s="59">
        <f t="shared" si="56"/>
        <v>0.4</v>
      </c>
      <c r="P61" s="59" t="str">
        <f t="shared" si="56"/>
        <v/>
      </c>
      <c r="Q61" s="59">
        <f t="shared" si="56"/>
        <v>7.5771330367416147E-3</v>
      </c>
      <c r="R61" s="59" t="str">
        <f>IF(R30=1,R7/100,"")</f>
        <v/>
      </c>
      <c r="S61" s="59">
        <f>IF(S30=1,S7/100,"")</f>
        <v>5.889954581965501E-5</v>
      </c>
      <c r="T61" s="59">
        <f t="shared" si="56"/>
        <v>5.8899545819655011E-7</v>
      </c>
      <c r="U61" s="59">
        <f>IF(U30=1,U7/100,"")</f>
        <v>5.889954581965502E-9</v>
      </c>
      <c r="V61" s="59" t="str">
        <f>IF(V30=1,V7/100,"")</f>
        <v/>
      </c>
      <c r="W61" s="59" t="str">
        <f t="shared" si="56"/>
        <v/>
      </c>
      <c r="Y61" s="61"/>
      <c r="Z61" s="61"/>
      <c r="AA61" s="61"/>
    </row>
    <row r="62" spans="2:27" s="59" customFormat="1" x14ac:dyDescent="0.2">
      <c r="C62" s="62" t="s">
        <v>2</v>
      </c>
      <c r="E62" s="68" t="str">
        <f>""</f>
        <v/>
      </c>
      <c r="F62" s="59" t="str">
        <f>IF(F31=1,F8,"")</f>
        <v/>
      </c>
      <c r="G62" s="59" t="str">
        <f t="shared" ref="G62:W62" si="57">IF(G31=1,G8,"")</f>
        <v/>
      </c>
      <c r="H62" s="59" t="str">
        <f t="shared" si="57"/>
        <v/>
      </c>
      <c r="I62" s="59" t="str">
        <f t="shared" si="57"/>
        <v/>
      </c>
      <c r="J62" s="59" t="str">
        <f t="shared" si="57"/>
        <v/>
      </c>
      <c r="K62" s="59" t="str">
        <f t="shared" si="57"/>
        <v/>
      </c>
      <c r="L62" s="59" t="str">
        <f t="shared" si="57"/>
        <v/>
      </c>
      <c r="M62" s="59" t="str">
        <f t="shared" si="57"/>
        <v/>
      </c>
      <c r="N62" s="59" t="str">
        <f t="shared" si="57"/>
        <v/>
      </c>
      <c r="O62" s="59" t="str">
        <f t="shared" si="57"/>
        <v/>
      </c>
      <c r="P62" s="59" t="str">
        <f t="shared" si="57"/>
        <v/>
      </c>
      <c r="Q62" s="59" t="str">
        <f t="shared" si="57"/>
        <v/>
      </c>
      <c r="R62" s="59" t="str">
        <f>IF(R31=1,R8,"")</f>
        <v/>
      </c>
      <c r="S62" s="59" t="str">
        <f>IF(S31=1,S8,"")</f>
        <v/>
      </c>
      <c r="T62" s="59" t="str">
        <f t="shared" si="57"/>
        <v/>
      </c>
      <c r="U62" s="59" t="str">
        <f>IF(U31=1,U8,"")</f>
        <v/>
      </c>
      <c r="V62" s="59" t="str">
        <f>IF(V31=1,V8,"")</f>
        <v/>
      </c>
      <c r="W62" s="59" t="str">
        <f t="shared" si="57"/>
        <v/>
      </c>
      <c r="Y62" s="61"/>
      <c r="Z62" s="61"/>
      <c r="AA62" s="61"/>
    </row>
    <row r="63" spans="2:27" s="59" customFormat="1" x14ac:dyDescent="0.2">
      <c r="C63" s="62" t="s">
        <v>3</v>
      </c>
      <c r="E63" s="68" t="str">
        <f>""</f>
        <v/>
      </c>
      <c r="F63" s="70" t="str">
        <f>E19</f>
        <v/>
      </c>
      <c r="G63" s="70">
        <f t="shared" ref="G63:W63" si="58">F19</f>
        <v>-27.103318677106014</v>
      </c>
      <c r="H63" s="70">
        <f t="shared" si="58"/>
        <v>-27.103318677106014</v>
      </c>
      <c r="I63" s="70">
        <f t="shared" si="58"/>
        <v>-27.103318677106014</v>
      </c>
      <c r="J63" s="70">
        <f t="shared" si="58"/>
        <v>43.997460900850115</v>
      </c>
      <c r="K63" s="70">
        <f t="shared" si="58"/>
        <v>32.147330971190769</v>
      </c>
      <c r="L63" s="70">
        <f t="shared" si="58"/>
        <v>12.594786816371563</v>
      </c>
      <c r="M63" s="70">
        <f t="shared" si="58"/>
        <v>8.2744328435561929</v>
      </c>
      <c r="N63" s="70">
        <f t="shared" si="58"/>
        <v>8.0819440893787515</v>
      </c>
      <c r="O63" s="70">
        <f t="shared" si="58"/>
        <v>20.201961336654033</v>
      </c>
      <c r="P63" s="70">
        <f t="shared" si="58"/>
        <v>74.290856107090491</v>
      </c>
      <c r="Q63" s="70">
        <f t="shared" si="58"/>
        <v>39.446082331350226</v>
      </c>
      <c r="R63" s="70">
        <f t="shared" si="58"/>
        <v>16.389500856670242</v>
      </c>
      <c r="S63" s="70">
        <f t="shared" si="58"/>
        <v>20.430175549795479</v>
      </c>
      <c r="T63" s="70" t="e">
        <f>#REF!</f>
        <v>#REF!</v>
      </c>
      <c r="U63" s="70">
        <f t="shared" si="58"/>
        <v>20.200023014201033</v>
      </c>
      <c r="V63" s="70">
        <f t="shared" si="58"/>
        <v>20.200000230142006</v>
      </c>
      <c r="W63" s="70" t="str">
        <f t="shared" si="58"/>
        <v/>
      </c>
      <c r="Y63" s="61"/>
      <c r="Z63" s="61"/>
      <c r="AA63" s="61"/>
    </row>
    <row r="64" spans="2:27" s="59" customFormat="1" x14ac:dyDescent="0.2">
      <c r="B64" s="59" t="s">
        <v>105</v>
      </c>
      <c r="C64" s="59" t="s">
        <v>36</v>
      </c>
      <c r="E64" s="67" t="b">
        <f>TRUE</f>
        <v>1</v>
      </c>
      <c r="F64" s="67" t="b">
        <f>OR(F33=1,F32=1,(F29+F30+F31)&gt;=2)</f>
        <v>1</v>
      </c>
      <c r="G64" s="67" t="b">
        <f t="shared" ref="G64:W64" si="59">OR(G33=1,G32=1,(G29+G30+G31)&gt;=2)</f>
        <v>1</v>
      </c>
      <c r="H64" s="67" t="b">
        <f t="shared" si="59"/>
        <v>1</v>
      </c>
      <c r="I64" s="67" t="b">
        <f t="shared" si="59"/>
        <v>1</v>
      </c>
      <c r="J64" s="67" t="b">
        <f t="shared" si="59"/>
        <v>0</v>
      </c>
      <c r="K64" s="67" t="b">
        <f t="shared" si="59"/>
        <v>1</v>
      </c>
      <c r="L64" s="67" t="b">
        <f t="shared" si="59"/>
        <v>0</v>
      </c>
      <c r="M64" s="111" t="b">
        <f t="shared" si="59"/>
        <v>1</v>
      </c>
      <c r="N64" s="111" t="b">
        <f t="shared" si="59"/>
        <v>0</v>
      </c>
      <c r="O64" s="111" t="b">
        <f t="shared" si="59"/>
        <v>1</v>
      </c>
      <c r="P64" s="111" t="b">
        <f t="shared" si="59"/>
        <v>0</v>
      </c>
      <c r="Q64" s="111" t="b">
        <f t="shared" si="59"/>
        <v>1</v>
      </c>
      <c r="R64" s="111" t="b">
        <f t="shared" si="59"/>
        <v>0</v>
      </c>
      <c r="S64" s="111" t="b">
        <f t="shared" si="59"/>
        <v>1</v>
      </c>
      <c r="T64" s="111" t="b">
        <f t="shared" si="59"/>
        <v>1</v>
      </c>
      <c r="U64" s="111" t="b">
        <f t="shared" si="59"/>
        <v>1</v>
      </c>
      <c r="V64" s="111" t="b">
        <f t="shared" si="59"/>
        <v>0</v>
      </c>
      <c r="W64" s="111" t="b">
        <f t="shared" si="59"/>
        <v>0</v>
      </c>
      <c r="Y64" s="61"/>
      <c r="Z64" s="61"/>
      <c r="AA64" s="61"/>
    </row>
    <row r="65" spans="2:27" s="59" customFormat="1" x14ac:dyDescent="0.2">
      <c r="B65" s="59" t="s">
        <v>47</v>
      </c>
      <c r="C65" s="59" t="s">
        <v>36</v>
      </c>
      <c r="E65" s="67" t="b">
        <f>FALSE</f>
        <v>0</v>
      </c>
      <c r="F65" s="67" t="b">
        <f>F30+F31+F29=0</f>
        <v>0</v>
      </c>
      <c r="G65" s="67" t="b">
        <f t="shared" ref="G65:W65" si="60">G30+G31+G29=0</f>
        <v>0</v>
      </c>
      <c r="H65" s="67" t="b">
        <f t="shared" si="60"/>
        <v>0</v>
      </c>
      <c r="I65" s="67" t="b">
        <f t="shared" si="60"/>
        <v>0</v>
      </c>
      <c r="J65" s="67" t="b">
        <f t="shared" si="60"/>
        <v>1</v>
      </c>
      <c r="K65" s="67" t="b">
        <f t="shared" si="60"/>
        <v>0</v>
      </c>
      <c r="L65" s="67" t="b">
        <f t="shared" si="60"/>
        <v>0</v>
      </c>
      <c r="M65" s="111" t="b">
        <f t="shared" si="60"/>
        <v>0</v>
      </c>
      <c r="N65" s="111" t="b">
        <f t="shared" si="60"/>
        <v>0</v>
      </c>
      <c r="O65" s="111" t="b">
        <f t="shared" si="60"/>
        <v>0</v>
      </c>
      <c r="P65" s="111" t="b">
        <f t="shared" si="60"/>
        <v>0</v>
      </c>
      <c r="Q65" s="111" t="b">
        <f t="shared" si="60"/>
        <v>0</v>
      </c>
      <c r="R65" s="111" t="b">
        <f t="shared" si="60"/>
        <v>0</v>
      </c>
      <c r="S65" s="111" t="b">
        <f t="shared" si="60"/>
        <v>0</v>
      </c>
      <c r="T65" s="111" t="b">
        <f t="shared" si="60"/>
        <v>0</v>
      </c>
      <c r="U65" s="111" t="b">
        <f t="shared" si="60"/>
        <v>0</v>
      </c>
      <c r="V65" s="111" t="b">
        <f t="shared" si="60"/>
        <v>1</v>
      </c>
      <c r="W65" s="111" t="b">
        <f t="shared" si="60"/>
        <v>1</v>
      </c>
      <c r="Y65" s="61"/>
      <c r="Z65" s="61"/>
      <c r="AA65" s="61"/>
    </row>
    <row r="66" spans="2:27" s="59" customFormat="1" x14ac:dyDescent="0.2">
      <c r="B66" s="59" t="s">
        <v>36</v>
      </c>
      <c r="C66" s="59" t="s">
        <v>36</v>
      </c>
      <c r="E66" s="67" t="b">
        <f>FALSE</f>
        <v>0</v>
      </c>
      <c r="F66" s="67" t="b">
        <f>FALSE</f>
        <v>0</v>
      </c>
      <c r="G66" s="67" t="b">
        <f>FALSE</f>
        <v>0</v>
      </c>
      <c r="H66" s="67" t="b">
        <f>FALSE</f>
        <v>0</v>
      </c>
      <c r="I66" s="67" t="b">
        <f>FALSE</f>
        <v>0</v>
      </c>
      <c r="J66" s="67" t="b">
        <f>FALSE</f>
        <v>0</v>
      </c>
      <c r="K66" s="67" t="b">
        <f>FALSE</f>
        <v>0</v>
      </c>
      <c r="L66" s="67" t="b">
        <f>FALSE</f>
        <v>0</v>
      </c>
      <c r="M66" s="111" t="b">
        <f>FALSE</f>
        <v>0</v>
      </c>
      <c r="N66" s="111" t="b">
        <f>FALSE</f>
        <v>0</v>
      </c>
      <c r="O66" s="111" t="b">
        <f>FALSE</f>
        <v>0</v>
      </c>
      <c r="P66" s="111" t="b">
        <f>FALSE</f>
        <v>0</v>
      </c>
      <c r="Q66" s="111" t="b">
        <f>FALSE</f>
        <v>0</v>
      </c>
      <c r="R66" s="111" t="b">
        <f>FALSE</f>
        <v>0</v>
      </c>
      <c r="S66" s="111" t="b">
        <f>FALSE</f>
        <v>0</v>
      </c>
      <c r="T66" s="111" t="b">
        <f>FALSE</f>
        <v>0</v>
      </c>
      <c r="U66" s="111" t="b">
        <f>FALSE</f>
        <v>0</v>
      </c>
      <c r="V66" s="111" t="b">
        <f>FALSE</f>
        <v>0</v>
      </c>
      <c r="W66" s="111" t="b">
        <f>FALSE</f>
        <v>0</v>
      </c>
      <c r="Y66" s="61"/>
      <c r="Z66" s="61"/>
      <c r="AA66" s="61"/>
    </row>
    <row r="67" spans="2:27" s="59" customFormat="1" x14ac:dyDescent="0.2">
      <c r="B67" s="65"/>
      <c r="E67" s="68"/>
      <c r="Y67" s="61"/>
      <c r="Z67" s="61"/>
      <c r="AA67" s="61"/>
    </row>
    <row r="68" spans="2:27" s="59" customFormat="1" ht="25.5" x14ac:dyDescent="0.2">
      <c r="B68" s="66" t="s">
        <v>98</v>
      </c>
      <c r="C68" s="62" t="s">
        <v>0</v>
      </c>
      <c r="E68" s="68" t="str">
        <f>""</f>
        <v/>
      </c>
      <c r="F68" s="70" t="str">
        <f>E16</f>
        <v/>
      </c>
      <c r="G68" s="70">
        <f t="shared" ref="G68:W68" si="61">F16</f>
        <v>-27</v>
      </c>
      <c r="H68" s="70">
        <f t="shared" si="61"/>
        <v>-27</v>
      </c>
      <c r="I68" s="70">
        <f t="shared" si="61"/>
        <v>-27</v>
      </c>
      <c r="J68" s="70">
        <f t="shared" si="61"/>
        <v>20</v>
      </c>
      <c r="K68" s="70">
        <f t="shared" si="61"/>
        <v>12.276969485124184</v>
      </c>
      <c r="L68" s="70">
        <f t="shared" si="61"/>
        <v>12.276969485124184</v>
      </c>
      <c r="M68" s="70">
        <f t="shared" si="61"/>
        <v>8</v>
      </c>
      <c r="N68" s="70">
        <f t="shared" si="61"/>
        <v>8</v>
      </c>
      <c r="O68" s="70">
        <f t="shared" si="61"/>
        <v>20</v>
      </c>
      <c r="P68" s="70">
        <f t="shared" si="61"/>
        <v>35</v>
      </c>
      <c r="Q68" s="70">
        <f t="shared" si="61"/>
        <v>16</v>
      </c>
      <c r="R68" s="70">
        <f t="shared" si="61"/>
        <v>16</v>
      </c>
      <c r="S68" s="70">
        <f t="shared" si="61"/>
        <v>20</v>
      </c>
      <c r="T68" s="70" t="e">
        <f>#REF!</f>
        <v>#REF!</v>
      </c>
      <c r="U68" s="70">
        <f t="shared" si="61"/>
        <v>20</v>
      </c>
      <c r="V68" s="70">
        <f t="shared" si="61"/>
        <v>20</v>
      </c>
      <c r="W68" s="70" t="str">
        <f t="shared" si="61"/>
        <v/>
      </c>
      <c r="Y68" s="61"/>
      <c r="Z68" s="61"/>
      <c r="AA68" s="61"/>
    </row>
    <row r="69" spans="2:27" s="59" customFormat="1" x14ac:dyDescent="0.2">
      <c r="C69" s="63" t="s">
        <v>1</v>
      </c>
      <c r="E69" s="68" t="str">
        <f>""</f>
        <v/>
      </c>
      <c r="F69" s="59">
        <f>IF(F30=1,F7/100,"")</f>
        <v>0.2</v>
      </c>
      <c r="G69" s="59">
        <f t="shared" ref="G69:W69" si="62">IF(G30=1,G7/100,"")</f>
        <v>0.2</v>
      </c>
      <c r="H69" s="59">
        <f t="shared" si="62"/>
        <v>0.2</v>
      </c>
      <c r="I69" s="59">
        <f t="shared" si="62"/>
        <v>0.6</v>
      </c>
      <c r="J69" s="59" t="str">
        <f t="shared" si="62"/>
        <v/>
      </c>
      <c r="K69" s="59">
        <f t="shared" si="62"/>
        <v>8.2237877683581581E-3</v>
      </c>
      <c r="L69" s="59" t="str">
        <f t="shared" si="62"/>
        <v/>
      </c>
      <c r="M69" s="59">
        <f t="shared" si="62"/>
        <v>1.0957095429561066E-4</v>
      </c>
      <c r="N69" s="59" t="str">
        <f t="shared" si="62"/>
        <v/>
      </c>
      <c r="O69" s="59">
        <f t="shared" si="62"/>
        <v>0.4</v>
      </c>
      <c r="P69" s="59" t="str">
        <f t="shared" si="62"/>
        <v/>
      </c>
      <c r="Q69" s="59">
        <f t="shared" si="62"/>
        <v>7.5771330367416147E-3</v>
      </c>
      <c r="R69" s="59" t="str">
        <f>IF(R30=1,R7/100,"")</f>
        <v/>
      </c>
      <c r="S69" s="59">
        <f>IF(S30=1,S7/100,"")</f>
        <v>5.889954581965501E-5</v>
      </c>
      <c r="T69" s="59">
        <f t="shared" si="62"/>
        <v>5.8899545819655011E-7</v>
      </c>
      <c r="U69" s="59">
        <f>IF(U30=1,U7/100,"")</f>
        <v>5.889954581965502E-9</v>
      </c>
      <c r="V69" s="59" t="str">
        <f>IF(V30=1,V7/100,"")</f>
        <v/>
      </c>
      <c r="W69" s="59" t="str">
        <f t="shared" si="62"/>
        <v/>
      </c>
      <c r="Y69" s="61"/>
      <c r="Z69" s="61"/>
      <c r="AA69" s="61"/>
    </row>
    <row r="70" spans="2:27" s="59" customFormat="1" x14ac:dyDescent="0.2">
      <c r="C70" s="62" t="s">
        <v>2</v>
      </c>
      <c r="E70" s="68" t="str">
        <f>""</f>
        <v/>
      </c>
      <c r="F70" s="59" t="str">
        <f>IF(F31=1,F8,"")</f>
        <v/>
      </c>
      <c r="G70" s="59" t="str">
        <f t="shared" ref="G70:W70" si="63">IF(G31=1,G8,"")</f>
        <v/>
      </c>
      <c r="H70" s="59" t="str">
        <f t="shared" si="63"/>
        <v/>
      </c>
      <c r="I70" s="59" t="str">
        <f t="shared" si="63"/>
        <v/>
      </c>
      <c r="J70" s="59" t="str">
        <f t="shared" si="63"/>
        <v/>
      </c>
      <c r="K70" s="59" t="str">
        <f t="shared" si="63"/>
        <v/>
      </c>
      <c r="L70" s="59" t="str">
        <f t="shared" si="63"/>
        <v/>
      </c>
      <c r="M70" s="59" t="str">
        <f t="shared" si="63"/>
        <v/>
      </c>
      <c r="N70" s="59" t="str">
        <f t="shared" si="63"/>
        <v/>
      </c>
      <c r="O70" s="59" t="str">
        <f t="shared" si="63"/>
        <v/>
      </c>
      <c r="P70" s="59" t="str">
        <f t="shared" si="63"/>
        <v/>
      </c>
      <c r="Q70" s="59" t="str">
        <f t="shared" si="63"/>
        <v/>
      </c>
      <c r="R70" s="59" t="str">
        <f>IF(R31=1,R8,"")</f>
        <v/>
      </c>
      <c r="S70" s="59" t="str">
        <f>IF(S31=1,S8,"")</f>
        <v/>
      </c>
      <c r="T70" s="59" t="str">
        <f t="shared" si="63"/>
        <v/>
      </c>
      <c r="U70" s="59" t="str">
        <f>IF(U31=1,U8,"")</f>
        <v/>
      </c>
      <c r="V70" s="59" t="str">
        <f>IF(V31=1,V8,"")</f>
        <v/>
      </c>
      <c r="W70" s="59" t="str">
        <f t="shared" si="63"/>
        <v/>
      </c>
      <c r="Y70" s="61"/>
      <c r="Z70" s="61"/>
      <c r="AA70" s="61"/>
    </row>
    <row r="71" spans="2:27" s="59" customFormat="1" x14ac:dyDescent="0.2">
      <c r="C71" s="62" t="s">
        <v>3</v>
      </c>
      <c r="E71" s="68" t="str">
        <f>""</f>
        <v/>
      </c>
      <c r="F71" s="59" t="str">
        <f>""</f>
        <v/>
      </c>
      <c r="G71" s="59" t="str">
        <f>""</f>
        <v/>
      </c>
      <c r="H71" s="59" t="str">
        <f>""</f>
        <v/>
      </c>
      <c r="I71" s="59" t="str">
        <f>""</f>
        <v/>
      </c>
      <c r="J71" s="59" t="str">
        <f>""</f>
        <v/>
      </c>
      <c r="K71" s="59" t="str">
        <f>""</f>
        <v/>
      </c>
      <c r="L71" s="59" t="str">
        <f>""</f>
        <v/>
      </c>
      <c r="M71" s="59" t="str">
        <f>""</f>
        <v/>
      </c>
      <c r="N71" s="59" t="str">
        <f>""</f>
        <v/>
      </c>
      <c r="O71" s="59" t="str">
        <f>""</f>
        <v/>
      </c>
      <c r="P71" s="59" t="str">
        <f>""</f>
        <v/>
      </c>
      <c r="Q71" s="59" t="str">
        <f>""</f>
        <v/>
      </c>
      <c r="R71" s="59" t="str">
        <f>""</f>
        <v/>
      </c>
      <c r="S71" s="59" t="str">
        <f>""</f>
        <v/>
      </c>
      <c r="T71" s="59" t="str">
        <f>""</f>
        <v/>
      </c>
      <c r="U71" s="59" t="str">
        <f>""</f>
        <v/>
      </c>
      <c r="V71" s="59" t="str">
        <f>""</f>
        <v/>
      </c>
      <c r="W71" s="59" t="str">
        <f>""</f>
        <v/>
      </c>
      <c r="Y71" s="61"/>
      <c r="Z71" s="61"/>
      <c r="AA71" s="61"/>
    </row>
    <row r="72" spans="2:27" s="59" customFormat="1" x14ac:dyDescent="0.2">
      <c r="B72" s="59" t="s">
        <v>105</v>
      </c>
      <c r="C72" s="59" t="s">
        <v>36</v>
      </c>
      <c r="E72" s="67" t="b">
        <f>TRUE</f>
        <v>1</v>
      </c>
      <c r="F72" s="67" t="b">
        <f>OR(F29=1,(F30+F31)=2,F32=1,F33=1)</f>
        <v>1</v>
      </c>
      <c r="G72" s="67" t="b">
        <f t="shared" ref="G72:W72" si="64">OR(G29=1,(G30+G31)=2,G32=1,G33=1)</f>
        <v>1</v>
      </c>
      <c r="H72" s="67" t="b">
        <f t="shared" si="64"/>
        <v>1</v>
      </c>
      <c r="I72" s="67" t="b">
        <f t="shared" si="64"/>
        <v>1</v>
      </c>
      <c r="J72" s="67" t="b">
        <f t="shared" si="64"/>
        <v>0</v>
      </c>
      <c r="K72" s="67" t="b">
        <f t="shared" si="64"/>
        <v>1</v>
      </c>
      <c r="L72" s="67" t="b">
        <f t="shared" si="64"/>
        <v>1</v>
      </c>
      <c r="M72" s="111" t="b">
        <f t="shared" si="64"/>
        <v>1</v>
      </c>
      <c r="N72" s="111" t="b">
        <f t="shared" si="64"/>
        <v>1</v>
      </c>
      <c r="O72" s="111" t="b">
        <f t="shared" si="64"/>
        <v>1</v>
      </c>
      <c r="P72" s="111" t="b">
        <f t="shared" si="64"/>
        <v>1</v>
      </c>
      <c r="Q72" s="111" t="b">
        <f t="shared" si="64"/>
        <v>1</v>
      </c>
      <c r="R72" s="111" t="b">
        <f t="shared" si="64"/>
        <v>1</v>
      </c>
      <c r="S72" s="111" t="b">
        <f t="shared" si="64"/>
        <v>1</v>
      </c>
      <c r="T72" s="111" t="b">
        <f t="shared" si="64"/>
        <v>1</v>
      </c>
      <c r="U72" s="111" t="b">
        <f t="shared" si="64"/>
        <v>1</v>
      </c>
      <c r="V72" s="111" t="b">
        <f t="shared" si="64"/>
        <v>0</v>
      </c>
      <c r="W72" s="111" t="b">
        <f t="shared" si="64"/>
        <v>0</v>
      </c>
      <c r="Y72" s="61"/>
      <c r="Z72" s="61"/>
      <c r="AA72" s="61"/>
    </row>
    <row r="73" spans="2:27" s="59" customFormat="1" x14ac:dyDescent="0.2">
      <c r="B73" s="59" t="s">
        <v>47</v>
      </c>
      <c r="C73" s="59" t="s">
        <v>36</v>
      </c>
      <c r="E73" s="67" t="b">
        <f>FALSE</f>
        <v>0</v>
      </c>
      <c r="F73" s="67" t="b">
        <f>(F30+F31)=0</f>
        <v>0</v>
      </c>
      <c r="G73" s="67" t="b">
        <f t="shared" ref="G73:W73" si="65">(G30+G31)=0</f>
        <v>0</v>
      </c>
      <c r="H73" s="67" t="b">
        <f t="shared" si="65"/>
        <v>0</v>
      </c>
      <c r="I73" s="67" t="b">
        <f t="shared" si="65"/>
        <v>0</v>
      </c>
      <c r="J73" s="67" t="b">
        <f t="shared" si="65"/>
        <v>1</v>
      </c>
      <c r="K73" s="67" t="b">
        <f t="shared" si="65"/>
        <v>0</v>
      </c>
      <c r="L73" s="67" t="b">
        <f t="shared" si="65"/>
        <v>1</v>
      </c>
      <c r="M73" s="111" t="b">
        <f t="shared" si="65"/>
        <v>0</v>
      </c>
      <c r="N73" s="111" t="b">
        <f t="shared" si="65"/>
        <v>1</v>
      </c>
      <c r="O73" s="111" t="b">
        <f t="shared" si="65"/>
        <v>0</v>
      </c>
      <c r="P73" s="111" t="b">
        <f t="shared" si="65"/>
        <v>1</v>
      </c>
      <c r="Q73" s="111" t="b">
        <f t="shared" si="65"/>
        <v>0</v>
      </c>
      <c r="R73" s="111" t="b">
        <f t="shared" si="65"/>
        <v>1</v>
      </c>
      <c r="S73" s="111" t="b">
        <f t="shared" si="65"/>
        <v>0</v>
      </c>
      <c r="T73" s="111" t="b">
        <f t="shared" si="65"/>
        <v>0</v>
      </c>
      <c r="U73" s="111" t="b">
        <f t="shared" si="65"/>
        <v>0</v>
      </c>
      <c r="V73" s="111" t="b">
        <f t="shared" si="65"/>
        <v>1</v>
      </c>
      <c r="W73" s="111" t="b">
        <f t="shared" si="65"/>
        <v>1</v>
      </c>
      <c r="Y73" s="61"/>
      <c r="Z73" s="61"/>
      <c r="AA73" s="61"/>
    </row>
    <row r="74" spans="2:27" s="59" customFormat="1" x14ac:dyDescent="0.2">
      <c r="B74" s="59" t="s">
        <v>36</v>
      </c>
      <c r="C74" s="59" t="s">
        <v>36</v>
      </c>
      <c r="E74" s="67" t="b">
        <f>FALSE</f>
        <v>0</v>
      </c>
      <c r="F74" s="67" t="b">
        <f>FALSE</f>
        <v>0</v>
      </c>
      <c r="G74" s="67" t="b">
        <f>FALSE</f>
        <v>0</v>
      </c>
      <c r="H74" s="67" t="b">
        <f>FALSE</f>
        <v>0</v>
      </c>
      <c r="I74" s="67" t="b">
        <f>FALSE</f>
        <v>0</v>
      </c>
      <c r="J74" s="67" t="b">
        <f>FALSE</f>
        <v>0</v>
      </c>
      <c r="K74" s="67" t="b">
        <f>FALSE</f>
        <v>0</v>
      </c>
      <c r="L74" s="67" t="b">
        <f>FALSE</f>
        <v>0</v>
      </c>
      <c r="M74" s="111" t="b">
        <f>FALSE</f>
        <v>0</v>
      </c>
      <c r="N74" s="111" t="b">
        <f>FALSE</f>
        <v>0</v>
      </c>
      <c r="O74" s="111" t="b">
        <f>FALSE</f>
        <v>0</v>
      </c>
      <c r="P74" s="111" t="b">
        <f>FALSE</f>
        <v>0</v>
      </c>
      <c r="Q74" s="111" t="b">
        <f>FALSE</f>
        <v>0</v>
      </c>
      <c r="R74" s="111" t="b">
        <f>FALSE</f>
        <v>0</v>
      </c>
      <c r="S74" s="111" t="b">
        <f>FALSE</f>
        <v>0</v>
      </c>
      <c r="T74" s="111" t="b">
        <f>FALSE</f>
        <v>0</v>
      </c>
      <c r="U74" s="111" t="b">
        <f>FALSE</f>
        <v>0</v>
      </c>
      <c r="V74" s="111" t="b">
        <f>FALSE</f>
        <v>0</v>
      </c>
      <c r="W74" s="111" t="b">
        <f>FALSE</f>
        <v>0</v>
      </c>
      <c r="Y74" s="61"/>
      <c r="Z74" s="61"/>
      <c r="AA74" s="61"/>
    </row>
    <row r="75" spans="2:27" s="59" customFormat="1" x14ac:dyDescent="0.2">
      <c r="E75" s="68"/>
      <c r="Y75" s="61"/>
      <c r="Z75" s="61"/>
      <c r="AA75" s="61"/>
    </row>
    <row r="76" spans="2:27" s="59" customFormat="1" ht="25.5" x14ac:dyDescent="0.2">
      <c r="B76" s="66" t="s">
        <v>99</v>
      </c>
      <c r="C76" s="62" t="s">
        <v>0</v>
      </c>
      <c r="E76" s="68" t="str">
        <f>""</f>
        <v/>
      </c>
      <c r="F76" s="68" t="str">
        <f>""</f>
        <v/>
      </c>
      <c r="G76" s="59" t="str">
        <f>""</f>
        <v/>
      </c>
      <c r="H76" s="59" t="str">
        <f>""</f>
        <v/>
      </c>
      <c r="I76" s="59" t="str">
        <f>""</f>
        <v/>
      </c>
      <c r="J76" s="59" t="str">
        <f>""</f>
        <v/>
      </c>
      <c r="K76" s="59" t="str">
        <f>""</f>
        <v/>
      </c>
      <c r="L76" s="59" t="str">
        <f>""</f>
        <v/>
      </c>
      <c r="M76" s="59" t="str">
        <f>""</f>
        <v/>
      </c>
      <c r="N76" s="59" t="str">
        <f>""</f>
        <v/>
      </c>
      <c r="O76" s="59" t="str">
        <f>""</f>
        <v/>
      </c>
      <c r="P76" s="59" t="str">
        <f>""</f>
        <v/>
      </c>
      <c r="Q76" s="59" t="str">
        <f>""</f>
        <v/>
      </c>
      <c r="R76" s="59" t="str">
        <f>""</f>
        <v/>
      </c>
      <c r="S76" s="59" t="str">
        <f>""</f>
        <v/>
      </c>
      <c r="T76" s="59" t="str">
        <f>""</f>
        <v/>
      </c>
      <c r="U76" s="59" t="str">
        <f>""</f>
        <v/>
      </c>
      <c r="V76" s="59" t="str">
        <f>""</f>
        <v/>
      </c>
      <c r="W76" s="59" t="str">
        <f>""</f>
        <v/>
      </c>
      <c r="Y76" s="61"/>
      <c r="Z76" s="61"/>
      <c r="AA76" s="61"/>
    </row>
    <row r="77" spans="2:27" s="59" customFormat="1" x14ac:dyDescent="0.2">
      <c r="C77" s="63" t="s">
        <v>1</v>
      </c>
      <c r="E77" s="68" t="str">
        <f>""</f>
        <v/>
      </c>
      <c r="F77" s="68" t="str">
        <f>""</f>
        <v/>
      </c>
      <c r="G77" s="59" t="str">
        <f>""</f>
        <v/>
      </c>
      <c r="H77" s="59" t="str">
        <f>""</f>
        <v/>
      </c>
      <c r="I77" s="59" t="str">
        <f>""</f>
        <v/>
      </c>
      <c r="J77" s="59" t="str">
        <f>""</f>
        <v/>
      </c>
      <c r="K77" s="59" t="str">
        <f>""</f>
        <v/>
      </c>
      <c r="L77" s="59" t="str">
        <f>""</f>
        <v/>
      </c>
      <c r="M77" s="59" t="str">
        <f>""</f>
        <v/>
      </c>
      <c r="N77" s="59" t="str">
        <f>""</f>
        <v/>
      </c>
      <c r="O77" s="59" t="str">
        <f>""</f>
        <v/>
      </c>
      <c r="P77" s="59" t="str">
        <f>""</f>
        <v/>
      </c>
      <c r="Q77" s="59" t="str">
        <f>""</f>
        <v/>
      </c>
      <c r="R77" s="59" t="str">
        <f>""</f>
        <v/>
      </c>
      <c r="S77" s="59" t="str">
        <f>""</f>
        <v/>
      </c>
      <c r="T77" s="59" t="str">
        <f>""</f>
        <v/>
      </c>
      <c r="U77" s="59" t="str">
        <f>""</f>
        <v/>
      </c>
      <c r="V77" s="59" t="str">
        <f>""</f>
        <v/>
      </c>
      <c r="W77" s="59" t="str">
        <f>""</f>
        <v/>
      </c>
      <c r="Y77" s="61"/>
      <c r="Z77" s="61"/>
      <c r="AA77" s="61"/>
    </row>
    <row r="78" spans="2:27" s="59" customFormat="1" x14ac:dyDescent="0.2">
      <c r="C78" s="62" t="s">
        <v>2</v>
      </c>
      <c r="E78" s="68" t="str">
        <f>""</f>
        <v/>
      </c>
      <c r="F78" s="68" t="str">
        <f>""</f>
        <v/>
      </c>
      <c r="G78" s="67" t="e">
        <f>(E18*E35+F35*F18)/(E35+F35)</f>
        <v>#VALUE!</v>
      </c>
      <c r="H78" s="67">
        <f t="shared" ref="H78:W78" si="66">(F18*F35+G35*G18)/(F35+G35)</f>
        <v>6.801154036428593E-2</v>
      </c>
      <c r="I78" s="67">
        <f t="shared" si="66"/>
        <v>6.801154036428593E-2</v>
      </c>
      <c r="J78" s="67">
        <f t="shared" si="66"/>
        <v>7.8244380135531229</v>
      </c>
      <c r="K78" s="67">
        <f t="shared" si="66"/>
        <v>8.5295676929339272</v>
      </c>
      <c r="L78" s="67">
        <f t="shared" si="66"/>
        <v>3.9508601270915586</v>
      </c>
      <c r="M78" s="111">
        <f t="shared" si="66"/>
        <v>7.7282240629995516E-2</v>
      </c>
      <c r="N78" s="111">
        <f t="shared" si="66"/>
        <v>3.9027484008566544E-2</v>
      </c>
      <c r="O78" s="111">
        <f t="shared" si="66"/>
        <v>7.727273871375711E-4</v>
      </c>
      <c r="P78" s="111">
        <f t="shared" si="66"/>
        <v>4.4638138279061623</v>
      </c>
      <c r="Q78" s="111">
        <f t="shared" si="66"/>
        <v>12.188166788589374</v>
      </c>
      <c r="R78" s="111">
        <f t="shared" si="66"/>
        <v>4.6459528339353531</v>
      </c>
      <c r="S78" s="111">
        <f t="shared" si="66"/>
        <v>9.0684559843778378E-2</v>
      </c>
      <c r="T78" s="111" t="e">
        <f>(S18*S35+#REF!*#REF!)/(S35+#REF!)</f>
        <v>#REF!</v>
      </c>
      <c r="U78" s="111" t="e">
        <f>(#REF!*#REF!+T35*T18)/(#REF!+T35)</f>
        <v>#REF!</v>
      </c>
      <c r="V78" s="111">
        <f t="shared" si="66"/>
        <v>4.5789029711080172E-6</v>
      </c>
      <c r="W78" s="111" t="e">
        <f t="shared" si="66"/>
        <v>#VALUE!</v>
      </c>
      <c r="Y78" s="61"/>
      <c r="Z78" s="61"/>
      <c r="AA78" s="61"/>
    </row>
    <row r="79" spans="2:27" s="59" customFormat="1" x14ac:dyDescent="0.2">
      <c r="C79" s="62" t="s">
        <v>3</v>
      </c>
      <c r="E79" s="68" t="str">
        <f>""</f>
        <v/>
      </c>
      <c r="F79" s="68" t="str">
        <f>""</f>
        <v/>
      </c>
      <c r="G79" s="67" t="e">
        <f>(E19*E35+F35*F19)/(E35+F35)</f>
        <v>#VALUE!</v>
      </c>
      <c r="H79" s="67">
        <f t="shared" ref="H79:W79" si="67">(F19*F35+G35*G19)/(F35+G35)</f>
        <v>-27.103318677106014</v>
      </c>
      <c r="I79" s="67">
        <f t="shared" si="67"/>
        <v>-27.103318677106014</v>
      </c>
      <c r="J79" s="67">
        <f t="shared" si="67"/>
        <v>32.147330971190769</v>
      </c>
      <c r="K79" s="67">
        <f t="shared" si="67"/>
        <v>37.533753666490476</v>
      </c>
      <c r="L79" s="67">
        <f t="shared" si="67"/>
        <v>22.371058893781161</v>
      </c>
      <c r="M79" s="111">
        <f t="shared" si="67"/>
        <v>10.434609829963879</v>
      </c>
      <c r="N79" s="111">
        <f t="shared" si="67"/>
        <v>8.1781884664674713</v>
      </c>
      <c r="O79" s="111">
        <f t="shared" si="67"/>
        <v>14.141952713016392</v>
      </c>
      <c r="P79" s="111">
        <f t="shared" si="67"/>
        <v>36.110459798547112</v>
      </c>
      <c r="Q79" s="111">
        <f t="shared" si="67"/>
        <v>56.868469219220358</v>
      </c>
      <c r="R79" s="111">
        <f t="shared" si="67"/>
        <v>27.917791594010236</v>
      </c>
      <c r="S79" s="111">
        <f t="shared" si="67"/>
        <v>18.409838203232859</v>
      </c>
      <c r="T79" s="111" t="e">
        <f>(S19*S35+#REF!*#REF!)/(S35+#REF!)</f>
        <v>#REF!</v>
      </c>
      <c r="U79" s="111" t="e">
        <f>(#REF!*#REF!+T35*T19)/(#REF!+T35)</f>
        <v>#REF!</v>
      </c>
      <c r="V79" s="111">
        <f t="shared" si="67"/>
        <v>20.20001162217152</v>
      </c>
      <c r="W79" s="111" t="e">
        <f t="shared" si="67"/>
        <v>#VALUE!</v>
      </c>
      <c r="Y79" s="61"/>
      <c r="Z79" s="61"/>
      <c r="AA79" s="61"/>
    </row>
    <row r="80" spans="2:27" s="59" customFormat="1" x14ac:dyDescent="0.2">
      <c r="B80" s="59" t="s">
        <v>105</v>
      </c>
      <c r="C80" s="59" t="s">
        <v>36</v>
      </c>
      <c r="E80" s="67" t="b">
        <f>TRUE</f>
        <v>1</v>
      </c>
      <c r="F80" s="67" t="b">
        <f>TRUE</f>
        <v>1</v>
      </c>
      <c r="G80" s="67" t="b">
        <f>(G34+G33)&gt;=1</f>
        <v>1</v>
      </c>
      <c r="H80" s="67" t="b">
        <f t="shared" ref="H80:W80" si="68">(H34+H33)&gt;=1</f>
        <v>1</v>
      </c>
      <c r="I80" s="67" t="b">
        <f t="shared" si="68"/>
        <v>1</v>
      </c>
      <c r="J80" s="67" t="b">
        <f t="shared" si="68"/>
        <v>0</v>
      </c>
      <c r="K80" s="67" t="b">
        <f t="shared" si="68"/>
        <v>1</v>
      </c>
      <c r="L80" s="67" t="b">
        <f t="shared" si="68"/>
        <v>1</v>
      </c>
      <c r="M80" s="111" t="b">
        <f t="shared" si="68"/>
        <v>1</v>
      </c>
      <c r="N80" s="111" t="b">
        <f t="shared" si="68"/>
        <v>1</v>
      </c>
      <c r="O80" s="111" t="b">
        <f t="shared" si="68"/>
        <v>1</v>
      </c>
      <c r="P80" s="111" t="b">
        <f t="shared" si="68"/>
        <v>1</v>
      </c>
      <c r="Q80" s="111" t="b">
        <f t="shared" si="68"/>
        <v>1</v>
      </c>
      <c r="R80" s="111" t="b">
        <f t="shared" si="68"/>
        <v>1</v>
      </c>
      <c r="S80" s="111" t="b">
        <f t="shared" si="68"/>
        <v>1</v>
      </c>
      <c r="T80" s="111" t="b">
        <f t="shared" si="68"/>
        <v>1</v>
      </c>
      <c r="U80" s="111" t="b">
        <f t="shared" si="68"/>
        <v>1</v>
      </c>
      <c r="V80" s="111" t="b">
        <f t="shared" si="68"/>
        <v>0</v>
      </c>
      <c r="W80" s="111" t="b">
        <f t="shared" si="68"/>
        <v>0</v>
      </c>
      <c r="Y80" s="61"/>
      <c r="Z80" s="61"/>
      <c r="AA80" s="61"/>
    </row>
    <row r="81" spans="2:27" s="59" customFormat="1" x14ac:dyDescent="0.2">
      <c r="B81" s="59" t="s">
        <v>47</v>
      </c>
      <c r="C81" s="59" t="s">
        <v>36</v>
      </c>
      <c r="E81" s="67" t="b">
        <f>FALSE</f>
        <v>0</v>
      </c>
      <c r="F81" s="67" t="b">
        <f>FALSE</f>
        <v>0</v>
      </c>
      <c r="G81" s="67" t="b">
        <f>FALSE</f>
        <v>0</v>
      </c>
      <c r="H81" s="67" t="b">
        <f>FALSE</f>
        <v>0</v>
      </c>
      <c r="I81" s="67" t="b">
        <f>FALSE</f>
        <v>0</v>
      </c>
      <c r="J81" s="67" t="b">
        <f>FALSE</f>
        <v>0</v>
      </c>
      <c r="K81" s="67" t="b">
        <f>FALSE</f>
        <v>0</v>
      </c>
      <c r="L81" s="67" t="b">
        <f>FALSE</f>
        <v>0</v>
      </c>
      <c r="M81" s="111" t="b">
        <f>FALSE</f>
        <v>0</v>
      </c>
      <c r="N81" s="111" t="b">
        <f>FALSE</f>
        <v>0</v>
      </c>
      <c r="O81" s="111" t="b">
        <f>FALSE</f>
        <v>0</v>
      </c>
      <c r="P81" s="111" t="b">
        <f>FALSE</f>
        <v>0</v>
      </c>
      <c r="Q81" s="111" t="b">
        <f>FALSE</f>
        <v>0</v>
      </c>
      <c r="R81" s="111" t="b">
        <f>FALSE</f>
        <v>0</v>
      </c>
      <c r="S81" s="111" t="b">
        <f>FALSE</f>
        <v>0</v>
      </c>
      <c r="T81" s="111" t="b">
        <f>FALSE</f>
        <v>0</v>
      </c>
      <c r="U81" s="111" t="b">
        <f>FALSE</f>
        <v>0</v>
      </c>
      <c r="V81" s="111" t="b">
        <f>FALSE</f>
        <v>0</v>
      </c>
      <c r="W81" s="111" t="b">
        <f>FALSE</f>
        <v>0</v>
      </c>
      <c r="Y81" s="61"/>
      <c r="Z81" s="61"/>
      <c r="AA81" s="61"/>
    </row>
    <row r="82" spans="2:27" s="59" customFormat="1" x14ac:dyDescent="0.2">
      <c r="B82" s="59" t="s">
        <v>36</v>
      </c>
      <c r="C82" s="59" t="s">
        <v>36</v>
      </c>
      <c r="E82" s="67" t="b">
        <f>FALSE</f>
        <v>0</v>
      </c>
      <c r="F82" s="67" t="b">
        <f>FALSE</f>
        <v>0</v>
      </c>
      <c r="G82" s="67" t="b">
        <f>FALSE</f>
        <v>0</v>
      </c>
      <c r="H82" s="67" t="b">
        <f>FALSE</f>
        <v>0</v>
      </c>
      <c r="I82" s="67" t="b">
        <f>FALSE</f>
        <v>0</v>
      </c>
      <c r="J82" s="67" t="b">
        <f>FALSE</f>
        <v>0</v>
      </c>
      <c r="K82" s="67" t="b">
        <f>FALSE</f>
        <v>0</v>
      </c>
      <c r="L82" s="67" t="b">
        <f>FALSE</f>
        <v>0</v>
      </c>
      <c r="M82" s="111" t="b">
        <f>FALSE</f>
        <v>0</v>
      </c>
      <c r="N82" s="111" t="b">
        <f>FALSE</f>
        <v>0</v>
      </c>
      <c r="O82" s="111" t="b">
        <f>FALSE</f>
        <v>0</v>
      </c>
      <c r="P82" s="111" t="b">
        <f>FALSE</f>
        <v>0</v>
      </c>
      <c r="Q82" s="111" t="b">
        <f>FALSE</f>
        <v>0</v>
      </c>
      <c r="R82" s="111" t="b">
        <f>FALSE</f>
        <v>0</v>
      </c>
      <c r="S82" s="111" t="b">
        <f>FALSE</f>
        <v>0</v>
      </c>
      <c r="T82" s="111" t="b">
        <f>FALSE</f>
        <v>0</v>
      </c>
      <c r="U82" s="111" t="b">
        <f>FALSE</f>
        <v>0</v>
      </c>
      <c r="V82" s="111" t="b">
        <f>FALSE</f>
        <v>0</v>
      </c>
      <c r="W82" s="111" t="b">
        <f>FALSE</f>
        <v>0</v>
      </c>
      <c r="Y82" s="61"/>
      <c r="Z82" s="61"/>
      <c r="AA82" s="61"/>
    </row>
    <row r="83" spans="2:27" s="59" customFormat="1" x14ac:dyDescent="0.2">
      <c r="E83" s="68"/>
      <c r="Y83" s="61"/>
      <c r="Z83" s="61"/>
      <c r="AA83" s="61"/>
    </row>
    <row r="84" spans="2:27" s="59" customFormat="1" ht="25.5" x14ac:dyDescent="0.2">
      <c r="B84" s="66" t="s">
        <v>100</v>
      </c>
      <c r="C84" s="62" t="s">
        <v>0</v>
      </c>
      <c r="E84" s="59" t="str">
        <f>IF(E29=1,E6,"")</f>
        <v/>
      </c>
      <c r="F84" s="59">
        <f t="shared" ref="F84:W84" si="69">IF(F29=1,F6,"")</f>
        <v>-27</v>
      </c>
      <c r="G84" s="59">
        <f t="shared" si="69"/>
        <v>-27</v>
      </c>
      <c r="H84" s="59">
        <f t="shared" si="69"/>
        <v>-27</v>
      </c>
      <c r="I84" s="59">
        <f t="shared" si="69"/>
        <v>20</v>
      </c>
      <c r="J84" s="59" t="str">
        <f t="shared" si="69"/>
        <v/>
      </c>
      <c r="K84" s="59">
        <f t="shared" si="69"/>
        <v>12.276969485124184</v>
      </c>
      <c r="L84" s="59">
        <f t="shared" si="69"/>
        <v>8</v>
      </c>
      <c r="M84" s="59">
        <f t="shared" si="69"/>
        <v>8</v>
      </c>
      <c r="N84" s="59">
        <f t="shared" si="69"/>
        <v>20</v>
      </c>
      <c r="O84" s="59">
        <f t="shared" si="69"/>
        <v>35</v>
      </c>
      <c r="P84" s="59">
        <f t="shared" si="69"/>
        <v>16</v>
      </c>
      <c r="Q84" s="59">
        <f t="shared" si="69"/>
        <v>16</v>
      </c>
      <c r="R84" s="59">
        <f>IF(R29=1,R6,"")</f>
        <v>20</v>
      </c>
      <c r="S84" s="59">
        <f>IF(S29=1,S6,"")</f>
        <v>20</v>
      </c>
      <c r="T84" s="59">
        <f t="shared" si="69"/>
        <v>20</v>
      </c>
      <c r="U84" s="59">
        <f>IF(U29=1,U6,"")</f>
        <v>20</v>
      </c>
      <c r="V84" s="59" t="str">
        <f>IF(V29=1,V6,"")</f>
        <v/>
      </c>
      <c r="W84" s="59" t="str">
        <f t="shared" si="69"/>
        <v/>
      </c>
      <c r="Y84" s="61"/>
      <c r="Z84" s="61"/>
      <c r="AA84" s="61"/>
    </row>
    <row r="85" spans="2:27" s="59" customFormat="1" x14ac:dyDescent="0.2">
      <c r="C85" s="63" t="s">
        <v>1</v>
      </c>
      <c r="E85" s="59" t="str">
        <f>IF(E30=1,E7/100,"")</f>
        <v/>
      </c>
      <c r="F85" s="59">
        <f t="shared" ref="F85:W85" si="70">IF(F30=1,F7/100,"")</f>
        <v>0.2</v>
      </c>
      <c r="G85" s="59">
        <f t="shared" si="70"/>
        <v>0.2</v>
      </c>
      <c r="H85" s="59">
        <f t="shared" si="70"/>
        <v>0.2</v>
      </c>
      <c r="I85" s="59">
        <f t="shared" si="70"/>
        <v>0.6</v>
      </c>
      <c r="J85" s="59" t="str">
        <f t="shared" si="70"/>
        <v/>
      </c>
      <c r="K85" s="59">
        <f t="shared" si="70"/>
        <v>8.2237877683581581E-3</v>
      </c>
      <c r="L85" s="59" t="str">
        <f t="shared" si="70"/>
        <v/>
      </c>
      <c r="M85" s="59">
        <f t="shared" si="70"/>
        <v>1.0957095429561066E-4</v>
      </c>
      <c r="N85" s="59" t="str">
        <f t="shared" si="70"/>
        <v/>
      </c>
      <c r="O85" s="59">
        <f t="shared" si="70"/>
        <v>0.4</v>
      </c>
      <c r="P85" s="59" t="str">
        <f t="shared" si="70"/>
        <v/>
      </c>
      <c r="Q85" s="59">
        <f t="shared" si="70"/>
        <v>7.5771330367416147E-3</v>
      </c>
      <c r="R85" s="59" t="str">
        <f>IF(R30=1,R7/100,"")</f>
        <v/>
      </c>
      <c r="S85" s="59">
        <f>IF(S30=1,S7/100,"")</f>
        <v>5.889954581965501E-5</v>
      </c>
      <c r="T85" s="59">
        <f t="shared" si="70"/>
        <v>5.8899545819655011E-7</v>
      </c>
      <c r="U85" s="59">
        <f>IF(U30=1,U7/100,"")</f>
        <v>5.889954581965502E-9</v>
      </c>
      <c r="V85" s="59" t="str">
        <f>IF(V30=1,V7/100,"")</f>
        <v/>
      </c>
      <c r="W85" s="59" t="str">
        <f t="shared" si="70"/>
        <v/>
      </c>
      <c r="Y85" s="61"/>
      <c r="Z85" s="61"/>
      <c r="AA85" s="61"/>
    </row>
    <row r="86" spans="2:27" s="59" customFormat="1" x14ac:dyDescent="0.2">
      <c r="C86" s="62" t="s">
        <v>2</v>
      </c>
      <c r="E86" s="59" t="str">
        <f>IF(E31=1,E8,"")</f>
        <v/>
      </c>
      <c r="F86" s="59" t="str">
        <f t="shared" ref="F86:W87" si="71">IF(F31=1,F8,"")</f>
        <v/>
      </c>
      <c r="G86" s="59" t="str">
        <f t="shared" si="71"/>
        <v/>
      </c>
      <c r="H86" s="59" t="str">
        <f t="shared" si="71"/>
        <v/>
      </c>
      <c r="I86" s="59" t="str">
        <f t="shared" si="71"/>
        <v/>
      </c>
      <c r="J86" s="59" t="str">
        <f t="shared" si="71"/>
        <v/>
      </c>
      <c r="K86" s="59" t="str">
        <f t="shared" si="71"/>
        <v/>
      </c>
      <c r="L86" s="59" t="str">
        <f t="shared" si="71"/>
        <v/>
      </c>
      <c r="M86" s="59" t="str">
        <f t="shared" si="71"/>
        <v/>
      </c>
      <c r="N86" s="59" t="str">
        <f t="shared" si="71"/>
        <v/>
      </c>
      <c r="O86" s="59" t="str">
        <f t="shared" si="71"/>
        <v/>
      </c>
      <c r="P86" s="59" t="str">
        <f t="shared" si="71"/>
        <v/>
      </c>
      <c r="Q86" s="59" t="str">
        <f t="shared" si="71"/>
        <v/>
      </c>
      <c r="R86" s="59" t="str">
        <f>IF(R31=1,R8,"")</f>
        <v/>
      </c>
      <c r="S86" s="59" t="str">
        <f>IF(S31=1,S8,"")</f>
        <v/>
      </c>
      <c r="T86" s="59" t="str">
        <f t="shared" si="71"/>
        <v/>
      </c>
      <c r="U86" s="59" t="str">
        <f>IF(U31=1,U8,"")</f>
        <v/>
      </c>
      <c r="V86" s="59" t="str">
        <f>IF(V31=1,V8,"")</f>
        <v/>
      </c>
      <c r="W86" s="59" t="str">
        <f t="shared" si="71"/>
        <v/>
      </c>
      <c r="Y86" s="61"/>
      <c r="Z86" s="61"/>
      <c r="AA86" s="61"/>
    </row>
    <row r="87" spans="2:27" s="59" customFormat="1" x14ac:dyDescent="0.2">
      <c r="C87" s="62" t="s">
        <v>3</v>
      </c>
      <c r="E87" s="59" t="str">
        <f>IF(E32=1,E9,"")</f>
        <v/>
      </c>
      <c r="F87" s="59" t="str">
        <f t="shared" si="71"/>
        <v/>
      </c>
      <c r="G87" s="59" t="str">
        <f t="shared" si="71"/>
        <v/>
      </c>
      <c r="H87" s="59" t="str">
        <f t="shared" si="71"/>
        <v/>
      </c>
      <c r="I87" s="59" t="str">
        <f t="shared" si="71"/>
        <v/>
      </c>
      <c r="J87" s="59" t="str">
        <f t="shared" si="71"/>
        <v/>
      </c>
      <c r="K87" s="59" t="str">
        <f t="shared" si="71"/>
        <v/>
      </c>
      <c r="L87" s="59" t="str">
        <f t="shared" si="71"/>
        <v/>
      </c>
      <c r="M87" s="59" t="str">
        <f t="shared" si="71"/>
        <v/>
      </c>
      <c r="N87" s="59" t="str">
        <f t="shared" si="71"/>
        <v/>
      </c>
      <c r="O87" s="59" t="str">
        <f t="shared" si="71"/>
        <v/>
      </c>
      <c r="P87" s="59" t="str">
        <f t="shared" si="71"/>
        <v/>
      </c>
      <c r="Q87" s="59" t="str">
        <f t="shared" si="71"/>
        <v/>
      </c>
      <c r="R87" s="59" t="str">
        <f>IF(R32=1,R9,"")</f>
        <v/>
      </c>
      <c r="S87" s="59" t="str">
        <f>IF(S32=1,S9,"")</f>
        <v/>
      </c>
      <c r="T87" s="59" t="str">
        <f t="shared" si="71"/>
        <v/>
      </c>
      <c r="U87" s="59" t="str">
        <f>IF(U32=1,U9,"")</f>
        <v/>
      </c>
      <c r="V87" s="59" t="str">
        <f>IF(V32=1,V9,"")</f>
        <v/>
      </c>
      <c r="W87" s="59" t="str">
        <f t="shared" si="71"/>
        <v/>
      </c>
      <c r="Y87" s="61"/>
      <c r="Z87" s="61"/>
      <c r="AA87" s="61"/>
    </row>
    <row r="88" spans="2:27" s="59" customFormat="1" x14ac:dyDescent="0.2">
      <c r="B88" s="59" t="s">
        <v>105</v>
      </c>
      <c r="C88" s="59" t="s">
        <v>36</v>
      </c>
      <c r="E88" s="67" t="b">
        <f>TRUE</f>
        <v>1</v>
      </c>
      <c r="F88" s="67" t="b">
        <f t="shared" ref="F88:W88" si="72">OR(F34&gt;2,F33=1)</f>
        <v>0</v>
      </c>
      <c r="G88" s="67" t="b">
        <f t="shared" si="72"/>
        <v>0</v>
      </c>
      <c r="H88" s="67" t="b">
        <f t="shared" si="72"/>
        <v>0</v>
      </c>
      <c r="I88" s="67" t="b">
        <f t="shared" si="72"/>
        <v>0</v>
      </c>
      <c r="J88" s="67" t="b">
        <f t="shared" si="72"/>
        <v>0</v>
      </c>
      <c r="K88" s="67" t="b">
        <f t="shared" si="72"/>
        <v>0</v>
      </c>
      <c r="L88" s="67" t="b">
        <f t="shared" si="72"/>
        <v>0</v>
      </c>
      <c r="M88" s="111" t="b">
        <f t="shared" si="72"/>
        <v>0</v>
      </c>
      <c r="N88" s="111" t="b">
        <f t="shared" si="72"/>
        <v>0</v>
      </c>
      <c r="O88" s="111" t="b">
        <f t="shared" si="72"/>
        <v>0</v>
      </c>
      <c r="P88" s="111" t="b">
        <f t="shared" si="72"/>
        <v>0</v>
      </c>
      <c r="Q88" s="111" t="b">
        <f t="shared" si="72"/>
        <v>0</v>
      </c>
      <c r="R88" s="111" t="b">
        <f t="shared" si="72"/>
        <v>0</v>
      </c>
      <c r="S88" s="111" t="b">
        <f t="shared" si="72"/>
        <v>0</v>
      </c>
      <c r="T88" s="111" t="b">
        <f t="shared" si="72"/>
        <v>0</v>
      </c>
      <c r="U88" s="111" t="b">
        <f t="shared" si="72"/>
        <v>0</v>
      </c>
      <c r="V88" s="111" t="b">
        <f t="shared" si="72"/>
        <v>0</v>
      </c>
      <c r="W88" s="111" t="b">
        <f t="shared" si="72"/>
        <v>0</v>
      </c>
      <c r="Y88" s="61"/>
      <c r="Z88" s="61"/>
      <c r="AA88" s="61"/>
    </row>
    <row r="89" spans="2:27" s="59" customFormat="1" x14ac:dyDescent="0.2">
      <c r="B89" s="59" t="s">
        <v>47</v>
      </c>
      <c r="C89" s="59" t="s">
        <v>36</v>
      </c>
      <c r="E89" s="67" t="b">
        <f>FALSE</f>
        <v>0</v>
      </c>
      <c r="F89" s="67" t="b">
        <f t="shared" ref="F89:W89" si="73">F34=1</f>
        <v>0</v>
      </c>
      <c r="G89" s="67" t="b">
        <f t="shared" si="73"/>
        <v>0</v>
      </c>
      <c r="H89" s="67" t="b">
        <f t="shared" si="73"/>
        <v>0</v>
      </c>
      <c r="I89" s="67" t="b">
        <f t="shared" si="73"/>
        <v>0</v>
      </c>
      <c r="J89" s="67" t="b">
        <f t="shared" si="73"/>
        <v>0</v>
      </c>
      <c r="K89" s="67" t="b">
        <f t="shared" si="73"/>
        <v>0</v>
      </c>
      <c r="L89" s="67" t="b">
        <f t="shared" si="73"/>
        <v>1</v>
      </c>
      <c r="M89" s="111" t="b">
        <f t="shared" si="73"/>
        <v>0</v>
      </c>
      <c r="N89" s="111" t="b">
        <f t="shared" si="73"/>
        <v>1</v>
      </c>
      <c r="O89" s="111" t="b">
        <f t="shared" si="73"/>
        <v>0</v>
      </c>
      <c r="P89" s="111" t="b">
        <f t="shared" si="73"/>
        <v>1</v>
      </c>
      <c r="Q89" s="111" t="b">
        <f t="shared" si="73"/>
        <v>0</v>
      </c>
      <c r="R89" s="111" t="b">
        <f t="shared" si="73"/>
        <v>1</v>
      </c>
      <c r="S89" s="111" t="b">
        <f t="shared" si="73"/>
        <v>0</v>
      </c>
      <c r="T89" s="111" t="b">
        <f t="shared" si="73"/>
        <v>0</v>
      </c>
      <c r="U89" s="111" t="b">
        <f t="shared" si="73"/>
        <v>0</v>
      </c>
      <c r="V89" s="111" t="b">
        <f t="shared" si="73"/>
        <v>0</v>
      </c>
      <c r="W89" s="111" t="b">
        <f t="shared" si="73"/>
        <v>0</v>
      </c>
      <c r="Y89" s="61"/>
      <c r="Z89" s="61"/>
      <c r="AA89" s="61"/>
    </row>
    <row r="90" spans="2:27" s="59" customFormat="1" x14ac:dyDescent="0.2">
      <c r="B90" s="59" t="s">
        <v>36</v>
      </c>
      <c r="C90" s="59" t="s">
        <v>36</v>
      </c>
      <c r="E90" s="67" t="b">
        <f>FALSE</f>
        <v>0</v>
      </c>
      <c r="F90" s="67" t="b">
        <f t="shared" ref="F90:W90" si="74">F34=0</f>
        <v>0</v>
      </c>
      <c r="G90" s="67" t="b">
        <f t="shared" si="74"/>
        <v>0</v>
      </c>
      <c r="H90" s="67" t="b">
        <f t="shared" si="74"/>
        <v>0</v>
      </c>
      <c r="I90" s="67" t="b">
        <f t="shared" si="74"/>
        <v>0</v>
      </c>
      <c r="J90" s="67" t="b">
        <f t="shared" si="74"/>
        <v>1</v>
      </c>
      <c r="K90" s="67" t="b">
        <f t="shared" si="74"/>
        <v>0</v>
      </c>
      <c r="L90" s="67" t="b">
        <f t="shared" si="74"/>
        <v>0</v>
      </c>
      <c r="M90" s="111" t="b">
        <f t="shared" si="74"/>
        <v>0</v>
      </c>
      <c r="N90" s="111" t="b">
        <f t="shared" si="74"/>
        <v>0</v>
      </c>
      <c r="O90" s="111" t="b">
        <f t="shared" si="74"/>
        <v>0</v>
      </c>
      <c r="P90" s="111" t="b">
        <f t="shared" si="74"/>
        <v>0</v>
      </c>
      <c r="Q90" s="111" t="b">
        <f t="shared" si="74"/>
        <v>0</v>
      </c>
      <c r="R90" s="111" t="b">
        <f t="shared" si="74"/>
        <v>0</v>
      </c>
      <c r="S90" s="111" t="b">
        <f t="shared" si="74"/>
        <v>0</v>
      </c>
      <c r="T90" s="111" t="b">
        <f t="shared" si="74"/>
        <v>0</v>
      </c>
      <c r="U90" s="111" t="b">
        <f t="shared" si="74"/>
        <v>0</v>
      </c>
      <c r="V90" s="111" t="b">
        <f t="shared" si="74"/>
        <v>1</v>
      </c>
      <c r="W90" s="111" t="b">
        <f t="shared" si="74"/>
        <v>1</v>
      </c>
      <c r="Y90" s="61"/>
      <c r="Z90" s="61"/>
      <c r="AA90" s="61"/>
    </row>
    <row r="91" spans="2:27" s="59" customFormat="1" x14ac:dyDescent="0.2">
      <c r="E91" s="68"/>
      <c r="Y91" s="61"/>
      <c r="Z91" s="61"/>
      <c r="AA91" s="61"/>
    </row>
    <row r="92" spans="2:27" s="59" customFormat="1" ht="25.5" x14ac:dyDescent="0.2">
      <c r="B92" s="71" t="s">
        <v>106</v>
      </c>
      <c r="C92" s="62" t="s">
        <v>0</v>
      </c>
      <c r="E92" s="59" t="str">
        <f>IF(E28&gt;6,"",CHOOSE(E28+1,E36,E44,E52,E60,E68,E76,E84))</f>
        <v/>
      </c>
      <c r="F92" s="59">
        <f t="shared" ref="F92:W92" si="75">IF(F28&gt;6,"",CHOOSE(F28+1,F36,F44,F52,F60,F68,F76,F84))</f>
        <v>-27</v>
      </c>
      <c r="G92" s="59">
        <f t="shared" si="75"/>
        <v>-27</v>
      </c>
      <c r="H92" s="59">
        <f t="shared" si="75"/>
        <v>-27</v>
      </c>
      <c r="I92" s="59">
        <f t="shared" si="75"/>
        <v>20</v>
      </c>
      <c r="J92" s="59" t="str">
        <f t="shared" si="75"/>
        <v/>
      </c>
      <c r="K92" s="59">
        <f t="shared" si="75"/>
        <v>12.276969485124184</v>
      </c>
      <c r="L92" s="59">
        <f t="shared" si="75"/>
        <v>8</v>
      </c>
      <c r="M92" s="59">
        <f t="shared" si="75"/>
        <v>8</v>
      </c>
      <c r="N92" s="59">
        <f t="shared" si="75"/>
        <v>20</v>
      </c>
      <c r="O92" s="59">
        <f t="shared" si="75"/>
        <v>35</v>
      </c>
      <c r="P92" s="59">
        <f t="shared" si="75"/>
        <v>16</v>
      </c>
      <c r="Q92" s="59">
        <f t="shared" si="75"/>
        <v>16</v>
      </c>
      <c r="R92" s="59">
        <f t="shared" si="75"/>
        <v>20</v>
      </c>
      <c r="S92" s="59">
        <f t="shared" si="75"/>
        <v>20</v>
      </c>
      <c r="T92" s="59">
        <f t="shared" si="75"/>
        <v>20</v>
      </c>
      <c r="U92" s="59">
        <f t="shared" si="75"/>
        <v>20</v>
      </c>
      <c r="V92" s="59" t="str">
        <f t="shared" si="75"/>
        <v/>
      </c>
      <c r="W92" s="59" t="str">
        <f t="shared" si="75"/>
        <v/>
      </c>
      <c r="Y92" s="61"/>
      <c r="Z92" s="61"/>
      <c r="AA92" s="61"/>
    </row>
    <row r="93" spans="2:27" s="59" customFormat="1" x14ac:dyDescent="0.2">
      <c r="C93" s="63" t="s">
        <v>1</v>
      </c>
      <c r="E93" s="59" t="str">
        <f>IF(E28&gt;6,"",CHOOSE(E28+1,E37,E45,E53,E61,E69,E77,E85))</f>
        <v/>
      </c>
      <c r="F93" s="59">
        <f t="shared" ref="F93:W93" si="76">IF(F28&gt;6,"",CHOOSE(F28+1,F37,F45,F53,F61,F69,F77,F85))</f>
        <v>0.2</v>
      </c>
      <c r="G93" s="59">
        <f t="shared" si="76"/>
        <v>0.2</v>
      </c>
      <c r="H93" s="59">
        <f t="shared" si="76"/>
        <v>0.2</v>
      </c>
      <c r="I93" s="59">
        <f t="shared" si="76"/>
        <v>0.6</v>
      </c>
      <c r="J93" s="59" t="str">
        <f t="shared" si="76"/>
        <v/>
      </c>
      <c r="K93" s="59">
        <f t="shared" si="76"/>
        <v>8.2237877683581581E-3</v>
      </c>
      <c r="L93" s="59" t="str">
        <f t="shared" si="76"/>
        <v/>
      </c>
      <c r="M93" s="59">
        <f t="shared" si="76"/>
        <v>1.0957095429561066E-4</v>
      </c>
      <c r="N93" s="59" t="str">
        <f t="shared" si="76"/>
        <v/>
      </c>
      <c r="O93" s="59">
        <f t="shared" si="76"/>
        <v>0.4</v>
      </c>
      <c r="P93" s="59" t="str">
        <f t="shared" si="76"/>
        <v/>
      </c>
      <c r="Q93" s="59">
        <f t="shared" si="76"/>
        <v>7.5771330367416147E-3</v>
      </c>
      <c r="R93" s="59" t="str">
        <f t="shared" si="76"/>
        <v/>
      </c>
      <c r="S93" s="59">
        <f t="shared" si="76"/>
        <v>5.889954581965501E-5</v>
      </c>
      <c r="T93" s="59">
        <f t="shared" si="76"/>
        <v>5.8899545819655011E-7</v>
      </c>
      <c r="U93" s="59">
        <f t="shared" si="76"/>
        <v>5.889954581965502E-9</v>
      </c>
      <c r="V93" s="59" t="str">
        <f t="shared" si="76"/>
        <v/>
      </c>
      <c r="W93" s="59" t="str">
        <f t="shared" si="76"/>
        <v/>
      </c>
      <c r="Y93" s="61"/>
      <c r="Z93" s="61"/>
      <c r="AA93" s="61"/>
    </row>
    <row r="94" spans="2:27" s="59" customFormat="1" x14ac:dyDescent="0.2">
      <c r="C94" s="62" t="s">
        <v>2</v>
      </c>
      <c r="E94" s="59" t="str">
        <f>IF(E28&gt;6,"",CHOOSE(E28+1,E38,E46,E54,E62,E70,E78,E86))</f>
        <v/>
      </c>
      <c r="F94" s="59" t="str">
        <f t="shared" ref="F94:W94" si="77">IF(F28&gt;6,"",CHOOSE(F28+1,F38,F46,F54,F62,F70,F78,F86))</f>
        <v/>
      </c>
      <c r="G94" s="59" t="str">
        <f t="shared" si="77"/>
        <v/>
      </c>
      <c r="H94" s="59" t="str">
        <f t="shared" si="77"/>
        <v/>
      </c>
      <c r="I94" s="59" t="str">
        <f t="shared" si="77"/>
        <v/>
      </c>
      <c r="J94" s="59">
        <f t="shared" si="77"/>
        <v>7.8244380135531229</v>
      </c>
      <c r="K94" s="59" t="str">
        <f t="shared" si="77"/>
        <v/>
      </c>
      <c r="L94" s="59">
        <f t="shared" si="77"/>
        <v>7.7282240629995516E-2</v>
      </c>
      <c r="M94" s="59" t="str">
        <f t="shared" si="77"/>
        <v/>
      </c>
      <c r="N94" s="59">
        <f t="shared" si="77"/>
        <v>7.727273871375711E-4</v>
      </c>
      <c r="O94" s="59" t="str">
        <f t="shared" si="77"/>
        <v/>
      </c>
      <c r="P94" s="59" t="str">
        <f t="shared" si="77"/>
        <v/>
      </c>
      <c r="Q94" s="59" t="str">
        <f t="shared" si="77"/>
        <v/>
      </c>
      <c r="R94" s="59">
        <f t="shared" si="77"/>
        <v>9.0684559843778378E-2</v>
      </c>
      <c r="S94" s="59" t="str">
        <f t="shared" si="77"/>
        <v/>
      </c>
      <c r="T94" s="59" t="str">
        <f t="shared" si="77"/>
        <v/>
      </c>
      <c r="U94" s="59" t="str">
        <f t="shared" si="77"/>
        <v/>
      </c>
      <c r="V94" s="59" t="str">
        <f t="shared" si="77"/>
        <v/>
      </c>
      <c r="W94" s="59" t="str">
        <f t="shared" si="77"/>
        <v/>
      </c>
      <c r="Y94" s="61"/>
      <c r="Z94" s="61"/>
      <c r="AA94" s="61"/>
    </row>
    <row r="95" spans="2:27" s="59" customFormat="1" x14ac:dyDescent="0.2">
      <c r="C95" s="62" t="s">
        <v>3</v>
      </c>
      <c r="E95" s="59" t="str">
        <f>IF(E28&gt;6,"",CHOOSE(E28+1,E39,E47,E55,E63,E71,E79,E87))</f>
        <v/>
      </c>
      <c r="F95" s="59" t="str">
        <f t="shared" ref="F95:W95" si="78">IF(F28&gt;6,"",CHOOSE(F28+1,F39,F47,F55,F63,F71,F79,F87))</f>
        <v/>
      </c>
      <c r="G95" s="59" t="str">
        <f t="shared" si="78"/>
        <v/>
      </c>
      <c r="H95" s="59" t="str">
        <f t="shared" si="78"/>
        <v/>
      </c>
      <c r="I95" s="59" t="str">
        <f t="shared" si="78"/>
        <v/>
      </c>
      <c r="J95" s="59">
        <f t="shared" si="78"/>
        <v>32.147330971190769</v>
      </c>
      <c r="K95" s="59" t="str">
        <f t="shared" si="78"/>
        <v/>
      </c>
      <c r="L95" s="59" t="str">
        <f t="shared" si="78"/>
        <v/>
      </c>
      <c r="M95" s="59" t="str">
        <f t="shared" si="78"/>
        <v/>
      </c>
      <c r="N95" s="59" t="str">
        <f t="shared" si="78"/>
        <v/>
      </c>
      <c r="O95" s="59" t="str">
        <f t="shared" si="78"/>
        <v/>
      </c>
      <c r="P95" s="59">
        <f t="shared" si="78"/>
        <v>39.446082331350226</v>
      </c>
      <c r="Q95" s="59" t="str">
        <f t="shared" si="78"/>
        <v/>
      </c>
      <c r="R95" s="59" t="str">
        <f t="shared" si="78"/>
        <v/>
      </c>
      <c r="S95" s="59" t="str">
        <f t="shared" si="78"/>
        <v/>
      </c>
      <c r="T95" s="59" t="str">
        <f t="shared" si="78"/>
        <v/>
      </c>
      <c r="U95" s="59" t="str">
        <f t="shared" si="78"/>
        <v/>
      </c>
      <c r="V95" s="59" t="str">
        <f t="shared" si="78"/>
        <v/>
      </c>
      <c r="W95" s="59" t="str">
        <f t="shared" si="78"/>
        <v/>
      </c>
      <c r="Y95" s="61"/>
      <c r="Z95" s="61"/>
      <c r="AA95" s="61"/>
    </row>
    <row r="96" spans="2:27" s="59" customFormat="1" x14ac:dyDescent="0.2">
      <c r="B96" s="59" t="s">
        <v>105</v>
      </c>
      <c r="C96" s="59" t="s">
        <v>36</v>
      </c>
      <c r="E96" s="67" t="b">
        <f>IF(OR(E28&gt;6,AND(E11&lt;&gt;"",E12&lt;&gt;"")),TRUE,CHOOSE(E28+1,E40,E48,E56,E64,E72,E80,E88))</f>
        <v>0</v>
      </c>
      <c r="F96" s="67" t="b">
        <f t="shared" ref="F96:W96" si="79">IF(OR(F28&gt;6,AND(F11&lt;&gt;"",F12&lt;&gt;"")),TRUE,CHOOSE(F28+1,F40,F48,F56,F64,F72,F80,F88))</f>
        <v>0</v>
      </c>
      <c r="G96" s="67" t="b">
        <f t="shared" si="79"/>
        <v>0</v>
      </c>
      <c r="H96" s="67" t="b">
        <f t="shared" si="79"/>
        <v>0</v>
      </c>
      <c r="I96" s="67" t="b">
        <f t="shared" si="79"/>
        <v>0</v>
      </c>
      <c r="J96" s="67" t="b">
        <f t="shared" si="79"/>
        <v>0</v>
      </c>
      <c r="K96" s="67" t="b">
        <f t="shared" si="79"/>
        <v>0</v>
      </c>
      <c r="L96" s="67" t="b">
        <f t="shared" si="79"/>
        <v>0</v>
      </c>
      <c r="M96" s="111" t="b">
        <f t="shared" si="79"/>
        <v>0</v>
      </c>
      <c r="N96" s="111" t="b">
        <f t="shared" si="79"/>
        <v>0</v>
      </c>
      <c r="O96" s="111" t="b">
        <f t="shared" si="79"/>
        <v>0</v>
      </c>
      <c r="P96" s="111" t="b">
        <f t="shared" si="79"/>
        <v>0</v>
      </c>
      <c r="Q96" s="111" t="b">
        <f t="shared" si="79"/>
        <v>0</v>
      </c>
      <c r="R96" s="111" t="b">
        <f>IF(OR(R28&gt;6,AND(R11&lt;&gt;"",R12&lt;&gt;"")),TRUE,CHOOSE(R28+1,R40,R48,R56,R64,R72,R80,R88))</f>
        <v>0</v>
      </c>
      <c r="S96" s="111" t="b">
        <f>IF(OR(S28&gt;6,AND(S11&lt;&gt;"",S12&lt;&gt;"")),TRUE,CHOOSE(S28+1,S40,S48,S56,S64,S72,S80,S88))</f>
        <v>0</v>
      </c>
      <c r="T96" s="111" t="b">
        <f t="shared" si="79"/>
        <v>0</v>
      </c>
      <c r="U96" s="111" t="b">
        <f>IF(OR(U28&gt;6,AND(U11&lt;&gt;"",U12&lt;&gt;"")),TRUE,CHOOSE(U28+1,U40,U48,U56,U64,U72,U80,U88))</f>
        <v>0</v>
      </c>
      <c r="V96" s="111" t="b">
        <f>IF(OR(V28&gt;6,AND(V11&lt;&gt;"",V12&lt;&gt;"")),TRUE,CHOOSE(V28+1,V40,V48,V56,V64,V72,V80,V88))</f>
        <v>0</v>
      </c>
      <c r="W96" s="111" t="b">
        <f t="shared" si="79"/>
        <v>0</v>
      </c>
      <c r="Y96" s="61"/>
      <c r="Z96" s="61"/>
      <c r="AA96" s="61"/>
    </row>
    <row r="97" spans="2:27" s="59" customFormat="1" x14ac:dyDescent="0.2">
      <c r="B97" s="59" t="s">
        <v>47</v>
      </c>
      <c r="C97" s="59" t="s">
        <v>36</v>
      </c>
      <c r="E97" s="67" t="b">
        <f>IF(E28&gt;6,TRUE,CHOOSE(E28+1,E41,E49,E57,E65,E73,E81,E89))</f>
        <v>0</v>
      </c>
      <c r="F97" s="67" t="b">
        <f t="shared" ref="F97:W97" si="80">IF(F28&gt;6,TRUE,CHOOSE(F28+1,F41,F49,F57,F65,F73,F81,F89))</f>
        <v>0</v>
      </c>
      <c r="G97" s="67" t="b">
        <f t="shared" si="80"/>
        <v>0</v>
      </c>
      <c r="H97" s="67" t="b">
        <f t="shared" si="80"/>
        <v>0</v>
      </c>
      <c r="I97" s="67" t="b">
        <f t="shared" si="80"/>
        <v>0</v>
      </c>
      <c r="J97" s="67" t="b">
        <f t="shared" si="80"/>
        <v>0</v>
      </c>
      <c r="K97" s="67" t="b">
        <f t="shared" si="80"/>
        <v>0</v>
      </c>
      <c r="L97" s="67" t="b">
        <f t="shared" si="80"/>
        <v>0</v>
      </c>
      <c r="M97" s="111" t="b">
        <f t="shared" si="80"/>
        <v>0</v>
      </c>
      <c r="N97" s="111" t="b">
        <f t="shared" si="80"/>
        <v>0</v>
      </c>
      <c r="O97" s="111" t="b">
        <f t="shared" si="80"/>
        <v>0</v>
      </c>
      <c r="P97" s="111" t="b">
        <f t="shared" si="80"/>
        <v>0</v>
      </c>
      <c r="Q97" s="111" t="b">
        <f t="shared" si="80"/>
        <v>0</v>
      </c>
      <c r="R97" s="111" t="b">
        <f t="shared" si="80"/>
        <v>0</v>
      </c>
      <c r="S97" s="111" t="b">
        <f t="shared" si="80"/>
        <v>0</v>
      </c>
      <c r="T97" s="111" t="b">
        <f t="shared" si="80"/>
        <v>0</v>
      </c>
      <c r="U97" s="111" t="b">
        <f t="shared" si="80"/>
        <v>0</v>
      </c>
      <c r="V97" s="111" t="b">
        <f t="shared" si="80"/>
        <v>0</v>
      </c>
      <c r="W97" s="111" t="b">
        <f t="shared" si="80"/>
        <v>0</v>
      </c>
      <c r="Y97" s="61"/>
      <c r="Z97" s="61"/>
      <c r="AA97" s="61"/>
    </row>
    <row r="98" spans="2:27" s="59" customFormat="1" x14ac:dyDescent="0.2">
      <c r="B98" s="59" t="s">
        <v>36</v>
      </c>
      <c r="C98" s="59" t="s">
        <v>36</v>
      </c>
      <c r="E98" s="67" t="b">
        <f>IF(E28&gt;6,TRUE,CHOOSE(E28+1,E42,E50,E58,E66,E74,E82,E90))</f>
        <v>1</v>
      </c>
      <c r="F98" s="67" t="b">
        <f t="shared" ref="F98:W98" si="81">IF(F28&gt;6,TRUE,CHOOSE(F28+1,F42,F50,F58,F66,F74,F82,F90))</f>
        <v>0</v>
      </c>
      <c r="G98" s="67" t="b">
        <f t="shared" si="81"/>
        <v>0</v>
      </c>
      <c r="H98" s="67" t="b">
        <f t="shared" si="81"/>
        <v>0</v>
      </c>
      <c r="I98" s="67" t="b">
        <f t="shared" si="81"/>
        <v>0</v>
      </c>
      <c r="J98" s="67" t="b">
        <f t="shared" si="81"/>
        <v>0</v>
      </c>
      <c r="K98" s="67" t="b">
        <f t="shared" si="81"/>
        <v>0</v>
      </c>
      <c r="L98" s="67" t="b">
        <f t="shared" si="81"/>
        <v>0</v>
      </c>
      <c r="M98" s="111" t="b">
        <f t="shared" si="81"/>
        <v>0</v>
      </c>
      <c r="N98" s="111" t="b">
        <f t="shared" si="81"/>
        <v>0</v>
      </c>
      <c r="O98" s="111" t="b">
        <f t="shared" si="81"/>
        <v>0</v>
      </c>
      <c r="P98" s="111" t="b">
        <f t="shared" si="81"/>
        <v>0</v>
      </c>
      <c r="Q98" s="111" t="b">
        <f t="shared" si="81"/>
        <v>0</v>
      </c>
      <c r="R98" s="111" t="b">
        <f t="shared" si="81"/>
        <v>0</v>
      </c>
      <c r="S98" s="111" t="b">
        <f t="shared" si="81"/>
        <v>0</v>
      </c>
      <c r="T98" s="111" t="b">
        <f t="shared" si="81"/>
        <v>0</v>
      </c>
      <c r="U98" s="111" t="b">
        <f t="shared" si="81"/>
        <v>0</v>
      </c>
      <c r="V98" s="111" t="b">
        <f t="shared" si="81"/>
        <v>1</v>
      </c>
      <c r="W98" s="111" t="b">
        <f t="shared" si="81"/>
        <v>1</v>
      </c>
      <c r="Y98" s="61"/>
      <c r="Z98" s="61"/>
      <c r="AA98" s="61"/>
    </row>
    <row r="99" spans="2:27" s="59" customFormat="1" x14ac:dyDescent="0.2">
      <c r="Y99" s="61"/>
      <c r="Z99" s="61"/>
      <c r="AA99" s="61"/>
    </row>
    <row r="100" spans="2:27" s="59" customFormat="1" x14ac:dyDescent="0.2">
      <c r="B100" s="72" t="s">
        <v>114</v>
      </c>
      <c r="C100" s="65"/>
      <c r="Y100" s="61"/>
      <c r="Z100" s="61"/>
      <c r="AA100" s="61"/>
    </row>
    <row r="101" spans="2:27" s="59" customFormat="1" x14ac:dyDescent="0.2">
      <c r="C101" s="65"/>
      <c r="Y101" s="61"/>
      <c r="Z101" s="61"/>
      <c r="AA101" s="61"/>
    </row>
    <row r="102" spans="2:27" s="59" customFormat="1" x14ac:dyDescent="0.2">
      <c r="B102" s="73" t="s">
        <v>108</v>
      </c>
      <c r="C102" s="65" t="s">
        <v>0</v>
      </c>
      <c r="E102" s="59">
        <f>IF(AND(E$92&lt;&gt;"",E$94&lt;&gt;""),E$92,0)</f>
        <v>0</v>
      </c>
      <c r="F102" s="59">
        <f t="shared" ref="F102:W102" si="82">IF(AND(F$92&lt;&gt;"",F$94&lt;&gt;""),F$92,0)</f>
        <v>0</v>
      </c>
      <c r="G102" s="59">
        <f t="shared" si="82"/>
        <v>0</v>
      </c>
      <c r="H102" s="59">
        <f t="shared" si="82"/>
        <v>0</v>
      </c>
      <c r="I102" s="59">
        <f t="shared" si="82"/>
        <v>0</v>
      </c>
      <c r="J102" s="59">
        <f t="shared" si="82"/>
        <v>0</v>
      </c>
      <c r="K102" s="59">
        <f t="shared" si="82"/>
        <v>0</v>
      </c>
      <c r="L102" s="59">
        <f t="shared" si="82"/>
        <v>8</v>
      </c>
      <c r="M102" s="59">
        <f t="shared" si="82"/>
        <v>0</v>
      </c>
      <c r="N102" s="59">
        <f t="shared" si="82"/>
        <v>20</v>
      </c>
      <c r="O102" s="59">
        <f t="shared" si="82"/>
        <v>0</v>
      </c>
      <c r="P102" s="59">
        <f t="shared" si="82"/>
        <v>0</v>
      </c>
      <c r="Q102" s="59">
        <f t="shared" si="82"/>
        <v>0</v>
      </c>
      <c r="R102" s="59">
        <f t="shared" si="82"/>
        <v>20</v>
      </c>
      <c r="S102" s="59">
        <f t="shared" si="82"/>
        <v>0</v>
      </c>
      <c r="T102" s="59">
        <f t="shared" si="82"/>
        <v>0</v>
      </c>
      <c r="U102" s="59">
        <f t="shared" si="82"/>
        <v>0</v>
      </c>
      <c r="V102" s="59">
        <f t="shared" si="82"/>
        <v>0</v>
      </c>
      <c r="W102" s="59">
        <f t="shared" si="82"/>
        <v>0</v>
      </c>
      <c r="Y102" s="61"/>
      <c r="Z102" s="61"/>
      <c r="AA102" s="61"/>
    </row>
    <row r="103" spans="2:27" s="59" customFormat="1" x14ac:dyDescent="0.2">
      <c r="C103" s="65" t="s">
        <v>2</v>
      </c>
      <c r="E103" s="59">
        <f>IF(AND(E$92&lt;&gt;"",E$94&lt;&gt;""),E$94,0)</f>
        <v>0</v>
      </c>
      <c r="F103" s="59">
        <f t="shared" ref="F103:W103" si="83">IF(AND(F$92&lt;&gt;"",F$94&lt;&gt;""),F$94,0)</f>
        <v>0</v>
      </c>
      <c r="G103" s="59">
        <f t="shared" si="83"/>
        <v>0</v>
      </c>
      <c r="H103" s="59">
        <f t="shared" si="83"/>
        <v>0</v>
      </c>
      <c r="I103" s="59">
        <f t="shared" si="83"/>
        <v>0</v>
      </c>
      <c r="J103" s="59">
        <f t="shared" si="83"/>
        <v>0</v>
      </c>
      <c r="K103" s="59">
        <f t="shared" si="83"/>
        <v>0</v>
      </c>
      <c r="L103" s="59">
        <f t="shared" si="83"/>
        <v>7.7282240629995516E-2</v>
      </c>
      <c r="M103" s="59">
        <f t="shared" si="83"/>
        <v>0</v>
      </c>
      <c r="N103" s="59">
        <f t="shared" si="83"/>
        <v>7.727273871375711E-4</v>
      </c>
      <c r="O103" s="59">
        <f t="shared" si="83"/>
        <v>0</v>
      </c>
      <c r="P103" s="59">
        <f t="shared" si="83"/>
        <v>0</v>
      </c>
      <c r="Q103" s="59">
        <f t="shared" si="83"/>
        <v>0</v>
      </c>
      <c r="R103" s="59">
        <f t="shared" si="83"/>
        <v>9.0684559843778378E-2</v>
      </c>
      <c r="S103" s="59">
        <f t="shared" si="83"/>
        <v>0</v>
      </c>
      <c r="T103" s="59">
        <f t="shared" si="83"/>
        <v>0</v>
      </c>
      <c r="U103" s="59">
        <f t="shared" si="83"/>
        <v>0</v>
      </c>
      <c r="V103" s="59">
        <f t="shared" si="83"/>
        <v>0</v>
      </c>
      <c r="W103" s="59">
        <f t="shared" si="83"/>
        <v>0</v>
      </c>
      <c r="Y103" s="61"/>
      <c r="Z103" s="61"/>
      <c r="AA103" s="61"/>
    </row>
    <row r="104" spans="2:27" s="59" customFormat="1" ht="25.5" x14ac:dyDescent="0.2">
      <c r="B104" s="64" t="s">
        <v>115</v>
      </c>
      <c r="C104" s="65" t="s">
        <v>31</v>
      </c>
      <c r="E104" s="74">
        <f>IF(E102&lt;-50,#N/A,IF(E102&lt;0,EXP((1738.4+28.74*E102)/(271+E102)),IF(E102&lt;=100,EXP((1500.3+23.5*E102)/(234+E102)),#N/A)))</f>
        <v>608.82962187913188</v>
      </c>
      <c r="F104" s="74">
        <f t="shared" ref="F104:W104" si="84">IF(F102&lt;-50,#N/A,IF(F102&lt;0,EXP((1738.4+28.74*F102)/(271+F102)),IF(F102&lt;=100,EXP((1500.3+23.5*F102)/(234+F102)),#N/A)))</f>
        <v>608.82962187913188</v>
      </c>
      <c r="G104" s="74">
        <f t="shared" si="84"/>
        <v>608.82962187913188</v>
      </c>
      <c r="H104" s="74">
        <f t="shared" si="84"/>
        <v>608.82962187913188</v>
      </c>
      <c r="I104" s="74">
        <f t="shared" si="84"/>
        <v>608.82962187913188</v>
      </c>
      <c r="J104" s="74">
        <f t="shared" si="84"/>
        <v>608.82962187913188</v>
      </c>
      <c r="K104" s="74">
        <f t="shared" si="84"/>
        <v>608.82962187913188</v>
      </c>
      <c r="L104" s="74">
        <f t="shared" si="84"/>
        <v>1071.1051886578423</v>
      </c>
      <c r="M104" s="70">
        <f t="shared" si="84"/>
        <v>608.82962187913188</v>
      </c>
      <c r="N104" s="70">
        <f t="shared" si="84"/>
        <v>2338.0829353370973</v>
      </c>
      <c r="O104" s="70">
        <f t="shared" si="84"/>
        <v>608.82962187913188</v>
      </c>
      <c r="P104" s="70">
        <f t="shared" si="84"/>
        <v>608.82962187913188</v>
      </c>
      <c r="Q104" s="70">
        <f t="shared" si="84"/>
        <v>608.82962187913188</v>
      </c>
      <c r="R104" s="70">
        <f t="shared" si="84"/>
        <v>2338.0829353370973</v>
      </c>
      <c r="S104" s="70">
        <f t="shared" si="84"/>
        <v>608.82962187913188</v>
      </c>
      <c r="T104" s="70">
        <f t="shared" si="84"/>
        <v>608.82962187913188</v>
      </c>
      <c r="U104" s="70">
        <f t="shared" si="84"/>
        <v>608.82962187913188</v>
      </c>
      <c r="V104" s="70">
        <f t="shared" si="84"/>
        <v>608.82962187913188</v>
      </c>
      <c r="W104" s="70">
        <f t="shared" si="84"/>
        <v>608.82962187913188</v>
      </c>
      <c r="Y104" s="61"/>
      <c r="Z104" s="61"/>
      <c r="AA104" s="61"/>
    </row>
    <row r="105" spans="2:27" s="59" customFormat="1" ht="25.5" x14ac:dyDescent="0.2">
      <c r="B105" s="64" t="s">
        <v>115</v>
      </c>
      <c r="C105" s="65" t="s">
        <v>2</v>
      </c>
      <c r="E105" s="59">
        <f>0.6222*MaxVlhkost*E104/(Tlak_vzduchu-MaxVlhkost*E104/1000)</f>
        <v>4.0346050561264439</v>
      </c>
      <c r="F105" s="59">
        <f t="shared" ref="F105:N105" si="85">0.6222*MaxVlhkost*F104/(Tlak_vzduchu-MaxVlhkost*F104/1000)</f>
        <v>4.0346050561264439</v>
      </c>
      <c r="G105" s="59">
        <f t="shared" si="85"/>
        <v>4.0346050561264439</v>
      </c>
      <c r="H105" s="59">
        <f t="shared" si="85"/>
        <v>4.0346050561264439</v>
      </c>
      <c r="I105" s="59">
        <f t="shared" si="85"/>
        <v>4.0346050561264439</v>
      </c>
      <c r="J105" s="59">
        <f t="shared" si="85"/>
        <v>4.0346050561264439</v>
      </c>
      <c r="K105" s="59">
        <f t="shared" si="85"/>
        <v>4.0346050561264439</v>
      </c>
      <c r="L105" s="59">
        <f t="shared" si="85"/>
        <v>7.1331428005076241</v>
      </c>
      <c r="M105" s="59">
        <f t="shared" si="85"/>
        <v>4.0346050561264439</v>
      </c>
      <c r="N105" s="59">
        <f t="shared" si="85"/>
        <v>15.784775845602827</v>
      </c>
      <c r="O105" s="59">
        <f t="shared" ref="O105:W105" si="86">0.6222*MaxVlhkost*O104/(Tlak_vzduchu-MaxVlhkost*O104/1000)</f>
        <v>4.0346050561264439</v>
      </c>
      <c r="P105" s="59">
        <f t="shared" si="86"/>
        <v>4.0346050561264439</v>
      </c>
      <c r="Q105" s="59">
        <f t="shared" si="86"/>
        <v>4.0346050561264439</v>
      </c>
      <c r="R105" s="59">
        <f t="shared" si="86"/>
        <v>15.784775845602827</v>
      </c>
      <c r="S105" s="59">
        <f t="shared" si="86"/>
        <v>4.0346050561264439</v>
      </c>
      <c r="T105" s="59">
        <f t="shared" si="86"/>
        <v>4.0346050561264439</v>
      </c>
      <c r="U105" s="59">
        <f t="shared" si="86"/>
        <v>4.0346050561264439</v>
      </c>
      <c r="V105" s="59">
        <f t="shared" si="86"/>
        <v>4.0346050561264439</v>
      </c>
      <c r="W105" s="59">
        <f t="shared" si="86"/>
        <v>4.0346050561264439</v>
      </c>
      <c r="Y105" s="61"/>
      <c r="Z105" s="61"/>
      <c r="AA105" s="61"/>
    </row>
    <row r="106" spans="2:27" s="59" customFormat="1" x14ac:dyDescent="0.2">
      <c r="B106" s="75" t="s">
        <v>70</v>
      </c>
      <c r="C106" s="65" t="s">
        <v>33</v>
      </c>
      <c r="E106" s="59">
        <f>E102</f>
        <v>0</v>
      </c>
      <c r="F106" s="59">
        <f t="shared" ref="F106:W106" si="87">F102</f>
        <v>0</v>
      </c>
      <c r="G106" s="59">
        <f t="shared" si="87"/>
        <v>0</v>
      </c>
      <c r="H106" s="59">
        <f t="shared" si="87"/>
        <v>0</v>
      </c>
      <c r="I106" s="59">
        <f t="shared" si="87"/>
        <v>0</v>
      </c>
      <c r="J106" s="59">
        <f t="shared" si="87"/>
        <v>0</v>
      </c>
      <c r="K106" s="59">
        <f t="shared" si="87"/>
        <v>0</v>
      </c>
      <c r="L106" s="59">
        <f t="shared" si="87"/>
        <v>8</v>
      </c>
      <c r="M106" s="59">
        <f t="shared" si="87"/>
        <v>0</v>
      </c>
      <c r="N106" s="59">
        <f t="shared" si="87"/>
        <v>20</v>
      </c>
      <c r="O106" s="59">
        <f t="shared" si="87"/>
        <v>0</v>
      </c>
      <c r="P106" s="59">
        <f t="shared" si="87"/>
        <v>0</v>
      </c>
      <c r="Q106" s="59">
        <f t="shared" si="87"/>
        <v>0</v>
      </c>
      <c r="R106" s="59">
        <f t="shared" si="87"/>
        <v>20</v>
      </c>
      <c r="S106" s="59">
        <f t="shared" si="87"/>
        <v>0</v>
      </c>
      <c r="T106" s="59">
        <f t="shared" si="87"/>
        <v>0</v>
      </c>
      <c r="U106" s="59">
        <f t="shared" si="87"/>
        <v>0</v>
      </c>
      <c r="V106" s="59">
        <f t="shared" si="87"/>
        <v>0</v>
      </c>
      <c r="W106" s="59">
        <f t="shared" si="87"/>
        <v>0</v>
      </c>
      <c r="Y106" s="61"/>
      <c r="Z106" s="61"/>
      <c r="AA106" s="61"/>
    </row>
    <row r="107" spans="2:27" s="59" customFormat="1" x14ac:dyDescent="0.2">
      <c r="C107" s="65" t="s">
        <v>34</v>
      </c>
      <c r="E107" s="59">
        <f>MIN(E103,E105)</f>
        <v>0</v>
      </c>
      <c r="F107" s="59">
        <f t="shared" ref="F107:W107" si="88">MIN(F103,F105)</f>
        <v>0</v>
      </c>
      <c r="G107" s="59">
        <f t="shared" si="88"/>
        <v>0</v>
      </c>
      <c r="H107" s="59">
        <f t="shared" si="88"/>
        <v>0</v>
      </c>
      <c r="I107" s="59">
        <f t="shared" si="88"/>
        <v>0</v>
      </c>
      <c r="J107" s="59">
        <f t="shared" si="88"/>
        <v>0</v>
      </c>
      <c r="K107" s="59">
        <f t="shared" si="88"/>
        <v>0</v>
      </c>
      <c r="L107" s="59">
        <f t="shared" si="88"/>
        <v>7.7282240629995516E-2</v>
      </c>
      <c r="M107" s="59">
        <f t="shared" si="88"/>
        <v>0</v>
      </c>
      <c r="N107" s="59">
        <f t="shared" si="88"/>
        <v>7.727273871375711E-4</v>
      </c>
      <c r="O107" s="59">
        <f t="shared" si="88"/>
        <v>0</v>
      </c>
      <c r="P107" s="59">
        <f t="shared" si="88"/>
        <v>0</v>
      </c>
      <c r="Q107" s="59">
        <f t="shared" si="88"/>
        <v>0</v>
      </c>
      <c r="R107" s="59">
        <f t="shared" si="88"/>
        <v>9.0684559843778378E-2</v>
      </c>
      <c r="S107" s="59">
        <f t="shared" si="88"/>
        <v>0</v>
      </c>
      <c r="T107" s="59">
        <f t="shared" si="88"/>
        <v>0</v>
      </c>
      <c r="U107" s="59">
        <f t="shared" si="88"/>
        <v>0</v>
      </c>
      <c r="V107" s="59">
        <f t="shared" si="88"/>
        <v>0</v>
      </c>
      <c r="W107" s="59">
        <f t="shared" si="88"/>
        <v>0</v>
      </c>
      <c r="Y107" s="61"/>
      <c r="Z107" s="61"/>
      <c r="AA107" s="61"/>
    </row>
    <row r="108" spans="2:27" s="59" customFormat="1" x14ac:dyDescent="0.2">
      <c r="C108" s="65"/>
      <c r="Y108" s="61"/>
      <c r="Z108" s="61"/>
      <c r="AA108" s="61"/>
    </row>
    <row r="109" spans="2:27" s="59" customFormat="1" x14ac:dyDescent="0.2">
      <c r="B109" s="73" t="s">
        <v>109</v>
      </c>
      <c r="C109" s="65" t="s">
        <v>0</v>
      </c>
      <c r="E109" s="59">
        <f>IF(AND(E$92&lt;&gt;"",E$95&lt;&gt;""),E$92,0)</f>
        <v>0</v>
      </c>
      <c r="F109" s="59">
        <f t="shared" ref="F109:W109" si="89">IF(AND(F$92&lt;&gt;"",F$95&lt;&gt;""),F$92,0)</f>
        <v>0</v>
      </c>
      <c r="G109" s="59">
        <f t="shared" si="89"/>
        <v>0</v>
      </c>
      <c r="H109" s="59">
        <f t="shared" si="89"/>
        <v>0</v>
      </c>
      <c r="I109" s="59">
        <f t="shared" si="89"/>
        <v>0</v>
      </c>
      <c r="J109" s="59">
        <f t="shared" si="89"/>
        <v>0</v>
      </c>
      <c r="K109" s="59">
        <f t="shared" si="89"/>
        <v>0</v>
      </c>
      <c r="L109" s="59">
        <f t="shared" si="89"/>
        <v>0</v>
      </c>
      <c r="M109" s="59">
        <f t="shared" si="89"/>
        <v>0</v>
      </c>
      <c r="N109" s="59">
        <f t="shared" si="89"/>
        <v>0</v>
      </c>
      <c r="O109" s="59">
        <f t="shared" si="89"/>
        <v>0</v>
      </c>
      <c r="P109" s="59">
        <f t="shared" si="89"/>
        <v>16</v>
      </c>
      <c r="Q109" s="59">
        <f t="shared" si="89"/>
        <v>0</v>
      </c>
      <c r="R109" s="59">
        <f t="shared" si="89"/>
        <v>0</v>
      </c>
      <c r="S109" s="59">
        <f t="shared" si="89"/>
        <v>0</v>
      </c>
      <c r="T109" s="59">
        <f t="shared" si="89"/>
        <v>0</v>
      </c>
      <c r="U109" s="59">
        <f t="shared" si="89"/>
        <v>0</v>
      </c>
      <c r="V109" s="59">
        <f t="shared" si="89"/>
        <v>0</v>
      </c>
      <c r="W109" s="59">
        <f t="shared" si="89"/>
        <v>0</v>
      </c>
      <c r="Y109" s="61"/>
      <c r="Z109" s="61"/>
      <c r="AA109" s="61"/>
    </row>
    <row r="110" spans="2:27" s="59" customFormat="1" x14ac:dyDescent="0.2">
      <c r="C110" s="65" t="s">
        <v>3</v>
      </c>
      <c r="E110" s="59">
        <f>IF(AND(E$92&lt;&gt;"",E$95&lt;&gt;""),E$95,0)</f>
        <v>0</v>
      </c>
      <c r="F110" s="59">
        <f t="shared" ref="F110:W110" si="90">IF(AND(F$92&lt;&gt;"",F$95&lt;&gt;""),F$95,0)</f>
        <v>0</v>
      </c>
      <c r="G110" s="59">
        <f t="shared" si="90"/>
        <v>0</v>
      </c>
      <c r="H110" s="59">
        <f t="shared" si="90"/>
        <v>0</v>
      </c>
      <c r="I110" s="59">
        <f t="shared" si="90"/>
        <v>0</v>
      </c>
      <c r="J110" s="59">
        <f t="shared" si="90"/>
        <v>0</v>
      </c>
      <c r="K110" s="59">
        <f t="shared" si="90"/>
        <v>0</v>
      </c>
      <c r="L110" s="59">
        <f t="shared" si="90"/>
        <v>0</v>
      </c>
      <c r="M110" s="59">
        <f t="shared" si="90"/>
        <v>0</v>
      </c>
      <c r="N110" s="59">
        <f t="shared" si="90"/>
        <v>0</v>
      </c>
      <c r="O110" s="59">
        <f t="shared" si="90"/>
        <v>0</v>
      </c>
      <c r="P110" s="59">
        <f t="shared" si="90"/>
        <v>39.446082331350226</v>
      </c>
      <c r="Q110" s="59">
        <f t="shared" si="90"/>
        <v>0</v>
      </c>
      <c r="R110" s="59">
        <f t="shared" si="90"/>
        <v>0</v>
      </c>
      <c r="S110" s="59">
        <f t="shared" si="90"/>
        <v>0</v>
      </c>
      <c r="T110" s="59">
        <f t="shared" si="90"/>
        <v>0</v>
      </c>
      <c r="U110" s="59">
        <f t="shared" si="90"/>
        <v>0</v>
      </c>
      <c r="V110" s="59">
        <f t="shared" si="90"/>
        <v>0</v>
      </c>
      <c r="W110" s="59">
        <f t="shared" si="90"/>
        <v>0</v>
      </c>
      <c r="Y110" s="61"/>
      <c r="Z110" s="61"/>
      <c r="AA110" s="61"/>
    </row>
    <row r="111" spans="2:27" s="59" customFormat="1" ht="25.5" x14ac:dyDescent="0.2">
      <c r="B111" s="64" t="s">
        <v>115</v>
      </c>
      <c r="C111" s="65" t="s">
        <v>31</v>
      </c>
      <c r="E111" s="74">
        <f>IF(E109&lt;-50,#N/A,IF(E109&lt;0,EXP((1738.4+28.74*E109)/(271+E109)),IF(E109&lt;=100,EXP((1500.3+23.5*E109)/(234+E109)),#N/A)))</f>
        <v>608.82962187913188</v>
      </c>
      <c r="F111" s="74">
        <f t="shared" ref="F111:W111" si="91">IF(F109&lt;-50,#N/A,IF(F109&lt;0,EXP((1738.4+28.74*F109)/(271+F109)),IF(F109&lt;=100,EXP((1500.3+23.5*F109)/(234+F109)),#N/A)))</f>
        <v>608.82962187913188</v>
      </c>
      <c r="G111" s="74">
        <f t="shared" si="91"/>
        <v>608.82962187913188</v>
      </c>
      <c r="H111" s="74">
        <f t="shared" si="91"/>
        <v>608.82962187913188</v>
      </c>
      <c r="I111" s="74">
        <f t="shared" si="91"/>
        <v>608.82962187913188</v>
      </c>
      <c r="J111" s="74">
        <f t="shared" si="91"/>
        <v>608.82962187913188</v>
      </c>
      <c r="K111" s="74">
        <f t="shared" si="91"/>
        <v>608.82962187913188</v>
      </c>
      <c r="L111" s="74">
        <f t="shared" si="91"/>
        <v>608.82962187913188</v>
      </c>
      <c r="M111" s="70">
        <f t="shared" si="91"/>
        <v>608.82962187913188</v>
      </c>
      <c r="N111" s="70">
        <f t="shared" si="91"/>
        <v>608.82962187913188</v>
      </c>
      <c r="O111" s="70">
        <f t="shared" si="91"/>
        <v>608.82962187913188</v>
      </c>
      <c r="P111" s="70">
        <f t="shared" si="91"/>
        <v>1817.4687221706879</v>
      </c>
      <c r="Q111" s="70">
        <f t="shared" si="91"/>
        <v>608.82962187913188</v>
      </c>
      <c r="R111" s="70">
        <f t="shared" si="91"/>
        <v>608.82962187913188</v>
      </c>
      <c r="S111" s="70">
        <f t="shared" si="91"/>
        <v>608.82962187913188</v>
      </c>
      <c r="T111" s="70">
        <f t="shared" si="91"/>
        <v>608.82962187913188</v>
      </c>
      <c r="U111" s="70">
        <f t="shared" si="91"/>
        <v>608.82962187913188</v>
      </c>
      <c r="V111" s="70">
        <f t="shared" si="91"/>
        <v>608.82962187913188</v>
      </c>
      <c r="W111" s="70">
        <f t="shared" si="91"/>
        <v>608.82962187913188</v>
      </c>
      <c r="Y111" s="61"/>
      <c r="Z111" s="61"/>
      <c r="AA111" s="61"/>
    </row>
    <row r="112" spans="2:27" s="59" customFormat="1" ht="25.5" x14ac:dyDescent="0.2">
      <c r="B112" s="64" t="s">
        <v>115</v>
      </c>
      <c r="C112" s="65" t="s">
        <v>2</v>
      </c>
      <c r="E112" s="59">
        <f>0.6222*MaxVlhkost*E111/(Tlak_vzduchu-MaxVlhkost*E111/1000)</f>
        <v>4.0346050561264439</v>
      </c>
      <c r="F112" s="59">
        <f t="shared" ref="F112:N112" si="92">0.6222*MaxVlhkost*F111/(Tlak_vzduchu-MaxVlhkost*F111/1000)</f>
        <v>4.0346050561264439</v>
      </c>
      <c r="G112" s="59">
        <f t="shared" si="92"/>
        <v>4.0346050561264439</v>
      </c>
      <c r="H112" s="59">
        <f t="shared" si="92"/>
        <v>4.0346050561264439</v>
      </c>
      <c r="I112" s="59">
        <f t="shared" si="92"/>
        <v>4.0346050561264439</v>
      </c>
      <c r="J112" s="59">
        <f t="shared" si="92"/>
        <v>4.0346050561264439</v>
      </c>
      <c r="K112" s="59">
        <f t="shared" si="92"/>
        <v>4.0346050561264439</v>
      </c>
      <c r="L112" s="59">
        <f t="shared" si="92"/>
        <v>4.0346050561264439</v>
      </c>
      <c r="M112" s="59">
        <f t="shared" si="92"/>
        <v>4.0346050561264439</v>
      </c>
      <c r="N112" s="59">
        <f t="shared" si="92"/>
        <v>4.0346050561264439</v>
      </c>
      <c r="O112" s="59">
        <f t="shared" ref="O112:W112" si="93">0.6222*MaxVlhkost*O111/(Tlak_vzduchu-MaxVlhkost*O111/1000)</f>
        <v>4.0346050561264439</v>
      </c>
      <c r="P112" s="59">
        <f t="shared" si="93"/>
        <v>12.20110222869052</v>
      </c>
      <c r="Q112" s="59">
        <f t="shared" si="93"/>
        <v>4.0346050561264439</v>
      </c>
      <c r="R112" s="59">
        <f t="shared" si="93"/>
        <v>4.0346050561264439</v>
      </c>
      <c r="S112" s="59">
        <f t="shared" si="93"/>
        <v>4.0346050561264439</v>
      </c>
      <c r="T112" s="59">
        <f t="shared" si="93"/>
        <v>4.0346050561264439</v>
      </c>
      <c r="U112" s="59">
        <f t="shared" si="93"/>
        <v>4.0346050561264439</v>
      </c>
      <c r="V112" s="59">
        <f t="shared" si="93"/>
        <v>4.0346050561264439</v>
      </c>
      <c r="W112" s="59">
        <f t="shared" si="93"/>
        <v>4.0346050561264439</v>
      </c>
      <c r="Y112" s="61"/>
      <c r="Z112" s="61"/>
      <c r="AA112" s="61"/>
    </row>
    <row r="113" spans="2:27" s="59" customFormat="1" ht="38.25" x14ac:dyDescent="0.2">
      <c r="B113" s="64" t="s">
        <v>117</v>
      </c>
      <c r="C113" s="65" t="s">
        <v>2</v>
      </c>
      <c r="E113" s="59">
        <f>(E110-1.01*E109)/(2501+1.86*E109)*1000</f>
        <v>0</v>
      </c>
      <c r="F113" s="59">
        <f t="shared" ref="F113:W113" si="94">(F110-1.01*F109)/(2501+1.86*F109)*1000</f>
        <v>0</v>
      </c>
      <c r="G113" s="59">
        <f t="shared" si="94"/>
        <v>0</v>
      </c>
      <c r="H113" s="59">
        <f t="shared" si="94"/>
        <v>0</v>
      </c>
      <c r="I113" s="59">
        <f t="shared" si="94"/>
        <v>0</v>
      </c>
      <c r="J113" s="59">
        <f t="shared" si="94"/>
        <v>0</v>
      </c>
      <c r="K113" s="59">
        <f t="shared" si="94"/>
        <v>0</v>
      </c>
      <c r="L113" s="59">
        <f t="shared" si="94"/>
        <v>0</v>
      </c>
      <c r="M113" s="59">
        <f t="shared" si="94"/>
        <v>0</v>
      </c>
      <c r="N113" s="59">
        <f t="shared" si="94"/>
        <v>0</v>
      </c>
      <c r="O113" s="59">
        <f t="shared" si="94"/>
        <v>0</v>
      </c>
      <c r="P113" s="59">
        <f t="shared" si="94"/>
        <v>9.2012211080269264</v>
      </c>
      <c r="Q113" s="59">
        <f t="shared" si="94"/>
        <v>0</v>
      </c>
      <c r="R113" s="59">
        <f t="shared" si="94"/>
        <v>0</v>
      </c>
      <c r="S113" s="59">
        <f t="shared" si="94"/>
        <v>0</v>
      </c>
      <c r="T113" s="59">
        <f t="shared" si="94"/>
        <v>0</v>
      </c>
      <c r="U113" s="59">
        <f t="shared" si="94"/>
        <v>0</v>
      </c>
      <c r="V113" s="59">
        <f t="shared" si="94"/>
        <v>0</v>
      </c>
      <c r="W113" s="59">
        <f t="shared" si="94"/>
        <v>0</v>
      </c>
      <c r="Y113" s="61"/>
      <c r="Z113" s="61"/>
      <c r="AA113" s="61"/>
    </row>
    <row r="114" spans="2:27" s="59" customFormat="1" x14ac:dyDescent="0.2">
      <c r="B114" s="76" t="s">
        <v>70</v>
      </c>
      <c r="C114" s="65" t="s">
        <v>33</v>
      </c>
      <c r="E114" s="59">
        <f>E109</f>
        <v>0</v>
      </c>
      <c r="F114" s="59">
        <f t="shared" ref="F114:W114" si="95">F109</f>
        <v>0</v>
      </c>
      <c r="G114" s="59">
        <f t="shared" si="95"/>
        <v>0</v>
      </c>
      <c r="H114" s="59">
        <f t="shared" si="95"/>
        <v>0</v>
      </c>
      <c r="I114" s="59">
        <f t="shared" si="95"/>
        <v>0</v>
      </c>
      <c r="J114" s="59">
        <f t="shared" si="95"/>
        <v>0</v>
      </c>
      <c r="K114" s="59">
        <f t="shared" si="95"/>
        <v>0</v>
      </c>
      <c r="L114" s="59">
        <f t="shared" si="95"/>
        <v>0</v>
      </c>
      <c r="M114" s="59">
        <f t="shared" si="95"/>
        <v>0</v>
      </c>
      <c r="N114" s="59">
        <f t="shared" si="95"/>
        <v>0</v>
      </c>
      <c r="O114" s="59">
        <f t="shared" si="95"/>
        <v>0</v>
      </c>
      <c r="P114" s="59">
        <f t="shared" si="95"/>
        <v>16</v>
      </c>
      <c r="Q114" s="59">
        <f t="shared" si="95"/>
        <v>0</v>
      </c>
      <c r="R114" s="59">
        <f t="shared" si="95"/>
        <v>0</v>
      </c>
      <c r="S114" s="59">
        <f t="shared" si="95"/>
        <v>0</v>
      </c>
      <c r="T114" s="59">
        <f t="shared" si="95"/>
        <v>0</v>
      </c>
      <c r="U114" s="59">
        <f t="shared" si="95"/>
        <v>0</v>
      </c>
      <c r="V114" s="59">
        <f t="shared" si="95"/>
        <v>0</v>
      </c>
      <c r="W114" s="59">
        <f t="shared" si="95"/>
        <v>0</v>
      </c>
      <c r="Y114" s="61"/>
      <c r="Z114" s="61"/>
      <c r="AA114" s="61"/>
    </row>
    <row r="115" spans="2:27" s="59" customFormat="1" x14ac:dyDescent="0.2">
      <c r="C115" s="65" t="s">
        <v>34</v>
      </c>
      <c r="E115" s="59">
        <f>MIN(E112,E113)</f>
        <v>0</v>
      </c>
      <c r="F115" s="59">
        <f t="shared" ref="F115:W115" si="96">MIN(F112,F113)</f>
        <v>0</v>
      </c>
      <c r="G115" s="59">
        <f t="shared" si="96"/>
        <v>0</v>
      </c>
      <c r="H115" s="59">
        <f t="shared" si="96"/>
        <v>0</v>
      </c>
      <c r="I115" s="59">
        <f t="shared" si="96"/>
        <v>0</v>
      </c>
      <c r="J115" s="59">
        <f t="shared" si="96"/>
        <v>0</v>
      </c>
      <c r="K115" s="59">
        <f t="shared" si="96"/>
        <v>0</v>
      </c>
      <c r="L115" s="59">
        <f t="shared" si="96"/>
        <v>0</v>
      </c>
      <c r="M115" s="59">
        <f t="shared" si="96"/>
        <v>0</v>
      </c>
      <c r="N115" s="59">
        <f t="shared" si="96"/>
        <v>0</v>
      </c>
      <c r="O115" s="59">
        <f t="shared" si="96"/>
        <v>0</v>
      </c>
      <c r="P115" s="59">
        <f t="shared" si="96"/>
        <v>9.2012211080269264</v>
      </c>
      <c r="Q115" s="59">
        <f t="shared" si="96"/>
        <v>0</v>
      </c>
      <c r="R115" s="59">
        <f t="shared" si="96"/>
        <v>0</v>
      </c>
      <c r="S115" s="59">
        <f t="shared" si="96"/>
        <v>0</v>
      </c>
      <c r="T115" s="59">
        <f t="shared" si="96"/>
        <v>0</v>
      </c>
      <c r="U115" s="59">
        <f t="shared" si="96"/>
        <v>0</v>
      </c>
      <c r="V115" s="59">
        <f t="shared" si="96"/>
        <v>0</v>
      </c>
      <c r="W115" s="59">
        <f t="shared" si="96"/>
        <v>0</v>
      </c>
      <c r="Y115" s="61"/>
      <c r="Z115" s="61"/>
      <c r="AA115" s="61"/>
    </row>
    <row r="116" spans="2:27" s="59" customFormat="1" x14ac:dyDescent="0.2">
      <c r="C116" s="65"/>
      <c r="Y116" s="61"/>
      <c r="Z116" s="61"/>
      <c r="AA116" s="61"/>
    </row>
    <row r="117" spans="2:27" s="59" customFormat="1" x14ac:dyDescent="0.2">
      <c r="B117" s="73" t="s">
        <v>110</v>
      </c>
      <c r="C117" s="65" t="s">
        <v>0</v>
      </c>
      <c r="E117" s="59">
        <f>IF(AND(E$92&lt;&gt;"",E$93&lt;&gt;""),E$92,0)</f>
        <v>0</v>
      </c>
      <c r="F117" s="59">
        <f t="shared" ref="F117:W117" si="97">IF(AND(F$92&lt;&gt;"",F$93&lt;&gt;""),F$92,0)</f>
        <v>-27</v>
      </c>
      <c r="G117" s="59">
        <f t="shared" si="97"/>
        <v>-27</v>
      </c>
      <c r="H117" s="59">
        <f t="shared" si="97"/>
        <v>-27</v>
      </c>
      <c r="I117" s="59">
        <f t="shared" si="97"/>
        <v>20</v>
      </c>
      <c r="J117" s="59">
        <f t="shared" si="97"/>
        <v>0</v>
      </c>
      <c r="K117" s="59">
        <f t="shared" si="97"/>
        <v>12.276969485124184</v>
      </c>
      <c r="L117" s="59">
        <f t="shared" si="97"/>
        <v>0</v>
      </c>
      <c r="M117" s="59">
        <f t="shared" si="97"/>
        <v>8</v>
      </c>
      <c r="N117" s="59">
        <f t="shared" si="97"/>
        <v>0</v>
      </c>
      <c r="O117" s="59">
        <f t="shared" si="97"/>
        <v>35</v>
      </c>
      <c r="P117" s="59">
        <f t="shared" si="97"/>
        <v>0</v>
      </c>
      <c r="Q117" s="59">
        <f t="shared" si="97"/>
        <v>16</v>
      </c>
      <c r="R117" s="59">
        <f t="shared" si="97"/>
        <v>0</v>
      </c>
      <c r="S117" s="59">
        <f t="shared" si="97"/>
        <v>20</v>
      </c>
      <c r="T117" s="59">
        <f t="shared" si="97"/>
        <v>20</v>
      </c>
      <c r="U117" s="59">
        <f t="shared" si="97"/>
        <v>20</v>
      </c>
      <c r="V117" s="59">
        <f t="shared" si="97"/>
        <v>0</v>
      </c>
      <c r="W117" s="59">
        <f t="shared" si="97"/>
        <v>0</v>
      </c>
      <c r="Y117" s="61"/>
      <c r="Z117" s="61"/>
      <c r="AA117" s="61"/>
    </row>
    <row r="118" spans="2:27" s="59" customFormat="1" ht="12" customHeight="1" x14ac:dyDescent="0.2">
      <c r="C118" s="65" t="s">
        <v>32</v>
      </c>
      <c r="E118" s="59">
        <f>IF(AND(E$92&lt;&gt;"",E$93&lt;&gt;""),MIN(E$93,MaxVlhkost),0)</f>
        <v>0</v>
      </c>
      <c r="F118" s="59">
        <f t="shared" ref="F118:W118" si="98">IF(AND(F$92&lt;&gt;"",F$93&lt;&gt;""),MIN(F$93,MaxVlhkost),0)</f>
        <v>0.2</v>
      </c>
      <c r="G118" s="59">
        <f t="shared" si="98"/>
        <v>0.2</v>
      </c>
      <c r="H118" s="59">
        <f t="shared" si="98"/>
        <v>0.2</v>
      </c>
      <c r="I118" s="59">
        <f t="shared" si="98"/>
        <v>0.6</v>
      </c>
      <c r="J118" s="59">
        <f t="shared" si="98"/>
        <v>0</v>
      </c>
      <c r="K118" s="59">
        <f t="shared" si="98"/>
        <v>8.2237877683581581E-3</v>
      </c>
      <c r="L118" s="59">
        <f t="shared" si="98"/>
        <v>0</v>
      </c>
      <c r="M118" s="59">
        <f t="shared" si="98"/>
        <v>1.0957095429561066E-4</v>
      </c>
      <c r="N118" s="59">
        <f t="shared" si="98"/>
        <v>0</v>
      </c>
      <c r="O118" s="59">
        <f t="shared" si="98"/>
        <v>0.4</v>
      </c>
      <c r="P118" s="59">
        <f t="shared" si="98"/>
        <v>0</v>
      </c>
      <c r="Q118" s="59">
        <f t="shared" si="98"/>
        <v>7.5771330367416147E-3</v>
      </c>
      <c r="R118" s="59">
        <f t="shared" si="98"/>
        <v>0</v>
      </c>
      <c r="S118" s="59">
        <f t="shared" si="98"/>
        <v>5.889954581965501E-5</v>
      </c>
      <c r="T118" s="59">
        <f t="shared" si="98"/>
        <v>5.8899545819655011E-7</v>
      </c>
      <c r="U118" s="59">
        <f t="shared" si="98"/>
        <v>5.889954581965502E-9</v>
      </c>
      <c r="V118" s="59">
        <f t="shared" si="98"/>
        <v>0</v>
      </c>
      <c r="W118" s="59">
        <f t="shared" si="98"/>
        <v>0</v>
      </c>
      <c r="Y118" s="61"/>
      <c r="Z118" s="61"/>
      <c r="AA118" s="61"/>
    </row>
    <row r="119" spans="2:27" s="59" customFormat="1" ht="12" customHeight="1" x14ac:dyDescent="0.2">
      <c r="C119" s="65" t="s">
        <v>31</v>
      </c>
      <c r="E119" s="74">
        <f>IF(E117&lt;-50,#N/A,IF(E117&lt;0,EXP((1738.4+28.74*E117)/(271+E117)),IF(E117&lt;=100,EXP((1500.3+23.5*E117)/(234+E117)),#N/A)))</f>
        <v>608.82962187913188</v>
      </c>
      <c r="F119" s="74">
        <f t="shared" ref="F119:W119" si="99">IF(F117&lt;-50,#N/A,IF(F117&lt;0,EXP((1738.4+28.74*F117)/(271+F117)),IF(F117&lt;=100,EXP((1500.3+23.5*F117)/(234+F117)),#N/A)))</f>
        <v>51.642463096531181</v>
      </c>
      <c r="G119" s="74">
        <f t="shared" si="99"/>
        <v>51.642463096531181</v>
      </c>
      <c r="H119" s="74">
        <f t="shared" si="99"/>
        <v>51.642463096531181</v>
      </c>
      <c r="I119" s="74">
        <f t="shared" si="99"/>
        <v>2338.0829353370973</v>
      </c>
      <c r="J119" s="74">
        <f t="shared" si="99"/>
        <v>608.82962187913188</v>
      </c>
      <c r="K119" s="74">
        <f t="shared" si="99"/>
        <v>1427.1041638961296</v>
      </c>
      <c r="L119" s="74">
        <f t="shared" si="99"/>
        <v>608.82962187913188</v>
      </c>
      <c r="M119" s="70">
        <f t="shared" si="99"/>
        <v>1071.1051886578423</v>
      </c>
      <c r="N119" s="70">
        <f t="shared" si="99"/>
        <v>608.82962187913188</v>
      </c>
      <c r="O119" s="70">
        <f t="shared" si="99"/>
        <v>5624.8200638844883</v>
      </c>
      <c r="P119" s="70">
        <f t="shared" si="99"/>
        <v>608.82962187913188</v>
      </c>
      <c r="Q119" s="70">
        <f t="shared" si="99"/>
        <v>1817.4687221706879</v>
      </c>
      <c r="R119" s="70">
        <f t="shared" si="99"/>
        <v>608.82962187913188</v>
      </c>
      <c r="S119" s="70">
        <f t="shared" si="99"/>
        <v>2338.0829353370973</v>
      </c>
      <c r="T119" s="70">
        <f t="shared" si="99"/>
        <v>2338.0829353370973</v>
      </c>
      <c r="U119" s="70">
        <f t="shared" si="99"/>
        <v>2338.0829353370973</v>
      </c>
      <c r="V119" s="70">
        <f t="shared" si="99"/>
        <v>608.82962187913188</v>
      </c>
      <c r="W119" s="70">
        <f t="shared" si="99"/>
        <v>608.82962187913188</v>
      </c>
      <c r="Y119" s="61"/>
      <c r="Z119" s="61"/>
      <c r="AA119" s="61"/>
    </row>
    <row r="120" spans="2:27" s="59" customFormat="1" ht="12" customHeight="1" x14ac:dyDescent="0.2">
      <c r="B120" s="76" t="s">
        <v>70</v>
      </c>
      <c r="C120" s="65" t="s">
        <v>33</v>
      </c>
      <c r="E120" s="74">
        <f>E117</f>
        <v>0</v>
      </c>
      <c r="F120" s="74">
        <f t="shared" ref="F120:W120" si="100">F117</f>
        <v>-27</v>
      </c>
      <c r="G120" s="74">
        <f t="shared" si="100"/>
        <v>-27</v>
      </c>
      <c r="H120" s="74">
        <f t="shared" si="100"/>
        <v>-27</v>
      </c>
      <c r="I120" s="74">
        <f t="shared" si="100"/>
        <v>20</v>
      </c>
      <c r="J120" s="74">
        <f t="shared" si="100"/>
        <v>0</v>
      </c>
      <c r="K120" s="74">
        <f t="shared" si="100"/>
        <v>12.276969485124184</v>
      </c>
      <c r="L120" s="74">
        <f t="shared" si="100"/>
        <v>0</v>
      </c>
      <c r="M120" s="70">
        <f t="shared" si="100"/>
        <v>8</v>
      </c>
      <c r="N120" s="70">
        <f t="shared" si="100"/>
        <v>0</v>
      </c>
      <c r="O120" s="70">
        <f t="shared" si="100"/>
        <v>35</v>
      </c>
      <c r="P120" s="70">
        <f t="shared" si="100"/>
        <v>0</v>
      </c>
      <c r="Q120" s="70">
        <f t="shared" si="100"/>
        <v>16</v>
      </c>
      <c r="R120" s="70">
        <f t="shared" si="100"/>
        <v>0</v>
      </c>
      <c r="S120" s="70">
        <f t="shared" si="100"/>
        <v>20</v>
      </c>
      <c r="T120" s="70">
        <f t="shared" si="100"/>
        <v>20</v>
      </c>
      <c r="U120" s="70">
        <f t="shared" si="100"/>
        <v>20</v>
      </c>
      <c r="V120" s="70">
        <f t="shared" si="100"/>
        <v>0</v>
      </c>
      <c r="W120" s="70">
        <f t="shared" si="100"/>
        <v>0</v>
      </c>
      <c r="Y120" s="61"/>
      <c r="Z120" s="61"/>
      <c r="AA120" s="61"/>
    </row>
    <row r="121" spans="2:27" s="59" customFormat="1" ht="12" customHeight="1" x14ac:dyDescent="0.2">
      <c r="C121" s="65" t="s">
        <v>34</v>
      </c>
      <c r="E121" s="59">
        <f>0.6222*E118*E119/(Tlak_vzduchu-E118*E119/1000)</f>
        <v>0</v>
      </c>
      <c r="F121" s="59">
        <f t="shared" ref="F121:N121" si="101">0.6222*F118*F119/(Tlak_vzduchu-F118*F119/1000)</f>
        <v>6.801154036428593E-2</v>
      </c>
      <c r="G121" s="59">
        <f t="shared" si="101"/>
        <v>6.801154036428593E-2</v>
      </c>
      <c r="H121" s="59">
        <f t="shared" si="101"/>
        <v>6.801154036428593E-2</v>
      </c>
      <c r="I121" s="59">
        <f t="shared" si="101"/>
        <v>9.3757233081908904</v>
      </c>
      <c r="J121" s="59">
        <f t="shared" si="101"/>
        <v>0</v>
      </c>
      <c r="K121" s="59">
        <f t="shared" si="101"/>
        <v>7.7282240629995516E-2</v>
      </c>
      <c r="L121" s="59">
        <f t="shared" si="101"/>
        <v>0</v>
      </c>
      <c r="M121" s="59">
        <f t="shared" si="101"/>
        <v>7.727273871375711E-4</v>
      </c>
      <c r="N121" s="59">
        <f t="shared" si="101"/>
        <v>0</v>
      </c>
      <c r="O121" s="59">
        <f t="shared" ref="O121:W121" si="102">0.6222*O118*O119/(Tlak_vzduchu-O118*O119/1000)</f>
        <v>15.17511246915182</v>
      </c>
      <c r="P121" s="59">
        <f t="shared" si="102"/>
        <v>0</v>
      </c>
      <c r="Q121" s="59">
        <f t="shared" si="102"/>
        <v>9.0684559843778378E-2</v>
      </c>
      <c r="R121" s="59">
        <f t="shared" si="102"/>
        <v>0</v>
      </c>
      <c r="S121" s="59">
        <f t="shared" si="102"/>
        <v>9.0671476786990859E-4</v>
      </c>
      <c r="T121" s="59">
        <f t="shared" si="102"/>
        <v>9.0671345975486622E-6</v>
      </c>
      <c r="U121" s="59">
        <f t="shared" si="102"/>
        <v>9.0671344667373509E-8</v>
      </c>
      <c r="V121" s="59">
        <f t="shared" si="102"/>
        <v>0</v>
      </c>
      <c r="W121" s="59">
        <f t="shared" si="102"/>
        <v>0</v>
      </c>
      <c r="Y121" s="61"/>
      <c r="Z121" s="61"/>
      <c r="AA121" s="61"/>
    </row>
    <row r="122" spans="2:27" s="59" customFormat="1" x14ac:dyDescent="0.2">
      <c r="C122" s="65"/>
      <c r="Y122" s="61"/>
      <c r="Z122" s="61"/>
      <c r="AA122" s="61"/>
    </row>
    <row r="123" spans="2:27" s="59" customFormat="1" x14ac:dyDescent="0.2">
      <c r="B123" s="73" t="s">
        <v>111</v>
      </c>
      <c r="C123" s="65" t="s">
        <v>3</v>
      </c>
      <c r="E123" s="59">
        <f>IF(AND(E$94&lt;&gt;"",E$95&lt;&gt;""),E$95,0)</f>
        <v>0</v>
      </c>
      <c r="F123" s="59">
        <f t="shared" ref="F123:W123" si="103">IF(AND(F$94&lt;&gt;"",F$95&lt;&gt;""),F$95,0)</f>
        <v>0</v>
      </c>
      <c r="G123" s="59">
        <f t="shared" si="103"/>
        <v>0</v>
      </c>
      <c r="H123" s="59">
        <f t="shared" si="103"/>
        <v>0</v>
      </c>
      <c r="I123" s="59">
        <f t="shared" si="103"/>
        <v>0</v>
      </c>
      <c r="J123" s="59">
        <f t="shared" si="103"/>
        <v>32.147330971190769</v>
      </c>
      <c r="K123" s="59">
        <f t="shared" si="103"/>
        <v>0</v>
      </c>
      <c r="L123" s="59">
        <f t="shared" si="103"/>
        <v>0</v>
      </c>
      <c r="M123" s="59">
        <f t="shared" si="103"/>
        <v>0</v>
      </c>
      <c r="N123" s="59">
        <f t="shared" si="103"/>
        <v>0</v>
      </c>
      <c r="O123" s="59">
        <f t="shared" si="103"/>
        <v>0</v>
      </c>
      <c r="P123" s="59">
        <f t="shared" si="103"/>
        <v>0</v>
      </c>
      <c r="Q123" s="59">
        <f t="shared" si="103"/>
        <v>0</v>
      </c>
      <c r="R123" s="59">
        <f t="shared" si="103"/>
        <v>0</v>
      </c>
      <c r="S123" s="59">
        <f t="shared" si="103"/>
        <v>0</v>
      </c>
      <c r="T123" s="59">
        <f t="shared" si="103"/>
        <v>0</v>
      </c>
      <c r="U123" s="59">
        <f t="shared" si="103"/>
        <v>0</v>
      </c>
      <c r="V123" s="59">
        <f t="shared" si="103"/>
        <v>0</v>
      </c>
      <c r="W123" s="59">
        <f t="shared" si="103"/>
        <v>0</v>
      </c>
      <c r="Y123" s="61"/>
      <c r="Z123" s="61"/>
      <c r="AA123" s="61"/>
    </row>
    <row r="124" spans="2:27" s="59" customFormat="1" x14ac:dyDescent="0.2">
      <c r="C124" s="65" t="s">
        <v>2</v>
      </c>
      <c r="E124" s="59">
        <f>IF(AND(E$94&lt;&gt;"",E$95&lt;&gt;""),E$94,0)</f>
        <v>0</v>
      </c>
      <c r="F124" s="59">
        <f t="shared" ref="F124:W124" si="104">IF(AND(F$94&lt;&gt;"",F$95&lt;&gt;""),F$94,0)</f>
        <v>0</v>
      </c>
      <c r="G124" s="59">
        <f t="shared" si="104"/>
        <v>0</v>
      </c>
      <c r="H124" s="59">
        <f t="shared" si="104"/>
        <v>0</v>
      </c>
      <c r="I124" s="59">
        <f t="shared" si="104"/>
        <v>0</v>
      </c>
      <c r="J124" s="59">
        <f t="shared" si="104"/>
        <v>7.8244380135531229</v>
      </c>
      <c r="K124" s="59">
        <f t="shared" si="104"/>
        <v>0</v>
      </c>
      <c r="L124" s="59">
        <f t="shared" si="104"/>
        <v>0</v>
      </c>
      <c r="M124" s="59">
        <f t="shared" si="104"/>
        <v>0</v>
      </c>
      <c r="N124" s="59">
        <f t="shared" si="104"/>
        <v>0</v>
      </c>
      <c r="O124" s="59">
        <f t="shared" si="104"/>
        <v>0</v>
      </c>
      <c r="P124" s="59">
        <f t="shared" si="104"/>
        <v>0</v>
      </c>
      <c r="Q124" s="59">
        <f t="shared" si="104"/>
        <v>0</v>
      </c>
      <c r="R124" s="59">
        <f t="shared" si="104"/>
        <v>0</v>
      </c>
      <c r="S124" s="59">
        <f t="shared" si="104"/>
        <v>0</v>
      </c>
      <c r="T124" s="59">
        <f t="shared" si="104"/>
        <v>0</v>
      </c>
      <c r="U124" s="59">
        <f t="shared" si="104"/>
        <v>0</v>
      </c>
      <c r="V124" s="59">
        <f t="shared" si="104"/>
        <v>0</v>
      </c>
      <c r="W124" s="59">
        <f t="shared" si="104"/>
        <v>0</v>
      </c>
      <c r="Y124" s="61"/>
      <c r="Z124" s="61"/>
      <c r="AA124" s="61"/>
    </row>
    <row r="125" spans="2:27" s="59" customFormat="1" x14ac:dyDescent="0.2">
      <c r="C125" s="65" t="s">
        <v>40</v>
      </c>
      <c r="E125" s="59">
        <f>(E123-2501*E124/1000)/(1.01+1.86*E124/1000)</f>
        <v>0</v>
      </c>
      <c r="F125" s="59">
        <f t="shared" ref="F125:W125" si="105">(F123-2501*F124/1000)/(1.01+1.86*F124/1000)</f>
        <v>0</v>
      </c>
      <c r="G125" s="59">
        <f t="shared" si="105"/>
        <v>0</v>
      </c>
      <c r="H125" s="59">
        <f t="shared" si="105"/>
        <v>0</v>
      </c>
      <c r="I125" s="59">
        <f t="shared" si="105"/>
        <v>0</v>
      </c>
      <c r="J125" s="59">
        <f t="shared" si="105"/>
        <v>12.276969485124184</v>
      </c>
      <c r="K125" s="59">
        <f t="shared" si="105"/>
        <v>0</v>
      </c>
      <c r="L125" s="59">
        <f t="shared" si="105"/>
        <v>0</v>
      </c>
      <c r="M125" s="59">
        <f t="shared" si="105"/>
        <v>0</v>
      </c>
      <c r="N125" s="59">
        <f t="shared" si="105"/>
        <v>0</v>
      </c>
      <c r="O125" s="59">
        <f t="shared" si="105"/>
        <v>0</v>
      </c>
      <c r="P125" s="59">
        <f t="shared" si="105"/>
        <v>0</v>
      </c>
      <c r="Q125" s="59">
        <f t="shared" si="105"/>
        <v>0</v>
      </c>
      <c r="R125" s="59">
        <f t="shared" si="105"/>
        <v>0</v>
      </c>
      <c r="S125" s="59">
        <f t="shared" si="105"/>
        <v>0</v>
      </c>
      <c r="T125" s="59">
        <f t="shared" si="105"/>
        <v>0</v>
      </c>
      <c r="U125" s="59">
        <f t="shared" si="105"/>
        <v>0</v>
      </c>
      <c r="V125" s="59">
        <f t="shared" si="105"/>
        <v>0</v>
      </c>
      <c r="W125" s="59">
        <f t="shared" si="105"/>
        <v>0</v>
      </c>
      <c r="Y125" s="61"/>
      <c r="Z125" s="61"/>
      <c r="AA125" s="61"/>
    </row>
    <row r="126" spans="2:27" s="59" customFormat="1" x14ac:dyDescent="0.2">
      <c r="C126" s="72" t="s">
        <v>41</v>
      </c>
      <c r="E126" s="59">
        <v>-5.7813300875029912</v>
      </c>
      <c r="F126" s="59">
        <v>-5.7816951496861826</v>
      </c>
      <c r="G126" s="59">
        <v>-5.7812250242057521</v>
      </c>
      <c r="H126" s="59">
        <v>-5.7813328973617555</v>
      </c>
      <c r="I126" s="59">
        <v>-6.0023688391712238</v>
      </c>
      <c r="J126" s="59">
        <v>10.72144645471753</v>
      </c>
      <c r="K126" s="59">
        <v>-6.0023222237988856</v>
      </c>
      <c r="L126" s="59">
        <v>-5.7817005781944255</v>
      </c>
      <c r="M126" s="59">
        <v>-5.7813297151605854</v>
      </c>
      <c r="N126" s="59">
        <v>-5.7813300875029912</v>
      </c>
      <c r="O126" s="59">
        <v>-5.7813300875029912</v>
      </c>
      <c r="P126" s="59">
        <v>-5.7813300875029912</v>
      </c>
      <c r="Q126" s="59">
        <v>-5.7813300875029912</v>
      </c>
      <c r="R126" s="59">
        <v>-5.7813300875029912</v>
      </c>
      <c r="S126" s="59">
        <v>-5.7813300875029912</v>
      </c>
      <c r="T126" s="59">
        <v>-5.7813300875029912</v>
      </c>
      <c r="U126" s="59">
        <v>-5.7813300875029912</v>
      </c>
      <c r="V126" s="59">
        <v>-5.7813300875029912</v>
      </c>
      <c r="W126" s="59">
        <v>-5.7813300875029912</v>
      </c>
      <c r="Y126" s="61"/>
      <c r="Z126" s="61"/>
      <c r="AA126" s="61"/>
    </row>
    <row r="127" spans="2:27" s="59" customFormat="1" x14ac:dyDescent="0.2">
      <c r="C127" s="72" t="s">
        <v>31</v>
      </c>
      <c r="E127" s="74">
        <f>IF(E126&lt;-50,#N/A,IF(E126&lt;0,EXP((1738.4+28.74*E126)/(271+E126)),IF(E126&lt;=100,EXP((1500.3+23.5*E126)/(234+E126)),#N/A)))</f>
        <v>375.44301312156364</v>
      </c>
      <c r="F127" s="74">
        <f t="shared" ref="F127:W127" si="106">IF(F126&lt;-50,#N/A,IF(F126&lt;0,EXP((1738.4+28.74*F126)/(271+F126)),IF(F126&lt;=100,EXP((1500.3+23.5*F126)/(234+F126)),#N/A)))</f>
        <v>375.43122453079735</v>
      </c>
      <c r="G127" s="74">
        <f t="shared" si="106"/>
        <v>375.44640588892963</v>
      </c>
      <c r="H127" s="74">
        <f t="shared" si="106"/>
        <v>375.44292238429398</v>
      </c>
      <c r="I127" s="74">
        <f t="shared" si="106"/>
        <v>368.36670865255269</v>
      </c>
      <c r="J127" s="74">
        <f t="shared" si="106"/>
        <v>1287.1656624804618</v>
      </c>
      <c r="K127" s="74">
        <f t="shared" si="106"/>
        <v>368.36818807351386</v>
      </c>
      <c r="L127" s="74">
        <f t="shared" si="106"/>
        <v>375.43104923591659</v>
      </c>
      <c r="M127" s="70">
        <f t="shared" si="106"/>
        <v>375.44302514542028</v>
      </c>
      <c r="N127" s="70">
        <f t="shared" si="106"/>
        <v>375.44301312156364</v>
      </c>
      <c r="O127" s="70">
        <f t="shared" si="106"/>
        <v>375.44301312156364</v>
      </c>
      <c r="P127" s="70">
        <f t="shared" si="106"/>
        <v>375.44301312156364</v>
      </c>
      <c r="Q127" s="70">
        <f t="shared" si="106"/>
        <v>375.44301312156364</v>
      </c>
      <c r="R127" s="70">
        <f t="shared" si="106"/>
        <v>375.44301312156364</v>
      </c>
      <c r="S127" s="70">
        <f t="shared" si="106"/>
        <v>375.44301312156364</v>
      </c>
      <c r="T127" s="70">
        <f t="shared" si="106"/>
        <v>375.44301312156364</v>
      </c>
      <c r="U127" s="70">
        <f t="shared" si="106"/>
        <v>375.44301312156364</v>
      </c>
      <c r="V127" s="70">
        <f t="shared" si="106"/>
        <v>375.44301312156364</v>
      </c>
      <c r="W127" s="70">
        <f t="shared" si="106"/>
        <v>375.44301312156364</v>
      </c>
      <c r="Y127" s="61"/>
      <c r="Z127" s="61"/>
      <c r="AA127" s="61"/>
    </row>
    <row r="128" spans="2:27" s="59" customFormat="1" x14ac:dyDescent="0.2">
      <c r="C128" s="72" t="s">
        <v>37</v>
      </c>
      <c r="E128" s="59">
        <f>0.6222*MaxVlhkost*E127/(Tlak_vzduchu-MaxVlhkost*E127/1000)</f>
        <v>2.4818246188059332</v>
      </c>
      <c r="F128" s="59">
        <f t="shared" ref="F128:N128" si="107">0.6222*MaxVlhkost*F127/(Tlak_vzduchu-MaxVlhkost*F127/1000)</f>
        <v>2.48174638080192</v>
      </c>
      <c r="G128" s="59">
        <f t="shared" si="107"/>
        <v>2.4818471357797485</v>
      </c>
      <c r="H128" s="59">
        <f t="shared" si="107"/>
        <v>2.4818240166047123</v>
      </c>
      <c r="I128" s="59">
        <f t="shared" si="107"/>
        <v>2.4348644351493056</v>
      </c>
      <c r="J128" s="59">
        <f t="shared" si="107"/>
        <v>8.5918906005519826</v>
      </c>
      <c r="K128" s="59">
        <f t="shared" si="107"/>
        <v>2.434874252230915</v>
      </c>
      <c r="L128" s="59">
        <f t="shared" si="107"/>
        <v>2.481745217412664</v>
      </c>
      <c r="M128" s="59">
        <f t="shared" si="107"/>
        <v>2.4818246986053492</v>
      </c>
      <c r="N128" s="59">
        <f t="shared" si="107"/>
        <v>2.4818246188059332</v>
      </c>
      <c r="O128" s="59">
        <f t="shared" ref="O128:W128" si="108">0.6222*MaxVlhkost*O127/(Tlak_vzduchu-MaxVlhkost*O127/1000)</f>
        <v>2.4818246188059332</v>
      </c>
      <c r="P128" s="59">
        <f t="shared" si="108"/>
        <v>2.4818246188059332</v>
      </c>
      <c r="Q128" s="59">
        <f t="shared" si="108"/>
        <v>2.4818246188059332</v>
      </c>
      <c r="R128" s="59">
        <f t="shared" si="108"/>
        <v>2.4818246188059332</v>
      </c>
      <c r="S128" s="59">
        <f t="shared" si="108"/>
        <v>2.4818246188059332</v>
      </c>
      <c r="T128" s="59">
        <f t="shared" si="108"/>
        <v>2.4818246188059332</v>
      </c>
      <c r="U128" s="59">
        <f t="shared" si="108"/>
        <v>2.4818246188059332</v>
      </c>
      <c r="V128" s="59">
        <f t="shared" si="108"/>
        <v>2.4818246188059332</v>
      </c>
      <c r="W128" s="59">
        <f t="shared" si="108"/>
        <v>2.4818246188059332</v>
      </c>
      <c r="Y128" s="61"/>
      <c r="Z128" s="61"/>
      <c r="AA128" s="61"/>
    </row>
    <row r="129" spans="2:27" s="59" customFormat="1" x14ac:dyDescent="0.2">
      <c r="C129" s="72" t="s">
        <v>38</v>
      </c>
      <c r="E129" s="59">
        <f>(E123-1.01*E126)/(2501+1.86*E126)*1000</f>
        <v>2.3448051662213847</v>
      </c>
      <c r="F129" s="59">
        <f t="shared" ref="F129:W129" si="109">(F123-1.01*F126)/(2501+1.86*F126)*1000</f>
        <v>2.3449538683807138</v>
      </c>
      <c r="G129" s="59">
        <f t="shared" si="109"/>
        <v>2.3447623704063183</v>
      </c>
      <c r="H129" s="59">
        <f t="shared" si="109"/>
        <v>2.3448063107714696</v>
      </c>
      <c r="I129" s="59">
        <f t="shared" si="109"/>
        <v>2.4348565593132174</v>
      </c>
      <c r="J129" s="59">
        <f t="shared" si="109"/>
        <v>8.4566289024990482</v>
      </c>
      <c r="K129" s="59">
        <f t="shared" si="109"/>
        <v>2.4348375650319185</v>
      </c>
      <c r="L129" s="59">
        <f t="shared" si="109"/>
        <v>2.3449560795961135</v>
      </c>
      <c r="M129" s="59">
        <f t="shared" si="109"/>
        <v>2.3448050145537866</v>
      </c>
      <c r="N129" s="59">
        <f t="shared" si="109"/>
        <v>2.3448051662213847</v>
      </c>
      <c r="O129" s="59">
        <f t="shared" si="109"/>
        <v>2.3448051662213847</v>
      </c>
      <c r="P129" s="59">
        <f t="shared" si="109"/>
        <v>2.3448051662213847</v>
      </c>
      <c r="Q129" s="59">
        <f t="shared" si="109"/>
        <v>2.3448051662213847</v>
      </c>
      <c r="R129" s="59">
        <f t="shared" si="109"/>
        <v>2.3448051662213847</v>
      </c>
      <c r="S129" s="59">
        <f t="shared" si="109"/>
        <v>2.3448051662213847</v>
      </c>
      <c r="T129" s="59">
        <f t="shared" si="109"/>
        <v>2.3448051662213847</v>
      </c>
      <c r="U129" s="59">
        <f t="shared" si="109"/>
        <v>2.3448051662213847</v>
      </c>
      <c r="V129" s="59">
        <f t="shared" si="109"/>
        <v>2.3448051662213847</v>
      </c>
      <c r="W129" s="59">
        <f t="shared" si="109"/>
        <v>2.3448051662213847</v>
      </c>
      <c r="Y129" s="61"/>
      <c r="Z129" s="61"/>
      <c r="AA129" s="61"/>
    </row>
    <row r="130" spans="2:27" s="59" customFormat="1" x14ac:dyDescent="0.2">
      <c r="C130" s="73" t="s">
        <v>39</v>
      </c>
      <c r="E130" s="59">
        <f>E128-E129</f>
        <v>0.13701945258454851</v>
      </c>
      <c r="F130" s="59">
        <f t="shared" ref="F130:W130" si="110">F128-F129</f>
        <v>0.13679251242120616</v>
      </c>
      <c r="G130" s="59">
        <f t="shared" si="110"/>
        <v>0.13708476537343017</v>
      </c>
      <c r="H130" s="59">
        <f t="shared" si="110"/>
        <v>0.13701770583324269</v>
      </c>
      <c r="I130" s="59">
        <f t="shared" si="110"/>
        <v>7.8758360881892031E-6</v>
      </c>
      <c r="J130" s="59">
        <f t="shared" si="110"/>
        <v>0.13526169805293442</v>
      </c>
      <c r="K130" s="59">
        <f t="shared" si="110"/>
        <v>3.6687198996521175E-5</v>
      </c>
      <c r="L130" s="59">
        <f t="shared" si="110"/>
        <v>0.13678913781655044</v>
      </c>
      <c r="M130" s="59">
        <f t="shared" si="110"/>
        <v>0.13701968405156251</v>
      </c>
      <c r="N130" s="59">
        <f t="shared" si="110"/>
        <v>0.13701945258454851</v>
      </c>
      <c r="O130" s="59">
        <f t="shared" si="110"/>
        <v>0.13701945258454851</v>
      </c>
      <c r="P130" s="59">
        <f t="shared" si="110"/>
        <v>0.13701945258454851</v>
      </c>
      <c r="Q130" s="59">
        <f t="shared" si="110"/>
        <v>0.13701945258454851</v>
      </c>
      <c r="R130" s="59">
        <f t="shared" si="110"/>
        <v>0.13701945258454851</v>
      </c>
      <c r="S130" s="59">
        <f t="shared" si="110"/>
        <v>0.13701945258454851</v>
      </c>
      <c r="T130" s="59">
        <f t="shared" si="110"/>
        <v>0.13701945258454851</v>
      </c>
      <c r="U130" s="59">
        <f t="shared" si="110"/>
        <v>0.13701945258454851</v>
      </c>
      <c r="V130" s="59">
        <f t="shared" si="110"/>
        <v>0.13701945258454851</v>
      </c>
      <c r="W130" s="59">
        <f t="shared" si="110"/>
        <v>0.13701945258454851</v>
      </c>
      <c r="Y130" s="61"/>
      <c r="Z130" s="61"/>
      <c r="AA130" s="61"/>
    </row>
    <row r="131" spans="2:27" s="59" customFormat="1" x14ac:dyDescent="0.2">
      <c r="B131" s="76" t="s">
        <v>70</v>
      </c>
      <c r="C131" s="65" t="s">
        <v>33</v>
      </c>
      <c r="E131" s="59">
        <f>IF(AND(E123=0,E124=0),0,IF(E125&gt;E126,E125,E126))</f>
        <v>0</v>
      </c>
      <c r="F131" s="59">
        <f t="shared" ref="F131:W131" si="111">IF(AND(F123=0,F124=0),0,IF(F125&gt;F126,F125,F126))</f>
        <v>0</v>
      </c>
      <c r="G131" s="59">
        <f t="shared" si="111"/>
        <v>0</v>
      </c>
      <c r="H131" s="59">
        <f t="shared" si="111"/>
        <v>0</v>
      </c>
      <c r="I131" s="59">
        <f t="shared" si="111"/>
        <v>0</v>
      </c>
      <c r="J131" s="59">
        <f t="shared" si="111"/>
        <v>12.276969485124184</v>
      </c>
      <c r="K131" s="59">
        <f t="shared" si="111"/>
        <v>0</v>
      </c>
      <c r="L131" s="59">
        <f t="shared" si="111"/>
        <v>0</v>
      </c>
      <c r="M131" s="59">
        <f t="shared" si="111"/>
        <v>0</v>
      </c>
      <c r="N131" s="59">
        <f t="shared" si="111"/>
        <v>0</v>
      </c>
      <c r="O131" s="59">
        <f t="shared" si="111"/>
        <v>0</v>
      </c>
      <c r="P131" s="59">
        <f t="shared" si="111"/>
        <v>0</v>
      </c>
      <c r="Q131" s="59">
        <f t="shared" si="111"/>
        <v>0</v>
      </c>
      <c r="R131" s="59">
        <f t="shared" si="111"/>
        <v>0</v>
      </c>
      <c r="S131" s="59">
        <f t="shared" si="111"/>
        <v>0</v>
      </c>
      <c r="T131" s="59">
        <f t="shared" si="111"/>
        <v>0</v>
      </c>
      <c r="U131" s="59">
        <f t="shared" si="111"/>
        <v>0</v>
      </c>
      <c r="V131" s="59">
        <f t="shared" si="111"/>
        <v>0</v>
      </c>
      <c r="W131" s="59">
        <f t="shared" si="111"/>
        <v>0</v>
      </c>
      <c r="Y131" s="61"/>
      <c r="Z131" s="61"/>
      <c r="AA131" s="61"/>
    </row>
    <row r="132" spans="2:27" s="59" customFormat="1" x14ac:dyDescent="0.2">
      <c r="C132" s="65" t="s">
        <v>34</v>
      </c>
      <c r="E132" s="59">
        <f>IF(AND(E123=0,E124=0),0,IF(E125&gt;E126,E124,E128))</f>
        <v>0</v>
      </c>
      <c r="F132" s="59">
        <f t="shared" ref="F132:W132" si="112">IF(AND(F123=0,F124=0),0,IF(F125&gt;F126,F124,F128))</f>
        <v>0</v>
      </c>
      <c r="G132" s="59">
        <f t="shared" si="112"/>
        <v>0</v>
      </c>
      <c r="H132" s="59">
        <f t="shared" si="112"/>
        <v>0</v>
      </c>
      <c r="I132" s="59">
        <f t="shared" si="112"/>
        <v>0</v>
      </c>
      <c r="J132" s="59">
        <f t="shared" si="112"/>
        <v>7.8244380135531229</v>
      </c>
      <c r="K132" s="59">
        <f t="shared" si="112"/>
        <v>0</v>
      </c>
      <c r="L132" s="59">
        <f t="shared" si="112"/>
        <v>0</v>
      </c>
      <c r="M132" s="59">
        <f t="shared" si="112"/>
        <v>0</v>
      </c>
      <c r="N132" s="59">
        <f t="shared" si="112"/>
        <v>0</v>
      </c>
      <c r="O132" s="59">
        <f t="shared" si="112"/>
        <v>0</v>
      </c>
      <c r="P132" s="59">
        <f t="shared" si="112"/>
        <v>0</v>
      </c>
      <c r="Q132" s="59">
        <f t="shared" si="112"/>
        <v>0</v>
      </c>
      <c r="R132" s="59">
        <f t="shared" si="112"/>
        <v>0</v>
      </c>
      <c r="S132" s="59">
        <f t="shared" si="112"/>
        <v>0</v>
      </c>
      <c r="T132" s="59">
        <f t="shared" si="112"/>
        <v>0</v>
      </c>
      <c r="U132" s="59">
        <f t="shared" si="112"/>
        <v>0</v>
      </c>
      <c r="V132" s="59">
        <f t="shared" si="112"/>
        <v>0</v>
      </c>
      <c r="W132" s="59">
        <f t="shared" si="112"/>
        <v>0</v>
      </c>
      <c r="Y132" s="61"/>
      <c r="Z132" s="61"/>
      <c r="AA132" s="61"/>
    </row>
    <row r="133" spans="2:27" s="59" customFormat="1" x14ac:dyDescent="0.2">
      <c r="C133" s="65"/>
      <c r="Y133" s="61"/>
      <c r="Z133" s="61"/>
      <c r="AA133" s="61"/>
    </row>
    <row r="134" spans="2:27" s="59" customFormat="1" x14ac:dyDescent="0.2">
      <c r="B134" s="73" t="s">
        <v>112</v>
      </c>
      <c r="C134" s="65" t="s">
        <v>32</v>
      </c>
      <c r="D134" s="59" t="s">
        <v>36</v>
      </c>
      <c r="E134" s="59">
        <f>IF(AND(E$93&lt;&gt;"",E$94&lt;&gt;""),MIN(E$93,MaxVlhkost),0)</f>
        <v>0</v>
      </c>
      <c r="F134" s="59">
        <f t="shared" ref="F134:W134" si="113">IF(AND(F$93&lt;&gt;"",F$94&lt;&gt;""),MIN(F$93,MaxVlhkost),0)</f>
        <v>0</v>
      </c>
      <c r="G134" s="59">
        <f t="shared" si="113"/>
        <v>0</v>
      </c>
      <c r="H134" s="59">
        <f t="shared" si="113"/>
        <v>0</v>
      </c>
      <c r="I134" s="59">
        <f t="shared" si="113"/>
        <v>0</v>
      </c>
      <c r="J134" s="59">
        <f t="shared" si="113"/>
        <v>0</v>
      </c>
      <c r="K134" s="59">
        <f t="shared" si="113"/>
        <v>0</v>
      </c>
      <c r="L134" s="59">
        <f t="shared" si="113"/>
        <v>0</v>
      </c>
      <c r="M134" s="59">
        <f t="shared" si="113"/>
        <v>0</v>
      </c>
      <c r="N134" s="59">
        <f t="shared" si="113"/>
        <v>0</v>
      </c>
      <c r="O134" s="59">
        <f t="shared" si="113"/>
        <v>0</v>
      </c>
      <c r="P134" s="59">
        <f t="shared" si="113"/>
        <v>0</v>
      </c>
      <c r="Q134" s="59">
        <f t="shared" si="113"/>
        <v>0</v>
      </c>
      <c r="R134" s="59">
        <f t="shared" si="113"/>
        <v>0</v>
      </c>
      <c r="S134" s="59">
        <f t="shared" si="113"/>
        <v>0</v>
      </c>
      <c r="T134" s="59">
        <f t="shared" si="113"/>
        <v>0</v>
      </c>
      <c r="U134" s="59">
        <f t="shared" si="113"/>
        <v>0</v>
      </c>
      <c r="V134" s="59">
        <f t="shared" si="113"/>
        <v>0</v>
      </c>
      <c r="W134" s="59">
        <f t="shared" si="113"/>
        <v>0</v>
      </c>
      <c r="Y134" s="61"/>
      <c r="Z134" s="61"/>
      <c r="AA134" s="61"/>
    </row>
    <row r="135" spans="2:27" s="59" customFormat="1" x14ac:dyDescent="0.2">
      <c r="C135" s="65" t="s">
        <v>2</v>
      </c>
      <c r="D135" s="59" t="s">
        <v>35</v>
      </c>
      <c r="E135" s="59">
        <f>IF(AND(E$93&lt;&gt;"",E$94&lt;&gt;""),E$94,0)</f>
        <v>0</v>
      </c>
      <c r="F135" s="59">
        <f t="shared" ref="F135:W135" si="114">IF(AND(F$93&lt;&gt;"",F$94&lt;&gt;""),F$94,0)</f>
        <v>0</v>
      </c>
      <c r="G135" s="59">
        <f t="shared" si="114"/>
        <v>0</v>
      </c>
      <c r="H135" s="59">
        <f t="shared" si="114"/>
        <v>0</v>
      </c>
      <c r="I135" s="59">
        <f t="shared" si="114"/>
        <v>0</v>
      </c>
      <c r="J135" s="59">
        <f t="shared" si="114"/>
        <v>0</v>
      </c>
      <c r="K135" s="59">
        <f t="shared" si="114"/>
        <v>0</v>
      </c>
      <c r="L135" s="59">
        <f t="shared" si="114"/>
        <v>0</v>
      </c>
      <c r="M135" s="59">
        <f t="shared" si="114"/>
        <v>0</v>
      </c>
      <c r="N135" s="59">
        <f t="shared" si="114"/>
        <v>0</v>
      </c>
      <c r="O135" s="59">
        <f t="shared" si="114"/>
        <v>0</v>
      </c>
      <c r="P135" s="59">
        <f t="shared" si="114"/>
        <v>0</v>
      </c>
      <c r="Q135" s="59">
        <f t="shared" si="114"/>
        <v>0</v>
      </c>
      <c r="R135" s="59">
        <f t="shared" si="114"/>
        <v>0</v>
      </c>
      <c r="S135" s="59">
        <f t="shared" si="114"/>
        <v>0</v>
      </c>
      <c r="T135" s="59">
        <f t="shared" si="114"/>
        <v>0</v>
      </c>
      <c r="U135" s="59">
        <f t="shared" si="114"/>
        <v>0</v>
      </c>
      <c r="V135" s="59">
        <f t="shared" si="114"/>
        <v>0</v>
      </c>
      <c r="W135" s="59">
        <f t="shared" si="114"/>
        <v>0</v>
      </c>
      <c r="Y135" s="61"/>
      <c r="Z135" s="61"/>
      <c r="AA135" s="61"/>
    </row>
    <row r="136" spans="2:27" s="59" customFormat="1" x14ac:dyDescent="0.2">
      <c r="C136" s="65" t="s">
        <v>31</v>
      </c>
      <c r="D136" s="59" t="s">
        <v>10</v>
      </c>
      <c r="E136" s="59" t="e">
        <f>E135/1000*Tlak_vzduchu/E134/(0.6222+E135/1000)*1000</f>
        <v>#DIV/0!</v>
      </c>
      <c r="F136" s="59" t="e">
        <f t="shared" ref="F136:N136" si="115">F135/1000*Tlak_vzduchu/F134/(0.6222+F135/1000)*1000</f>
        <v>#DIV/0!</v>
      </c>
      <c r="G136" s="59" t="e">
        <f t="shared" si="115"/>
        <v>#DIV/0!</v>
      </c>
      <c r="H136" s="59" t="e">
        <f t="shared" si="115"/>
        <v>#DIV/0!</v>
      </c>
      <c r="I136" s="59" t="e">
        <f t="shared" si="115"/>
        <v>#DIV/0!</v>
      </c>
      <c r="J136" s="59" t="e">
        <f t="shared" si="115"/>
        <v>#DIV/0!</v>
      </c>
      <c r="K136" s="59" t="e">
        <f t="shared" si="115"/>
        <v>#DIV/0!</v>
      </c>
      <c r="L136" s="59" t="e">
        <f t="shared" si="115"/>
        <v>#DIV/0!</v>
      </c>
      <c r="M136" s="59" t="e">
        <f t="shared" si="115"/>
        <v>#DIV/0!</v>
      </c>
      <c r="N136" s="59" t="e">
        <f t="shared" si="115"/>
        <v>#DIV/0!</v>
      </c>
      <c r="O136" s="59" t="e">
        <f t="shared" ref="O136:W136" si="116">O135/1000*Tlak_vzduchu/O134/(0.6222+O135/1000)*1000</f>
        <v>#DIV/0!</v>
      </c>
      <c r="P136" s="59" t="e">
        <f t="shared" si="116"/>
        <v>#DIV/0!</v>
      </c>
      <c r="Q136" s="59" t="e">
        <f t="shared" si="116"/>
        <v>#DIV/0!</v>
      </c>
      <c r="R136" s="59" t="e">
        <f t="shared" si="116"/>
        <v>#DIV/0!</v>
      </c>
      <c r="S136" s="59" t="e">
        <f t="shared" si="116"/>
        <v>#DIV/0!</v>
      </c>
      <c r="T136" s="59" t="e">
        <f t="shared" si="116"/>
        <v>#DIV/0!</v>
      </c>
      <c r="U136" s="59" t="e">
        <f t="shared" si="116"/>
        <v>#DIV/0!</v>
      </c>
      <c r="V136" s="59" t="e">
        <f t="shared" si="116"/>
        <v>#DIV/0!</v>
      </c>
      <c r="W136" s="59" t="e">
        <f t="shared" si="116"/>
        <v>#DIV/0!</v>
      </c>
      <c r="Y136" s="61"/>
      <c r="Z136" s="61"/>
      <c r="AA136" s="61"/>
    </row>
    <row r="137" spans="2:27" s="59" customFormat="1" x14ac:dyDescent="0.2">
      <c r="C137" s="65" t="s">
        <v>0</v>
      </c>
      <c r="E137" s="59" t="e">
        <f>IF(E136&lt;641,(271*LN(E136)-1738.4)/(28.74-LN(E136)),(234*LN(E136)-1500.3)/(23.5-LN(E136)))</f>
        <v>#DIV/0!</v>
      </c>
      <c r="F137" s="59" t="e">
        <f t="shared" ref="F137:W137" si="117">IF(F136&lt;641,(271*LN(F136)-1738.4)/(28.74-LN(F136)),(234*LN(F136)-1500.3)/(23.5-LN(F136)))</f>
        <v>#DIV/0!</v>
      </c>
      <c r="G137" s="59" t="e">
        <f t="shared" si="117"/>
        <v>#DIV/0!</v>
      </c>
      <c r="H137" s="59" t="e">
        <f t="shared" si="117"/>
        <v>#DIV/0!</v>
      </c>
      <c r="I137" s="59" t="e">
        <f t="shared" si="117"/>
        <v>#DIV/0!</v>
      </c>
      <c r="J137" s="59" t="e">
        <f t="shared" si="117"/>
        <v>#DIV/0!</v>
      </c>
      <c r="K137" s="59" t="e">
        <f t="shared" si="117"/>
        <v>#DIV/0!</v>
      </c>
      <c r="L137" s="59" t="e">
        <f t="shared" si="117"/>
        <v>#DIV/0!</v>
      </c>
      <c r="M137" s="59" t="e">
        <f t="shared" si="117"/>
        <v>#DIV/0!</v>
      </c>
      <c r="N137" s="59" t="e">
        <f t="shared" si="117"/>
        <v>#DIV/0!</v>
      </c>
      <c r="O137" s="59" t="e">
        <f t="shared" si="117"/>
        <v>#DIV/0!</v>
      </c>
      <c r="P137" s="59" t="e">
        <f t="shared" si="117"/>
        <v>#DIV/0!</v>
      </c>
      <c r="Q137" s="59" t="e">
        <f t="shared" si="117"/>
        <v>#DIV/0!</v>
      </c>
      <c r="R137" s="59" t="e">
        <f t="shared" si="117"/>
        <v>#DIV/0!</v>
      </c>
      <c r="S137" s="59" t="e">
        <f t="shared" si="117"/>
        <v>#DIV/0!</v>
      </c>
      <c r="T137" s="59" t="e">
        <f t="shared" si="117"/>
        <v>#DIV/0!</v>
      </c>
      <c r="U137" s="59" t="e">
        <f t="shared" si="117"/>
        <v>#DIV/0!</v>
      </c>
      <c r="V137" s="59" t="e">
        <f t="shared" si="117"/>
        <v>#DIV/0!</v>
      </c>
      <c r="W137" s="59" t="e">
        <f t="shared" si="117"/>
        <v>#DIV/0!</v>
      </c>
      <c r="Y137" s="61"/>
      <c r="Z137" s="61"/>
      <c r="AA137" s="61"/>
    </row>
    <row r="138" spans="2:27" s="59" customFormat="1" x14ac:dyDescent="0.2">
      <c r="B138" s="76" t="s">
        <v>70</v>
      </c>
      <c r="C138" s="65" t="s">
        <v>33</v>
      </c>
      <c r="E138" s="59">
        <f>IF(E134=0,0,E137)</f>
        <v>0</v>
      </c>
      <c r="F138" s="59">
        <f t="shared" ref="F138:W138" si="118">IF(F134=0,0,F137)</f>
        <v>0</v>
      </c>
      <c r="G138" s="59">
        <f t="shared" si="118"/>
        <v>0</v>
      </c>
      <c r="H138" s="59">
        <f t="shared" si="118"/>
        <v>0</v>
      </c>
      <c r="I138" s="59">
        <f t="shared" si="118"/>
        <v>0</v>
      </c>
      <c r="J138" s="59">
        <f t="shared" si="118"/>
        <v>0</v>
      </c>
      <c r="K138" s="59">
        <f t="shared" si="118"/>
        <v>0</v>
      </c>
      <c r="L138" s="59">
        <f t="shared" si="118"/>
        <v>0</v>
      </c>
      <c r="M138" s="59">
        <f t="shared" si="118"/>
        <v>0</v>
      </c>
      <c r="N138" s="59">
        <f t="shared" si="118"/>
        <v>0</v>
      </c>
      <c r="O138" s="59">
        <f t="shared" si="118"/>
        <v>0</v>
      </c>
      <c r="P138" s="59">
        <f t="shared" si="118"/>
        <v>0</v>
      </c>
      <c r="Q138" s="59">
        <f t="shared" si="118"/>
        <v>0</v>
      </c>
      <c r="R138" s="59">
        <f t="shared" si="118"/>
        <v>0</v>
      </c>
      <c r="S138" s="59">
        <f t="shared" si="118"/>
        <v>0</v>
      </c>
      <c r="T138" s="59">
        <f t="shared" si="118"/>
        <v>0</v>
      </c>
      <c r="U138" s="59">
        <f t="shared" si="118"/>
        <v>0</v>
      </c>
      <c r="V138" s="59">
        <f t="shared" si="118"/>
        <v>0</v>
      </c>
      <c r="W138" s="59">
        <f t="shared" si="118"/>
        <v>0</v>
      </c>
      <c r="Y138" s="61"/>
      <c r="Z138" s="61"/>
      <c r="AA138" s="61"/>
    </row>
    <row r="139" spans="2:27" s="59" customFormat="1" x14ac:dyDescent="0.2">
      <c r="C139" s="65" t="s">
        <v>34</v>
      </c>
      <c r="E139" s="59">
        <f>IF(E135=0,0,E135)</f>
        <v>0</v>
      </c>
      <c r="F139" s="59">
        <f t="shared" ref="F139:W139" si="119">IF(F135=0,0,F135)</f>
        <v>0</v>
      </c>
      <c r="G139" s="59">
        <f t="shared" si="119"/>
        <v>0</v>
      </c>
      <c r="H139" s="59">
        <f t="shared" si="119"/>
        <v>0</v>
      </c>
      <c r="I139" s="59">
        <f t="shared" si="119"/>
        <v>0</v>
      </c>
      <c r="J139" s="59">
        <f t="shared" si="119"/>
        <v>0</v>
      </c>
      <c r="K139" s="59">
        <f t="shared" si="119"/>
        <v>0</v>
      </c>
      <c r="L139" s="59">
        <f t="shared" si="119"/>
        <v>0</v>
      </c>
      <c r="M139" s="59">
        <f t="shared" si="119"/>
        <v>0</v>
      </c>
      <c r="N139" s="59">
        <f t="shared" si="119"/>
        <v>0</v>
      </c>
      <c r="O139" s="59">
        <f t="shared" si="119"/>
        <v>0</v>
      </c>
      <c r="P139" s="59">
        <f t="shared" si="119"/>
        <v>0</v>
      </c>
      <c r="Q139" s="59">
        <f t="shared" si="119"/>
        <v>0</v>
      </c>
      <c r="R139" s="59">
        <f t="shared" si="119"/>
        <v>0</v>
      </c>
      <c r="S139" s="59">
        <f t="shared" si="119"/>
        <v>0</v>
      </c>
      <c r="T139" s="59">
        <f t="shared" si="119"/>
        <v>0</v>
      </c>
      <c r="U139" s="59">
        <f t="shared" si="119"/>
        <v>0</v>
      </c>
      <c r="V139" s="59">
        <f t="shared" si="119"/>
        <v>0</v>
      </c>
      <c r="W139" s="59">
        <f t="shared" si="119"/>
        <v>0</v>
      </c>
      <c r="Y139" s="61"/>
      <c r="Z139" s="61"/>
      <c r="AA139" s="61"/>
    </row>
    <row r="140" spans="2:27" s="59" customFormat="1" x14ac:dyDescent="0.2">
      <c r="C140" s="65"/>
      <c r="Y140" s="61"/>
      <c r="Z140" s="61"/>
      <c r="AA140" s="61"/>
    </row>
    <row r="141" spans="2:27" s="59" customFormat="1" x14ac:dyDescent="0.2">
      <c r="B141" s="73" t="s">
        <v>113</v>
      </c>
      <c r="C141" s="65" t="s">
        <v>32</v>
      </c>
      <c r="E141" s="59">
        <f>IF(AND(E$93&lt;&gt;"",E$95&lt;&gt;""),MIN(E$93,MaxVlhkost),0)</f>
        <v>0</v>
      </c>
      <c r="F141" s="59">
        <f t="shared" ref="F141:W141" si="120">IF(AND(F$93&lt;&gt;"",F$95&lt;&gt;""),MIN(F$93,MaxVlhkost),0)</f>
        <v>0</v>
      </c>
      <c r="G141" s="59">
        <f t="shared" si="120"/>
        <v>0</v>
      </c>
      <c r="H141" s="59">
        <f t="shared" si="120"/>
        <v>0</v>
      </c>
      <c r="I141" s="59">
        <f t="shared" si="120"/>
        <v>0</v>
      </c>
      <c r="J141" s="59">
        <f t="shared" si="120"/>
        <v>0</v>
      </c>
      <c r="K141" s="59">
        <f t="shared" si="120"/>
        <v>0</v>
      </c>
      <c r="L141" s="59">
        <f t="shared" si="120"/>
        <v>0</v>
      </c>
      <c r="M141" s="59">
        <f t="shared" si="120"/>
        <v>0</v>
      </c>
      <c r="N141" s="59">
        <f t="shared" si="120"/>
        <v>0</v>
      </c>
      <c r="O141" s="59">
        <f t="shared" si="120"/>
        <v>0</v>
      </c>
      <c r="P141" s="59">
        <f t="shared" si="120"/>
        <v>0</v>
      </c>
      <c r="Q141" s="59">
        <f t="shared" si="120"/>
        <v>0</v>
      </c>
      <c r="R141" s="59">
        <f t="shared" si="120"/>
        <v>0</v>
      </c>
      <c r="S141" s="59">
        <f t="shared" si="120"/>
        <v>0</v>
      </c>
      <c r="T141" s="59">
        <f t="shared" si="120"/>
        <v>0</v>
      </c>
      <c r="U141" s="59">
        <f t="shared" si="120"/>
        <v>0</v>
      </c>
      <c r="V141" s="59">
        <f t="shared" si="120"/>
        <v>0</v>
      </c>
      <c r="W141" s="59">
        <f t="shared" si="120"/>
        <v>0</v>
      </c>
      <c r="Y141" s="61"/>
      <c r="Z141" s="61"/>
      <c r="AA141" s="61"/>
    </row>
    <row r="142" spans="2:27" s="59" customFormat="1" x14ac:dyDescent="0.2">
      <c r="C142" s="65" t="s">
        <v>3</v>
      </c>
      <c r="E142" s="59">
        <f>IF(AND(E$93&lt;&gt;"",E$95&lt;&gt;""),E$95,0)</f>
        <v>0</v>
      </c>
      <c r="F142" s="59">
        <f t="shared" ref="F142:W142" si="121">IF(AND(F$93&lt;&gt;"",F$95&lt;&gt;""),F$95,0)</f>
        <v>0</v>
      </c>
      <c r="G142" s="59">
        <f t="shared" si="121"/>
        <v>0</v>
      </c>
      <c r="H142" s="59">
        <f t="shared" si="121"/>
        <v>0</v>
      </c>
      <c r="I142" s="59">
        <f t="shared" si="121"/>
        <v>0</v>
      </c>
      <c r="J142" s="59">
        <f t="shared" si="121"/>
        <v>0</v>
      </c>
      <c r="K142" s="59">
        <f t="shared" si="121"/>
        <v>0</v>
      </c>
      <c r="L142" s="59">
        <f t="shared" si="121"/>
        <v>0</v>
      </c>
      <c r="M142" s="59">
        <f t="shared" si="121"/>
        <v>0</v>
      </c>
      <c r="N142" s="59">
        <f t="shared" si="121"/>
        <v>0</v>
      </c>
      <c r="O142" s="59">
        <f t="shared" si="121"/>
        <v>0</v>
      </c>
      <c r="P142" s="59">
        <f t="shared" si="121"/>
        <v>0</v>
      </c>
      <c r="Q142" s="59">
        <f t="shared" si="121"/>
        <v>0</v>
      </c>
      <c r="R142" s="59">
        <f t="shared" si="121"/>
        <v>0</v>
      </c>
      <c r="S142" s="59">
        <f t="shared" si="121"/>
        <v>0</v>
      </c>
      <c r="T142" s="59">
        <f t="shared" si="121"/>
        <v>0</v>
      </c>
      <c r="U142" s="59">
        <f t="shared" si="121"/>
        <v>0</v>
      </c>
      <c r="V142" s="59">
        <f t="shared" si="121"/>
        <v>0</v>
      </c>
      <c r="W142" s="59">
        <f t="shared" si="121"/>
        <v>0</v>
      </c>
      <c r="Y142" s="61"/>
      <c r="Z142" s="61"/>
      <c r="AA142" s="61"/>
    </row>
    <row r="143" spans="2:27" s="59" customFormat="1" x14ac:dyDescent="0.2">
      <c r="C143" s="72" t="s">
        <v>0</v>
      </c>
      <c r="E143" s="59">
        <v>5.7926502284724735E-4</v>
      </c>
      <c r="F143" s="59">
        <v>3.2713249772620134E-4</v>
      </c>
      <c r="G143" s="59">
        <v>2.614847727860567E-4</v>
      </c>
      <c r="H143" s="59">
        <v>4.1770661130514919E-5</v>
      </c>
      <c r="I143" s="59">
        <v>7.1262905406217769E-5</v>
      </c>
      <c r="J143" s="59">
        <v>5.0552826087199576E-4</v>
      </c>
      <c r="K143" s="59">
        <v>5.0552826087199576E-4</v>
      </c>
      <c r="L143" s="59">
        <v>5.0552826087199576E-4</v>
      </c>
      <c r="M143" s="59">
        <v>5.0552826087199576E-4</v>
      </c>
      <c r="N143" s="59">
        <v>5.0552826087199576E-4</v>
      </c>
      <c r="O143" s="59">
        <v>5.0552826087199576E-4</v>
      </c>
      <c r="P143" s="59">
        <v>5.0552826087199576E-4</v>
      </c>
      <c r="Q143" s="59">
        <v>5.0552826087199576E-4</v>
      </c>
      <c r="R143" s="59">
        <v>5.0552826087199576E-4</v>
      </c>
      <c r="S143" s="59">
        <v>5.0552826087199576E-4</v>
      </c>
      <c r="T143" s="59">
        <v>5.0552826087199576E-4</v>
      </c>
      <c r="U143" s="59">
        <v>5.0552826087199576E-4</v>
      </c>
      <c r="V143" s="59">
        <v>5.0552826087199576E-4</v>
      </c>
      <c r="W143" s="59">
        <v>5.0552826087199576E-4</v>
      </c>
      <c r="Y143" s="61"/>
      <c r="Z143" s="61"/>
      <c r="AA143" s="61"/>
    </row>
    <row r="144" spans="2:27" s="59" customFormat="1" x14ac:dyDescent="0.2">
      <c r="C144" s="72" t="s">
        <v>31</v>
      </c>
      <c r="E144" s="74">
        <f>IF(E143&lt;-50,#N/A,IF(E143&lt;0,EXP((1738.4+28.74*E143)/(271+E143)),IF(E143&lt;=100,EXP((1500.3+23.5*E143)/(234+E143)),#N/A)))</f>
        <v>608.85537727910446</v>
      </c>
      <c r="F144" s="74">
        <f t="shared" ref="F144:W144" si="122">IF(F143&lt;-50,#N/A,IF(F143&lt;0,EXP((1738.4+28.74*F143)/(271+F143)),IF(F143&lt;=100,EXP((1500.3+23.5*F143)/(234+F143)),#N/A)))</f>
        <v>608.84416679294907</v>
      </c>
      <c r="G144" s="74">
        <f t="shared" si="122"/>
        <v>608.84124794948968</v>
      </c>
      <c r="H144" s="74">
        <f t="shared" si="122"/>
        <v>608.83147906263059</v>
      </c>
      <c r="I144" s="74">
        <f t="shared" si="122"/>
        <v>608.83279033311987</v>
      </c>
      <c r="J144" s="74">
        <f t="shared" si="122"/>
        <v>608.85209872667178</v>
      </c>
      <c r="K144" s="74">
        <f t="shared" si="122"/>
        <v>608.85209872667178</v>
      </c>
      <c r="L144" s="74">
        <f t="shared" si="122"/>
        <v>608.85209872667178</v>
      </c>
      <c r="M144" s="70">
        <f t="shared" si="122"/>
        <v>608.85209872667178</v>
      </c>
      <c r="N144" s="70">
        <f t="shared" si="122"/>
        <v>608.85209872667178</v>
      </c>
      <c r="O144" s="70">
        <f t="shared" si="122"/>
        <v>608.85209872667178</v>
      </c>
      <c r="P144" s="70">
        <f t="shared" si="122"/>
        <v>608.85209872667178</v>
      </c>
      <c r="Q144" s="70">
        <f t="shared" si="122"/>
        <v>608.85209872667178</v>
      </c>
      <c r="R144" s="70">
        <f t="shared" si="122"/>
        <v>608.85209872667178</v>
      </c>
      <c r="S144" s="70">
        <f t="shared" si="122"/>
        <v>608.85209872667178</v>
      </c>
      <c r="T144" s="70">
        <f t="shared" si="122"/>
        <v>608.85209872667178</v>
      </c>
      <c r="U144" s="70">
        <f t="shared" si="122"/>
        <v>608.85209872667178</v>
      </c>
      <c r="V144" s="70">
        <f t="shared" si="122"/>
        <v>608.85209872667178</v>
      </c>
      <c r="W144" s="70">
        <f t="shared" si="122"/>
        <v>608.85209872667178</v>
      </c>
      <c r="Y144" s="61"/>
      <c r="Z144" s="61"/>
      <c r="AA144" s="61"/>
    </row>
    <row r="145" spans="2:27" s="59" customFormat="1" x14ac:dyDescent="0.2">
      <c r="C145" s="72" t="s">
        <v>37</v>
      </c>
      <c r="E145" s="59">
        <f>0.6222*E141*E144/(Tlak_vzduchu-E141*E144/1000)</f>
        <v>0</v>
      </c>
      <c r="F145" s="59">
        <f t="shared" ref="F145:N145" si="123">0.6222*F141*F144/(Tlak_vzduchu-F141*F144/1000)</f>
        <v>0</v>
      </c>
      <c r="G145" s="59">
        <f t="shared" si="123"/>
        <v>0</v>
      </c>
      <c r="H145" s="59">
        <f t="shared" si="123"/>
        <v>0</v>
      </c>
      <c r="I145" s="59">
        <f t="shared" si="123"/>
        <v>0</v>
      </c>
      <c r="J145" s="59">
        <f t="shared" si="123"/>
        <v>0</v>
      </c>
      <c r="K145" s="59">
        <f t="shared" si="123"/>
        <v>0</v>
      </c>
      <c r="L145" s="59">
        <f t="shared" si="123"/>
        <v>0</v>
      </c>
      <c r="M145" s="59">
        <f t="shared" si="123"/>
        <v>0</v>
      </c>
      <c r="N145" s="59">
        <f t="shared" si="123"/>
        <v>0</v>
      </c>
      <c r="O145" s="59">
        <f t="shared" ref="O145:W145" si="124">0.6222*O141*O144/(Tlak_vzduchu-O141*O144/1000)</f>
        <v>0</v>
      </c>
      <c r="P145" s="59">
        <f t="shared" si="124"/>
        <v>0</v>
      </c>
      <c r="Q145" s="59">
        <f t="shared" si="124"/>
        <v>0</v>
      </c>
      <c r="R145" s="59">
        <f t="shared" si="124"/>
        <v>0</v>
      </c>
      <c r="S145" s="59">
        <f t="shared" si="124"/>
        <v>0</v>
      </c>
      <c r="T145" s="59">
        <f t="shared" si="124"/>
        <v>0</v>
      </c>
      <c r="U145" s="59">
        <f t="shared" si="124"/>
        <v>0</v>
      </c>
      <c r="V145" s="59">
        <f t="shared" si="124"/>
        <v>0</v>
      </c>
      <c r="W145" s="59">
        <f t="shared" si="124"/>
        <v>0</v>
      </c>
      <c r="Y145" s="61"/>
      <c r="Z145" s="61"/>
      <c r="AA145" s="61"/>
    </row>
    <row r="146" spans="2:27" s="59" customFormat="1" x14ac:dyDescent="0.2">
      <c r="C146" s="72" t="s">
        <v>38</v>
      </c>
      <c r="E146" s="59">
        <f>(E142-1.01*E143)/(2501+1.86*E143)*1000</f>
        <v>-2.339293966543309E-4</v>
      </c>
      <c r="F146" s="59">
        <f t="shared" ref="F146:W146" si="125">(F142-1.01*F143)/(2501+1.86*F143)*1000</f>
        <v>-1.321086534665256E-4</v>
      </c>
      <c r="G146" s="59">
        <f t="shared" si="125"/>
        <v>-1.0559758862666812E-4</v>
      </c>
      <c r="H146" s="59">
        <f t="shared" si="125"/>
        <v>-1.6868599132843162E-5</v>
      </c>
      <c r="I146" s="59">
        <f t="shared" si="125"/>
        <v>-2.8778700777965545E-5</v>
      </c>
      <c r="J146" s="59">
        <f t="shared" si="125"/>
        <v>-2.0415167993620569E-4</v>
      </c>
      <c r="K146" s="59">
        <f t="shared" si="125"/>
        <v>-2.0415167993620569E-4</v>
      </c>
      <c r="L146" s="59">
        <f t="shared" si="125"/>
        <v>-2.0415167993620569E-4</v>
      </c>
      <c r="M146" s="59">
        <f t="shared" si="125"/>
        <v>-2.0415167993620569E-4</v>
      </c>
      <c r="N146" s="59">
        <f t="shared" si="125"/>
        <v>-2.0415167993620569E-4</v>
      </c>
      <c r="O146" s="59">
        <f t="shared" si="125"/>
        <v>-2.0415167993620569E-4</v>
      </c>
      <c r="P146" s="59">
        <f t="shared" si="125"/>
        <v>-2.0415167993620569E-4</v>
      </c>
      <c r="Q146" s="59">
        <f t="shared" si="125"/>
        <v>-2.0415167993620569E-4</v>
      </c>
      <c r="R146" s="59">
        <f t="shared" si="125"/>
        <v>-2.0415167993620569E-4</v>
      </c>
      <c r="S146" s="59">
        <f t="shared" si="125"/>
        <v>-2.0415167993620569E-4</v>
      </c>
      <c r="T146" s="59">
        <f t="shared" si="125"/>
        <v>-2.0415167993620569E-4</v>
      </c>
      <c r="U146" s="59">
        <f t="shared" si="125"/>
        <v>-2.0415167993620569E-4</v>
      </c>
      <c r="V146" s="59">
        <f t="shared" si="125"/>
        <v>-2.0415167993620569E-4</v>
      </c>
      <c r="W146" s="59">
        <f t="shared" si="125"/>
        <v>-2.0415167993620569E-4</v>
      </c>
      <c r="Y146" s="61"/>
      <c r="Z146" s="61"/>
      <c r="AA146" s="61"/>
    </row>
    <row r="147" spans="2:27" s="59" customFormat="1" x14ac:dyDescent="0.2">
      <c r="C147" s="73" t="s">
        <v>39</v>
      </c>
      <c r="E147" s="59">
        <f>E145-E146</f>
        <v>2.339293966543309E-4</v>
      </c>
      <c r="F147" s="59">
        <f t="shared" ref="F147:W147" si="126">F145-F146</f>
        <v>1.321086534665256E-4</v>
      </c>
      <c r="G147" s="59">
        <f t="shared" si="126"/>
        <v>1.0559758862666812E-4</v>
      </c>
      <c r="H147" s="59">
        <f t="shared" si="126"/>
        <v>1.6868599132843162E-5</v>
      </c>
      <c r="I147" s="59">
        <f t="shared" si="126"/>
        <v>2.8778700777965545E-5</v>
      </c>
      <c r="J147" s="59">
        <f t="shared" si="126"/>
        <v>2.0415167993620569E-4</v>
      </c>
      <c r="K147" s="59">
        <f t="shared" si="126"/>
        <v>2.0415167993620569E-4</v>
      </c>
      <c r="L147" s="59">
        <f t="shared" si="126"/>
        <v>2.0415167993620569E-4</v>
      </c>
      <c r="M147" s="59">
        <f t="shared" si="126"/>
        <v>2.0415167993620569E-4</v>
      </c>
      <c r="N147" s="59">
        <f t="shared" si="126"/>
        <v>2.0415167993620569E-4</v>
      </c>
      <c r="O147" s="59">
        <f t="shared" si="126"/>
        <v>2.0415167993620569E-4</v>
      </c>
      <c r="P147" s="59">
        <f t="shared" si="126"/>
        <v>2.0415167993620569E-4</v>
      </c>
      <c r="Q147" s="59">
        <f t="shared" si="126"/>
        <v>2.0415167993620569E-4</v>
      </c>
      <c r="R147" s="59">
        <f t="shared" si="126"/>
        <v>2.0415167993620569E-4</v>
      </c>
      <c r="S147" s="59">
        <f t="shared" si="126"/>
        <v>2.0415167993620569E-4</v>
      </c>
      <c r="T147" s="59">
        <f t="shared" si="126"/>
        <v>2.0415167993620569E-4</v>
      </c>
      <c r="U147" s="59">
        <f t="shared" si="126"/>
        <v>2.0415167993620569E-4</v>
      </c>
      <c r="V147" s="59">
        <f t="shared" si="126"/>
        <v>2.0415167993620569E-4</v>
      </c>
      <c r="W147" s="59">
        <f t="shared" si="126"/>
        <v>2.0415167993620569E-4</v>
      </c>
      <c r="Y147" s="61"/>
      <c r="Z147" s="61"/>
      <c r="AA147" s="61"/>
    </row>
    <row r="148" spans="2:27" s="59" customFormat="1" x14ac:dyDescent="0.2">
      <c r="B148" s="76" t="s">
        <v>70</v>
      </c>
      <c r="C148" s="65" t="s">
        <v>33</v>
      </c>
      <c r="E148" s="59">
        <f>IF(AND(E141=0,E142=0),0,E143)</f>
        <v>0</v>
      </c>
      <c r="F148" s="59">
        <f t="shared" ref="F148:W148" si="127">IF(AND(F141=0,F142=0),0,F143)</f>
        <v>0</v>
      </c>
      <c r="G148" s="59">
        <f t="shared" si="127"/>
        <v>0</v>
      </c>
      <c r="H148" s="59">
        <f t="shared" si="127"/>
        <v>0</v>
      </c>
      <c r="I148" s="59">
        <f t="shared" si="127"/>
        <v>0</v>
      </c>
      <c r="J148" s="59">
        <f t="shared" si="127"/>
        <v>0</v>
      </c>
      <c r="K148" s="59">
        <f t="shared" si="127"/>
        <v>0</v>
      </c>
      <c r="L148" s="59">
        <f t="shared" si="127"/>
        <v>0</v>
      </c>
      <c r="M148" s="59">
        <f t="shared" si="127"/>
        <v>0</v>
      </c>
      <c r="N148" s="59">
        <f t="shared" si="127"/>
        <v>0</v>
      </c>
      <c r="O148" s="59">
        <f t="shared" si="127"/>
        <v>0</v>
      </c>
      <c r="P148" s="59">
        <f t="shared" si="127"/>
        <v>0</v>
      </c>
      <c r="Q148" s="59">
        <f t="shared" si="127"/>
        <v>0</v>
      </c>
      <c r="R148" s="59">
        <f t="shared" si="127"/>
        <v>0</v>
      </c>
      <c r="S148" s="59">
        <f t="shared" si="127"/>
        <v>0</v>
      </c>
      <c r="T148" s="59">
        <f t="shared" si="127"/>
        <v>0</v>
      </c>
      <c r="U148" s="59">
        <f t="shared" si="127"/>
        <v>0</v>
      </c>
      <c r="V148" s="59">
        <f t="shared" si="127"/>
        <v>0</v>
      </c>
      <c r="W148" s="59">
        <f t="shared" si="127"/>
        <v>0</v>
      </c>
      <c r="Y148" s="61"/>
      <c r="Z148" s="61"/>
      <c r="AA148" s="61"/>
    </row>
    <row r="149" spans="2:27" s="59" customFormat="1" x14ac:dyDescent="0.2">
      <c r="C149" s="65" t="s">
        <v>34</v>
      </c>
      <c r="E149" s="59">
        <f>IF(AND(E141=0,E142=0),0,E145)</f>
        <v>0</v>
      </c>
      <c r="F149" s="59">
        <f t="shared" ref="F149:W149" si="128">IF(AND(F141=0,F142=0),0,F145)</f>
        <v>0</v>
      </c>
      <c r="G149" s="59">
        <f t="shared" si="128"/>
        <v>0</v>
      </c>
      <c r="H149" s="59">
        <f t="shared" si="128"/>
        <v>0</v>
      </c>
      <c r="I149" s="59">
        <f t="shared" si="128"/>
        <v>0</v>
      </c>
      <c r="J149" s="59">
        <f t="shared" si="128"/>
        <v>0</v>
      </c>
      <c r="K149" s="59">
        <f t="shared" si="128"/>
        <v>0</v>
      </c>
      <c r="L149" s="59">
        <f t="shared" si="128"/>
        <v>0</v>
      </c>
      <c r="M149" s="59">
        <f t="shared" si="128"/>
        <v>0</v>
      </c>
      <c r="N149" s="59">
        <f t="shared" si="128"/>
        <v>0</v>
      </c>
      <c r="O149" s="59">
        <f t="shared" si="128"/>
        <v>0</v>
      </c>
      <c r="P149" s="59">
        <f t="shared" si="128"/>
        <v>0</v>
      </c>
      <c r="Q149" s="59">
        <f t="shared" si="128"/>
        <v>0</v>
      </c>
      <c r="R149" s="59">
        <f t="shared" si="128"/>
        <v>0</v>
      </c>
      <c r="S149" s="59">
        <f t="shared" si="128"/>
        <v>0</v>
      </c>
      <c r="T149" s="59">
        <f t="shared" si="128"/>
        <v>0</v>
      </c>
      <c r="U149" s="59">
        <f t="shared" si="128"/>
        <v>0</v>
      </c>
      <c r="V149" s="59">
        <f t="shared" si="128"/>
        <v>0</v>
      </c>
      <c r="W149" s="59">
        <f t="shared" si="128"/>
        <v>0</v>
      </c>
      <c r="Y149" s="61"/>
      <c r="Z149" s="61"/>
      <c r="AA149" s="61"/>
    </row>
    <row r="150" spans="2:27" s="59" customFormat="1" x14ac:dyDescent="0.2">
      <c r="Y150" s="61"/>
      <c r="Z150" s="61"/>
      <c r="AA150" s="61"/>
    </row>
    <row r="151" spans="2:27" s="59" customFormat="1" x14ac:dyDescent="0.2">
      <c r="B151" s="112" t="s">
        <v>70</v>
      </c>
      <c r="C151" s="62" t="s">
        <v>33</v>
      </c>
      <c r="E151" s="77">
        <f>E106+E114+E120+E131+E138+E148</f>
        <v>0</v>
      </c>
      <c r="F151" s="77">
        <f t="shared" ref="F151:W151" si="129">F106+F114+F120+F131+F138+F148</f>
        <v>-27</v>
      </c>
      <c r="G151" s="77">
        <f t="shared" si="129"/>
        <v>-27</v>
      </c>
      <c r="H151" s="77">
        <f t="shared" si="129"/>
        <v>-27</v>
      </c>
      <c r="I151" s="77">
        <f t="shared" si="129"/>
        <v>20</v>
      </c>
      <c r="J151" s="77">
        <f t="shared" si="129"/>
        <v>12.276969485124184</v>
      </c>
      <c r="K151" s="77">
        <f t="shared" si="129"/>
        <v>12.276969485124184</v>
      </c>
      <c r="L151" s="77">
        <f t="shared" si="129"/>
        <v>8</v>
      </c>
      <c r="M151" s="77">
        <f t="shared" si="129"/>
        <v>8</v>
      </c>
      <c r="N151" s="77">
        <f t="shared" si="129"/>
        <v>20</v>
      </c>
      <c r="O151" s="77">
        <f t="shared" si="129"/>
        <v>35</v>
      </c>
      <c r="P151" s="77">
        <f t="shared" si="129"/>
        <v>16</v>
      </c>
      <c r="Q151" s="77">
        <f t="shared" si="129"/>
        <v>16</v>
      </c>
      <c r="R151" s="77">
        <f t="shared" si="129"/>
        <v>20</v>
      </c>
      <c r="S151" s="77">
        <f t="shared" si="129"/>
        <v>20</v>
      </c>
      <c r="T151" s="77">
        <f t="shared" si="129"/>
        <v>20</v>
      </c>
      <c r="U151" s="77">
        <f t="shared" si="129"/>
        <v>20</v>
      </c>
      <c r="V151" s="77">
        <f t="shared" si="129"/>
        <v>0</v>
      </c>
      <c r="W151" s="77">
        <f t="shared" si="129"/>
        <v>0</v>
      </c>
      <c r="Y151" s="61"/>
      <c r="Z151" s="61"/>
      <c r="AA151" s="61"/>
    </row>
    <row r="152" spans="2:27" s="59" customFormat="1" x14ac:dyDescent="0.2">
      <c r="C152" s="62" t="s">
        <v>34</v>
      </c>
      <c r="E152" s="77">
        <f>E107+E115+E121+E132+E139+E149</f>
        <v>0</v>
      </c>
      <c r="F152" s="77">
        <f t="shared" ref="F152:W152" si="130">IF(F14="-",E152,F107+F115+F121+F132+F139+F149)</f>
        <v>6.801154036428593E-2</v>
      </c>
      <c r="G152" s="77">
        <f t="shared" si="130"/>
        <v>6.801154036428593E-2</v>
      </c>
      <c r="H152" s="77">
        <f t="shared" si="130"/>
        <v>6.801154036428593E-2</v>
      </c>
      <c r="I152" s="77">
        <f t="shared" si="130"/>
        <v>9.3757233081908904</v>
      </c>
      <c r="J152" s="77">
        <f t="shared" si="130"/>
        <v>7.8244380135531229</v>
      </c>
      <c r="K152" s="77">
        <f t="shared" si="130"/>
        <v>7.7282240629995516E-2</v>
      </c>
      <c r="L152" s="77">
        <f t="shared" si="130"/>
        <v>7.7282240629995516E-2</v>
      </c>
      <c r="M152" s="77">
        <f t="shared" si="130"/>
        <v>7.727273871375711E-4</v>
      </c>
      <c r="N152" s="77">
        <f t="shared" si="130"/>
        <v>7.727273871375711E-4</v>
      </c>
      <c r="O152" s="77">
        <f t="shared" si="130"/>
        <v>15.17511246915182</v>
      </c>
      <c r="P152" s="77">
        <f t="shared" si="130"/>
        <v>9.2012211080269264</v>
      </c>
      <c r="Q152" s="77">
        <f t="shared" si="130"/>
        <v>9.0684559843778378E-2</v>
      </c>
      <c r="R152" s="77">
        <f t="shared" si="130"/>
        <v>9.0684559843778378E-2</v>
      </c>
      <c r="S152" s="77">
        <f t="shared" si="130"/>
        <v>9.0671476786990859E-4</v>
      </c>
      <c r="T152" s="77">
        <f>IF(T14="-",#REF!,T107+T115+T121+T132+T139+T149)</f>
        <v>9.0671345975486622E-6</v>
      </c>
      <c r="U152" s="77">
        <f t="shared" si="130"/>
        <v>9.0671344667373509E-8</v>
      </c>
      <c r="V152" s="77">
        <f t="shared" si="130"/>
        <v>9.0671344667373509E-8</v>
      </c>
      <c r="W152" s="77">
        <f t="shared" si="130"/>
        <v>9.0671344667373509E-8</v>
      </c>
      <c r="Y152" s="61"/>
      <c r="Z152" s="61"/>
      <c r="AA152" s="61"/>
    </row>
    <row r="153" spans="2:27" s="59" customFormat="1" x14ac:dyDescent="0.2">
      <c r="C153" s="62" t="s">
        <v>8</v>
      </c>
      <c r="E153" s="77" t="e">
        <f>(E19-E152*2.501)/1.01</f>
        <v>#VALUE!</v>
      </c>
      <c r="F153" s="77">
        <f t="shared" ref="F153:W153" si="131">IF(F14="-",E153,(F19-F152*2.501)/1.01)</f>
        <v>-27.003381722333753</v>
      </c>
      <c r="G153" s="77">
        <f t="shared" si="131"/>
        <v>-27.003381722333753</v>
      </c>
      <c r="H153" s="77">
        <f t="shared" si="131"/>
        <v>-27.003381722333753</v>
      </c>
      <c r="I153" s="77">
        <f t="shared" si="131"/>
        <v>20.345323670361086</v>
      </c>
      <c r="J153" s="77">
        <f t="shared" si="131"/>
        <v>12.453872771578625</v>
      </c>
      <c r="K153" s="77">
        <f t="shared" si="131"/>
        <v>12.278716764906877</v>
      </c>
      <c r="L153" s="77">
        <f t="shared" si="131"/>
        <v>8.0011385740005689</v>
      </c>
      <c r="M153" s="77">
        <f t="shared" si="131"/>
        <v>8.0000113843401195</v>
      </c>
      <c r="N153" s="77">
        <f t="shared" si="131"/>
        <v>20.000028460850299</v>
      </c>
      <c r="O153" s="77">
        <f t="shared" si="131"/>
        <v>35.978118635387915</v>
      </c>
      <c r="P153" s="77">
        <f t="shared" si="131"/>
        <v>16.271117168489983</v>
      </c>
      <c r="Q153" s="77">
        <f t="shared" si="131"/>
        <v>16.00267205198114</v>
      </c>
      <c r="R153" s="77">
        <f t="shared" si="131"/>
        <v>20.003340064976424</v>
      </c>
      <c r="S153" s="77">
        <f t="shared" si="131"/>
        <v>20.000033395831053</v>
      </c>
      <c r="T153" s="77">
        <f>IF(T14="-",#REF!,(T19-T152*2.501)/1.01)</f>
        <v>20.000000333957825</v>
      </c>
      <c r="U153" s="77">
        <f t="shared" si="131"/>
        <v>20.000000003339579</v>
      </c>
      <c r="V153" s="77">
        <f t="shared" si="131"/>
        <v>20.000000003339579</v>
      </c>
      <c r="W153" s="77">
        <f t="shared" si="131"/>
        <v>20.000000003339579</v>
      </c>
      <c r="Y153" s="61"/>
      <c r="Z153" s="61"/>
      <c r="AA153" s="61"/>
    </row>
    <row r="154" spans="2:27" s="59" customFormat="1" x14ac:dyDescent="0.2">
      <c r="C154" s="62" t="s">
        <v>31</v>
      </c>
      <c r="E154" s="77">
        <f>IF(E151&lt;-50,#N/A,IF(E151&lt;0,EXP((1738.4+28.74*E151)/(271+E151)),IF(E151&lt;=100,EXP((1500.3+23.5*E151)/(234+E151)),#N/A)))</f>
        <v>608.82962187913188</v>
      </c>
      <c r="F154" s="77">
        <f t="shared" ref="F154:W154" si="132">IF(F151&lt;-50,#N/A,IF(F151&lt;0,EXP((1738.4+28.74*F151)/(271+F151)),IF(F151&lt;=100,EXP((1500.3+23.5*F151)/(234+F151)),#N/A)))</f>
        <v>51.642463096531181</v>
      </c>
      <c r="G154" s="77">
        <f t="shared" si="132"/>
        <v>51.642463096531181</v>
      </c>
      <c r="H154" s="77">
        <f t="shared" si="132"/>
        <v>51.642463096531181</v>
      </c>
      <c r="I154" s="77">
        <f t="shared" si="132"/>
        <v>2338.0829353370973</v>
      </c>
      <c r="J154" s="77">
        <f t="shared" si="132"/>
        <v>1427.1041638961296</v>
      </c>
      <c r="K154" s="77">
        <f t="shared" si="132"/>
        <v>1427.1041638961296</v>
      </c>
      <c r="L154" s="77">
        <f t="shared" si="132"/>
        <v>1071.1051886578423</v>
      </c>
      <c r="M154" s="77">
        <f t="shared" si="132"/>
        <v>1071.1051886578423</v>
      </c>
      <c r="N154" s="77">
        <f t="shared" si="132"/>
        <v>2338.0829353370973</v>
      </c>
      <c r="O154" s="77">
        <f t="shared" si="132"/>
        <v>5624.8200638844883</v>
      </c>
      <c r="P154" s="77">
        <f t="shared" si="132"/>
        <v>1817.4687221706879</v>
      </c>
      <c r="Q154" s="77">
        <f t="shared" si="132"/>
        <v>1817.4687221706879</v>
      </c>
      <c r="R154" s="77">
        <f t="shared" si="132"/>
        <v>2338.0829353370973</v>
      </c>
      <c r="S154" s="77">
        <f t="shared" si="132"/>
        <v>2338.0829353370973</v>
      </c>
      <c r="T154" s="77">
        <f t="shared" si="132"/>
        <v>2338.0829353370973</v>
      </c>
      <c r="U154" s="77">
        <f t="shared" si="132"/>
        <v>2338.0829353370973</v>
      </c>
      <c r="V154" s="77">
        <f t="shared" si="132"/>
        <v>608.82962187913188</v>
      </c>
      <c r="W154" s="77">
        <f t="shared" si="132"/>
        <v>608.82962187913188</v>
      </c>
      <c r="Y154" s="61"/>
      <c r="Z154" s="61"/>
      <c r="AA154" s="61"/>
    </row>
    <row r="155" spans="2:27" s="59" customFormat="1" x14ac:dyDescent="0.2">
      <c r="C155" s="59" t="s">
        <v>3</v>
      </c>
      <c r="E155" s="77">
        <f>1.01*E151+(2501+1.86*E151)*E152/1000</f>
        <v>0</v>
      </c>
      <c r="F155" s="77">
        <f t="shared" ref="F155:W155" si="133">1.01*F151+(2501+1.86*F151)*F152/1000</f>
        <v>-27.103318677106014</v>
      </c>
      <c r="G155" s="77">
        <f t="shared" si="133"/>
        <v>-27.103318677106014</v>
      </c>
      <c r="H155" s="77">
        <f t="shared" si="133"/>
        <v>-27.103318677106014</v>
      </c>
      <c r="I155" s="77">
        <f t="shared" si="133"/>
        <v>43.997460900850115</v>
      </c>
      <c r="J155" s="77">
        <f t="shared" si="133"/>
        <v>32.147330971190769</v>
      </c>
      <c r="K155" s="77">
        <f t="shared" si="133"/>
        <v>12.594786816371563</v>
      </c>
      <c r="L155" s="77">
        <f t="shared" si="133"/>
        <v>8.2744328435561929</v>
      </c>
      <c r="M155" s="77">
        <f t="shared" si="133"/>
        <v>8.0819440893787515</v>
      </c>
      <c r="N155" s="77">
        <f t="shared" si="133"/>
        <v>20.201961336654033</v>
      </c>
      <c r="O155" s="77">
        <f t="shared" si="133"/>
        <v>74.290856107090491</v>
      </c>
      <c r="P155" s="77">
        <f t="shared" si="133"/>
        <v>39.446082331350226</v>
      </c>
      <c r="Q155" s="77">
        <f t="shared" si="133"/>
        <v>16.389500856670242</v>
      </c>
      <c r="R155" s="77">
        <f t="shared" si="133"/>
        <v>20.430175549795479</v>
      </c>
      <c r="S155" s="77">
        <f t="shared" si="133"/>
        <v>20.202301423423808</v>
      </c>
      <c r="T155" s="77">
        <f t="shared" si="133"/>
        <v>20.200023014201033</v>
      </c>
      <c r="U155" s="77">
        <f t="shared" si="133"/>
        <v>20.200000230142006</v>
      </c>
      <c r="V155" s="77">
        <f t="shared" si="133"/>
        <v>2.2676903301310114E-7</v>
      </c>
      <c r="W155" s="77">
        <f t="shared" si="133"/>
        <v>2.2676903301310114E-7</v>
      </c>
      <c r="Y155" s="61"/>
      <c r="Z155" s="61"/>
      <c r="AA155" s="61"/>
    </row>
    <row r="156" spans="2:27" s="59" customFormat="1" ht="38.25" x14ac:dyDescent="0.2">
      <c r="B156" s="64" t="s">
        <v>116</v>
      </c>
      <c r="C156" s="113" t="s">
        <v>0</v>
      </c>
      <c r="E156" s="59">
        <v>-6.0023900708495699</v>
      </c>
      <c r="F156" s="59">
        <v>-27.608871400277707</v>
      </c>
      <c r="G156" s="59">
        <v>-27.608871593611944</v>
      </c>
      <c r="H156" s="59">
        <v>-27.608494898828361</v>
      </c>
      <c r="I156" s="59">
        <v>14.98170477717769</v>
      </c>
      <c r="J156" s="59">
        <v>10.72129012483185</v>
      </c>
      <c r="K156" s="59">
        <v>1.5750109806780079</v>
      </c>
      <c r="L156" s="59">
        <v>-1.1207509577152117</v>
      </c>
      <c r="M156" s="59">
        <v>-1.1213952521538815</v>
      </c>
      <c r="N156" s="59">
        <v>5.3064115875936508</v>
      </c>
      <c r="O156" s="59">
        <v>-2.6495095945477067</v>
      </c>
      <c r="P156" s="59">
        <v>-2.6495095945477067</v>
      </c>
      <c r="Q156" s="59">
        <v>-2.6495095945477067</v>
      </c>
      <c r="R156" s="59">
        <v>-2.6495095945477067</v>
      </c>
      <c r="S156" s="59">
        <v>-2.6495095945477067</v>
      </c>
      <c r="T156" s="59">
        <v>-2.6495095945477067</v>
      </c>
      <c r="U156" s="59">
        <v>-2.6495095945477067</v>
      </c>
      <c r="V156" s="59">
        <v>-2.6495095945477067</v>
      </c>
      <c r="W156" s="59">
        <v>-2.6495095945477067</v>
      </c>
      <c r="Y156" s="61"/>
      <c r="Z156" s="61"/>
      <c r="AA156" s="61"/>
    </row>
    <row r="157" spans="2:27" s="59" customFormat="1" x14ac:dyDescent="0.2">
      <c r="C157" s="113" t="s">
        <v>31</v>
      </c>
      <c r="E157" s="70">
        <f>IF(E156&lt;-50,#N/A,IF(E156&lt;0,EXP((1738.4+28.74*E156)/(271+E156)),IF(E156&lt;=100,EXP((1500.3+23.5*E156)/(234+E156)),#N/A)))</f>
        <v>368.3660348296346</v>
      </c>
      <c r="F157" s="70">
        <f t="shared" ref="F157:W157" si="134">IF(F156&lt;-50,#N/A,IF(F156&lt;0,EXP((1738.4+28.74*F156)/(271+F156)),IF(F156&lt;=100,EXP((1500.3+23.5*F156)/(234+F156)),#N/A)))</f>
        <v>48.536448289031256</v>
      </c>
      <c r="G157" s="70">
        <f t="shared" si="134"/>
        <v>48.536447330662398</v>
      </c>
      <c r="H157" s="70">
        <f t="shared" si="134"/>
        <v>48.538314661239404</v>
      </c>
      <c r="I157" s="70">
        <f t="shared" si="134"/>
        <v>1702.3821849147248</v>
      </c>
      <c r="J157" s="70">
        <f t="shared" si="134"/>
        <v>1287.1522271229433</v>
      </c>
      <c r="K157" s="70">
        <f t="shared" si="134"/>
        <v>682.51790204796714</v>
      </c>
      <c r="L157" s="70">
        <f t="shared" si="134"/>
        <v>556.712076701559</v>
      </c>
      <c r="M157" s="70">
        <f t="shared" si="134"/>
        <v>556.68228255987378</v>
      </c>
      <c r="N157" s="70">
        <f t="shared" si="134"/>
        <v>889.32276676527488</v>
      </c>
      <c r="O157" s="70">
        <f t="shared" si="134"/>
        <v>489.96598295343301</v>
      </c>
      <c r="P157" s="70">
        <f t="shared" si="134"/>
        <v>489.96598295343301</v>
      </c>
      <c r="Q157" s="70">
        <f t="shared" si="134"/>
        <v>489.96598295343301</v>
      </c>
      <c r="R157" s="70">
        <f t="shared" si="134"/>
        <v>489.96598295343301</v>
      </c>
      <c r="S157" s="70">
        <f t="shared" si="134"/>
        <v>489.96598295343301</v>
      </c>
      <c r="T157" s="70">
        <f t="shared" si="134"/>
        <v>489.96598295343301</v>
      </c>
      <c r="U157" s="70">
        <f t="shared" si="134"/>
        <v>489.96598295343301</v>
      </c>
      <c r="V157" s="70">
        <f t="shared" si="134"/>
        <v>489.96598295343301</v>
      </c>
      <c r="W157" s="70">
        <f t="shared" si="134"/>
        <v>489.96598295343301</v>
      </c>
      <c r="Y157" s="61"/>
      <c r="Z157" s="61"/>
      <c r="AA157" s="61"/>
    </row>
    <row r="158" spans="2:27" s="59" customFormat="1" x14ac:dyDescent="0.2">
      <c r="C158" s="113" t="s">
        <v>37</v>
      </c>
      <c r="E158" s="59">
        <f>0.6222*E157/(Tlak_vzduchu-E157/1000)</f>
        <v>2.434859963822618</v>
      </c>
      <c r="F158" s="59">
        <f t="shared" ref="F158:N158" si="135">0.6222*F157/(Tlak_vzduchu-F157/1000)</f>
        <v>0.31973435868361605</v>
      </c>
      <c r="G158" s="59">
        <f t="shared" si="135"/>
        <v>0.31973435236710701</v>
      </c>
      <c r="H158" s="59">
        <f t="shared" si="135"/>
        <v>0.31974665974821054</v>
      </c>
      <c r="I158" s="59">
        <f t="shared" si="135"/>
        <v>11.414325285425091</v>
      </c>
      <c r="J158" s="59">
        <f t="shared" si="135"/>
        <v>8.5917996805256944</v>
      </c>
      <c r="K158" s="59">
        <f t="shared" si="135"/>
        <v>4.5264766135043732</v>
      </c>
      <c r="L158" s="59">
        <f t="shared" si="135"/>
        <v>3.6871847023975017</v>
      </c>
      <c r="M158" s="59">
        <f t="shared" si="135"/>
        <v>3.6869862021538116</v>
      </c>
      <c r="N158" s="59">
        <f t="shared" si="135"/>
        <v>5.9110417939044897</v>
      </c>
      <c r="O158" s="59">
        <f t="shared" ref="O158:W158" si="136">0.6222*O157/(Tlak_vzduchu-O157/1000)</f>
        <v>3.2428116613418863</v>
      </c>
      <c r="P158" s="59">
        <f t="shared" si="136"/>
        <v>3.2428116613418863</v>
      </c>
      <c r="Q158" s="59">
        <f t="shared" si="136"/>
        <v>3.2428116613418863</v>
      </c>
      <c r="R158" s="59">
        <f t="shared" si="136"/>
        <v>3.2428116613418863</v>
      </c>
      <c r="S158" s="59">
        <f t="shared" si="136"/>
        <v>3.2428116613418863</v>
      </c>
      <c r="T158" s="59">
        <f t="shared" si="136"/>
        <v>3.2428116613418863</v>
      </c>
      <c r="U158" s="59">
        <f t="shared" si="136"/>
        <v>3.2428116613418863</v>
      </c>
      <c r="V158" s="59">
        <f t="shared" si="136"/>
        <v>3.2428116613418863</v>
      </c>
      <c r="W158" s="59">
        <f t="shared" si="136"/>
        <v>3.2428116613418863</v>
      </c>
      <c r="Y158" s="61"/>
      <c r="Z158" s="61"/>
      <c r="AA158" s="61"/>
    </row>
    <row r="159" spans="2:27" s="59" customFormat="1" x14ac:dyDescent="0.2">
      <c r="C159" s="113" t="s">
        <v>38</v>
      </c>
      <c r="E159" s="59">
        <f>(E155-1.01*E156)/(2501+1.86*E156)*1000</f>
        <v>2.4348652105471591</v>
      </c>
      <c r="F159" s="59">
        <f t="shared" ref="F159:W159" si="137">(F155-1.01*F156)/(2501+1.86*F156)*1000</f>
        <v>0.31908323031423058</v>
      </c>
      <c r="G159" s="59">
        <f t="shared" si="137"/>
        <v>0.31908331007359225</v>
      </c>
      <c r="H159" s="59">
        <f t="shared" si="137"/>
        <v>0.31892790600457077</v>
      </c>
      <c r="I159" s="59">
        <f t="shared" si="137"/>
        <v>11.414578474395169</v>
      </c>
      <c r="J159" s="59">
        <f t="shared" si="137"/>
        <v>8.4566925105369677</v>
      </c>
      <c r="K159" s="59">
        <f t="shared" si="137"/>
        <v>4.3947026608093793</v>
      </c>
      <c r="L159" s="59">
        <f t="shared" si="137"/>
        <v>3.7641895754986137</v>
      </c>
      <c r="M159" s="59">
        <f t="shared" si="137"/>
        <v>3.6874228319804883</v>
      </c>
      <c r="N159" s="59">
        <f t="shared" si="137"/>
        <v>5.9112921311190378</v>
      </c>
      <c r="O159" s="59">
        <f t="shared" si="137"/>
        <v>30.835193658807817</v>
      </c>
      <c r="P159" s="59">
        <f t="shared" si="137"/>
        <v>16.87534995155309</v>
      </c>
      <c r="Q159" s="59">
        <f t="shared" si="137"/>
        <v>7.6382036328070599</v>
      </c>
      <c r="R159" s="59">
        <f t="shared" si="137"/>
        <v>9.2570170465752906</v>
      </c>
      <c r="S159" s="59">
        <f t="shared" si="137"/>
        <v>9.1657239531102803</v>
      </c>
      <c r="T159" s="59">
        <f t="shared" si="137"/>
        <v>9.1648111552010221</v>
      </c>
      <c r="U159" s="59">
        <f t="shared" si="137"/>
        <v>9.1648020272352309</v>
      </c>
      <c r="V159" s="59">
        <f t="shared" si="137"/>
        <v>1.0720864668329173</v>
      </c>
      <c r="W159" s="59">
        <f t="shared" si="137"/>
        <v>1.0720864668329173</v>
      </c>
      <c r="Y159" s="61"/>
      <c r="Z159" s="61"/>
      <c r="AA159" s="61"/>
    </row>
    <row r="160" spans="2:27" s="59" customFormat="1" x14ac:dyDescent="0.2">
      <c r="C160" s="114" t="s">
        <v>39</v>
      </c>
      <c r="E160" s="59">
        <f>E158-E159</f>
        <v>-5.246724541052572E-6</v>
      </c>
      <c r="F160" s="59">
        <f t="shared" ref="F160:W160" si="138">F158-F159</f>
        <v>6.5112836938546748E-4</v>
      </c>
      <c r="G160" s="59">
        <f t="shared" si="138"/>
        <v>6.5104229351475862E-4</v>
      </c>
      <c r="H160" s="59">
        <f t="shared" si="138"/>
        <v>8.1875374363976627E-4</v>
      </c>
      <c r="I160" s="59">
        <f t="shared" si="138"/>
        <v>-2.5318897007764463E-4</v>
      </c>
      <c r="J160" s="59">
        <f t="shared" si="138"/>
        <v>0.13510716998872674</v>
      </c>
      <c r="K160" s="59">
        <f t="shared" si="138"/>
        <v>0.13177395269499392</v>
      </c>
      <c r="L160" s="59">
        <f t="shared" si="138"/>
        <v>-7.7004873101111926E-2</v>
      </c>
      <c r="M160" s="59">
        <f t="shared" si="138"/>
        <v>-4.3662982667669326E-4</v>
      </c>
      <c r="N160" s="59">
        <f t="shared" si="138"/>
        <v>-2.5033721454814639E-4</v>
      </c>
      <c r="O160" s="59">
        <f t="shared" si="138"/>
        <v>-27.592381997465932</v>
      </c>
      <c r="P160" s="59">
        <f t="shared" si="138"/>
        <v>-13.632538290211205</v>
      </c>
      <c r="Q160" s="59">
        <f t="shared" si="138"/>
        <v>-4.3953919714651732</v>
      </c>
      <c r="R160" s="59">
        <f t="shared" si="138"/>
        <v>-6.0142053852334048</v>
      </c>
      <c r="S160" s="59">
        <f t="shared" si="138"/>
        <v>-5.9229122917683945</v>
      </c>
      <c r="T160" s="59">
        <f t="shared" si="138"/>
        <v>-5.9219994938591363</v>
      </c>
      <c r="U160" s="59">
        <f t="shared" si="138"/>
        <v>-5.921990365893345</v>
      </c>
      <c r="V160" s="59">
        <f t="shared" si="138"/>
        <v>2.1707251945089689</v>
      </c>
      <c r="W160" s="59">
        <f t="shared" si="138"/>
        <v>2.1707251945089689</v>
      </c>
      <c r="Y160" s="61"/>
      <c r="Z160" s="61"/>
      <c r="AA160" s="61"/>
    </row>
    <row r="161" spans="2:27" s="59" customFormat="1" x14ac:dyDescent="0.2">
      <c r="B161" s="59" t="s">
        <v>49</v>
      </c>
      <c r="Y161" s="61"/>
      <c r="Z161" s="61"/>
      <c r="AA161" s="61"/>
    </row>
    <row r="162" spans="2:27" s="59" customFormat="1" x14ac:dyDescent="0.2">
      <c r="B162" s="59" t="s">
        <v>50</v>
      </c>
      <c r="C162" s="59">
        <v>1</v>
      </c>
      <c r="D162" s="59" t="s">
        <v>2</v>
      </c>
      <c r="E162" s="59">
        <f>IF(E$14="",E$152,-1)</f>
        <v>-1</v>
      </c>
      <c r="Y162" s="61"/>
      <c r="Z162" s="61"/>
      <c r="AA162" s="61"/>
    </row>
    <row r="163" spans="2:27" s="59" customFormat="1" x14ac:dyDescent="0.2">
      <c r="D163" s="59" t="s">
        <v>8</v>
      </c>
      <c r="E163" s="59">
        <f>IF(E$14="",E$153,0)</f>
        <v>0</v>
      </c>
      <c r="Y163" s="61"/>
      <c r="Z163" s="61"/>
      <c r="AA163" s="61"/>
    </row>
    <row r="164" spans="2:27" s="59" customFormat="1" x14ac:dyDescent="0.2">
      <c r="C164" s="59">
        <f>C162+1</f>
        <v>2</v>
      </c>
      <c r="D164" s="59" t="s">
        <v>2</v>
      </c>
      <c r="E164" s="59">
        <f>IF(F$28&lt;&gt;0,E$152,F164)</f>
        <v>6.801154036428593E-2</v>
      </c>
      <c r="F164" s="59">
        <f>IF(F$14="",F$152,-1)</f>
        <v>6.801154036428593E-2</v>
      </c>
      <c r="Y164" s="61"/>
      <c r="Z164" s="61"/>
      <c r="AA164" s="61"/>
    </row>
    <row r="165" spans="2:27" s="59" customFormat="1" x14ac:dyDescent="0.2">
      <c r="D165" s="59" t="s">
        <v>8</v>
      </c>
      <c r="E165" s="59">
        <f>IF(F$28&lt;&gt;0,E$153,F165)</f>
        <v>-27.003381722333753</v>
      </c>
      <c r="F165" s="59">
        <f>IF(F$14="",F$153,0)</f>
        <v>-27.003381722333753</v>
      </c>
      <c r="Y165" s="61"/>
      <c r="Z165" s="61"/>
      <c r="AA165" s="61"/>
    </row>
    <row r="166" spans="2:27" s="59" customFormat="1" x14ac:dyDescent="0.2">
      <c r="C166" s="59">
        <f>C164+1</f>
        <v>3</v>
      </c>
      <c r="D166" s="59" t="s">
        <v>2</v>
      </c>
      <c r="F166" s="59">
        <f>IF(G$28&lt;&gt;0,F$152,G166)</f>
        <v>6.801154036428593E-2</v>
      </c>
      <c r="G166" s="59">
        <f>IF(G$14="",G$152,-1)</f>
        <v>6.801154036428593E-2</v>
      </c>
      <c r="H166" s="59">
        <f>IF(G$28=5,E$152,G166)</f>
        <v>6.801154036428593E-2</v>
      </c>
      <c r="Y166" s="61"/>
      <c r="Z166" s="61"/>
      <c r="AA166" s="61"/>
    </row>
    <row r="167" spans="2:27" s="59" customFormat="1" x14ac:dyDescent="0.2">
      <c r="D167" s="59" t="s">
        <v>8</v>
      </c>
      <c r="F167" s="59">
        <f>IF(G$28&lt;&gt;0,F$153,G167)</f>
        <v>-27.003381722333753</v>
      </c>
      <c r="G167" s="59">
        <f>IF(G$14="",G$153,0)</f>
        <v>-27.003381722333753</v>
      </c>
      <c r="H167" s="59">
        <f>IF(G$28=5,E$153,G167)</f>
        <v>-27.003381722333753</v>
      </c>
      <c r="Y167" s="61"/>
      <c r="Z167" s="61"/>
      <c r="AA167" s="61"/>
    </row>
    <row r="168" spans="2:27" s="59" customFormat="1" x14ac:dyDescent="0.2">
      <c r="C168" s="59">
        <f>C166+1</f>
        <v>4</v>
      </c>
      <c r="D168" s="59" t="s">
        <v>2</v>
      </c>
      <c r="G168" s="59">
        <f>IF(H$28&lt;&gt;0,G$152,H168)</f>
        <v>6.801154036428593E-2</v>
      </c>
      <c r="H168" s="59">
        <f>IF(H$14="",H$152,-1)</f>
        <v>6.801154036428593E-2</v>
      </c>
      <c r="I168" s="59">
        <f>IF(H$28=5,F$152,H168)</f>
        <v>6.801154036428593E-2</v>
      </c>
      <c r="Y168" s="61"/>
      <c r="Z168" s="61"/>
      <c r="AA168" s="61"/>
    </row>
    <row r="169" spans="2:27" s="59" customFormat="1" x14ac:dyDescent="0.2">
      <c r="D169" s="59" t="s">
        <v>8</v>
      </c>
      <c r="G169" s="59">
        <f>IF(H$28&lt;&gt;0,G$153,H169)</f>
        <v>-27.003381722333753</v>
      </c>
      <c r="H169" s="59">
        <f>IF(H$14="",H$153,0)</f>
        <v>-27.003381722333753</v>
      </c>
      <c r="I169" s="59">
        <f>IF(H$28=5,F$153,H169)</f>
        <v>-27.003381722333753</v>
      </c>
      <c r="Y169" s="61"/>
      <c r="Z169" s="61"/>
      <c r="AA169" s="61"/>
    </row>
    <row r="170" spans="2:27" s="59" customFormat="1" x14ac:dyDescent="0.2">
      <c r="C170" s="59">
        <f>C168+1</f>
        <v>5</v>
      </c>
      <c r="D170" s="59" t="s">
        <v>2</v>
      </c>
      <c r="H170" s="59">
        <f>IF(I$28&lt;&gt;0,H$152,I170)</f>
        <v>9.3757233081908904</v>
      </c>
      <c r="I170" s="59">
        <f>IF(I$14="",I$152,-1)</f>
        <v>9.3757233081908904</v>
      </c>
      <c r="J170" s="59">
        <f>IF(I$28=5,G$152,I170)</f>
        <v>9.3757233081908904</v>
      </c>
      <c r="Y170" s="61"/>
      <c r="Z170" s="61"/>
      <c r="AA170" s="61"/>
    </row>
    <row r="171" spans="2:27" s="59" customFormat="1" x14ac:dyDescent="0.2">
      <c r="D171" s="59" t="s">
        <v>8</v>
      </c>
      <c r="H171" s="59">
        <f>IF(I$28&lt;&gt;0,H$153,I171)</f>
        <v>20.345323670361086</v>
      </c>
      <c r="I171" s="59">
        <f>IF(I$14="",I$153,0)</f>
        <v>20.345323670361086</v>
      </c>
      <c r="J171" s="59">
        <f>IF(I$28=5,G$153,I171)</f>
        <v>20.345323670361086</v>
      </c>
      <c r="Y171" s="61"/>
      <c r="Z171" s="61"/>
      <c r="AA171" s="61"/>
    </row>
    <row r="172" spans="2:27" s="59" customFormat="1" x14ac:dyDescent="0.2">
      <c r="C172" s="59">
        <f>C170+1</f>
        <v>6</v>
      </c>
      <c r="D172" s="59" t="s">
        <v>2</v>
      </c>
      <c r="I172" s="59">
        <f>IF(J$28&lt;&gt;0,I$152,J172)</f>
        <v>9.3757233081908904</v>
      </c>
      <c r="J172" s="59">
        <f>IF(J$14="",J$152,-1)</f>
        <v>7.8244380135531229</v>
      </c>
      <c r="K172" s="59">
        <f>IF(J$28=5,H$152,J172)</f>
        <v>6.801154036428593E-2</v>
      </c>
      <c r="Y172" s="61"/>
      <c r="Z172" s="61"/>
      <c r="AA172" s="61"/>
    </row>
    <row r="173" spans="2:27" s="59" customFormat="1" x14ac:dyDescent="0.2">
      <c r="D173" s="59" t="s">
        <v>8</v>
      </c>
      <c r="I173" s="59">
        <f>IF(J$28&lt;&gt;0,I$153,J173)</f>
        <v>20.345323670361086</v>
      </c>
      <c r="J173" s="59">
        <f>IF(J$14="",J$153,0)</f>
        <v>12.453872771578625</v>
      </c>
      <c r="K173" s="59">
        <f>IF(J$28=5,H$153,J173)</f>
        <v>-27.003381722333753</v>
      </c>
      <c r="Y173" s="61"/>
      <c r="Z173" s="61"/>
      <c r="AA173" s="61"/>
    </row>
    <row r="174" spans="2:27" s="59" customFormat="1" x14ac:dyDescent="0.2">
      <c r="C174" s="59">
        <f>C172+1</f>
        <v>7</v>
      </c>
      <c r="D174" s="59" t="s">
        <v>2</v>
      </c>
      <c r="J174" s="59">
        <f>IF(K$28&lt;&gt;0,J$152,K174)</f>
        <v>7.7282240629995516E-2</v>
      </c>
      <c r="K174" s="59">
        <f>IF(K$14="",K$152,-1)</f>
        <v>7.7282240629995516E-2</v>
      </c>
      <c r="L174" s="59">
        <f>IF(K$28=5,I$152,K174)</f>
        <v>7.7282240629995516E-2</v>
      </c>
      <c r="Y174" s="61"/>
      <c r="Z174" s="61"/>
      <c r="AA174" s="61"/>
    </row>
    <row r="175" spans="2:27" s="59" customFormat="1" x14ac:dyDescent="0.2">
      <c r="D175" s="59" t="s">
        <v>8</v>
      </c>
      <c r="J175" s="59">
        <f>IF(K$28&lt;&gt;0,J$153,K175)</f>
        <v>12.278716764906877</v>
      </c>
      <c r="K175" s="59">
        <f>IF(K$14="",K$153,0)</f>
        <v>12.278716764906877</v>
      </c>
      <c r="L175" s="59">
        <f>IF(K$28=5,I$153,K175)</f>
        <v>12.278716764906877</v>
      </c>
      <c r="Y175" s="61"/>
      <c r="Z175" s="61"/>
      <c r="AA175" s="61"/>
    </row>
    <row r="176" spans="2:27" s="59" customFormat="1" x14ac:dyDescent="0.2">
      <c r="C176" s="59">
        <f>C174+1</f>
        <v>8</v>
      </c>
      <c r="D176" s="59" t="s">
        <v>2</v>
      </c>
      <c r="K176" s="59">
        <f>IF(L$28&lt;&gt;0,K$152,L176)</f>
        <v>7.7282240629995516E-2</v>
      </c>
      <c r="L176" s="59">
        <f>IF(L$14="",L$152,-1)</f>
        <v>7.7282240629995516E-2</v>
      </c>
      <c r="M176" s="59">
        <f>IF(L$28=5,J$152,L176)</f>
        <v>7.7282240629995516E-2</v>
      </c>
      <c r="Y176" s="61"/>
      <c r="Z176" s="61"/>
      <c r="AA176" s="61"/>
    </row>
    <row r="177" spans="2:27" s="59" customFormat="1" x14ac:dyDescent="0.2">
      <c r="D177" s="59" t="s">
        <v>8</v>
      </c>
      <c r="K177" s="59">
        <f>IF(L$28&lt;&gt;0,K$153,L177)</f>
        <v>12.278716764906877</v>
      </c>
      <c r="L177" s="59">
        <f>IF(L$14="",L$153,0)</f>
        <v>8.0011385740005689</v>
      </c>
      <c r="M177" s="59">
        <f>IF(L$28=5,J$153,L177)</f>
        <v>8.0011385740005689</v>
      </c>
      <c r="Y177" s="61"/>
      <c r="Z177" s="61"/>
      <c r="AA177" s="61"/>
    </row>
    <row r="178" spans="2:27" s="59" customFormat="1" x14ac:dyDescent="0.2">
      <c r="C178" s="59">
        <f>C176+1</f>
        <v>9</v>
      </c>
      <c r="D178" s="59" t="s">
        <v>2</v>
      </c>
      <c r="L178" s="59">
        <f>IF(M$28&lt;&gt;0,L$152,M178)</f>
        <v>7.727273871375711E-4</v>
      </c>
      <c r="M178" s="59">
        <f>IF(M$14="",M$152,-1)</f>
        <v>7.727273871375711E-4</v>
      </c>
      <c r="N178" s="59">
        <f>IF(M$28=5,K$152,M178)</f>
        <v>7.727273871375711E-4</v>
      </c>
      <c r="O178" s="59">
        <f t="shared" ref="O178:W178" si="139">IF(N$28=5,L$152,N178)</f>
        <v>7.727273871375711E-4</v>
      </c>
      <c r="P178" s="59">
        <f t="shared" si="139"/>
        <v>7.727273871375711E-4</v>
      </c>
      <c r="Q178" s="59">
        <f t="shared" si="139"/>
        <v>7.727273871375711E-4</v>
      </c>
      <c r="R178" s="59">
        <f t="shared" si="139"/>
        <v>7.727273871375711E-4</v>
      </c>
      <c r="S178" s="59">
        <f t="shared" si="139"/>
        <v>7.727273871375711E-4</v>
      </c>
      <c r="T178" s="59" t="e">
        <f>IF(#REF!=5,R$152,#REF!)</f>
        <v>#REF!</v>
      </c>
      <c r="U178" s="59" t="e">
        <f>IF(T$28=5,S$152,T178)</f>
        <v>#REF!</v>
      </c>
      <c r="V178" s="59" t="e">
        <f>IF(U$28=5,#REF!,U178)</f>
        <v>#REF!</v>
      </c>
      <c r="W178" s="59" t="e">
        <f t="shared" si="139"/>
        <v>#REF!</v>
      </c>
      <c r="Y178" s="61"/>
      <c r="Z178" s="61"/>
      <c r="AA178" s="61"/>
    </row>
    <row r="179" spans="2:27" s="59" customFormat="1" x14ac:dyDescent="0.2">
      <c r="D179" s="59" t="s">
        <v>8</v>
      </c>
      <c r="L179" s="59">
        <f>IF(M$28&lt;&gt;0,L$153,M179)</f>
        <v>8.0000113843401195</v>
      </c>
      <c r="M179" s="59">
        <f>IF(M$14="",M$153,0)</f>
        <v>8.0000113843401195</v>
      </c>
      <c r="N179" s="59">
        <f>IF(M$28=5,K$153,M179)</f>
        <v>8.0000113843401195</v>
      </c>
      <c r="O179" s="59">
        <f t="shared" ref="O179:W179" si="140">IF(N$28=5,L$153,N179)</f>
        <v>8.0000113843401195</v>
      </c>
      <c r="P179" s="59">
        <f t="shared" si="140"/>
        <v>8.0000113843401195</v>
      </c>
      <c r="Q179" s="59">
        <f t="shared" si="140"/>
        <v>8.0000113843401195</v>
      </c>
      <c r="R179" s="59">
        <f t="shared" si="140"/>
        <v>8.0000113843401195</v>
      </c>
      <c r="S179" s="59">
        <f t="shared" si="140"/>
        <v>8.0000113843401195</v>
      </c>
      <c r="T179" s="59" t="e">
        <f>IF(#REF!=5,R$153,#REF!)</f>
        <v>#REF!</v>
      </c>
      <c r="U179" s="59" t="e">
        <f>IF(T$28=5,S$153,T179)</f>
        <v>#REF!</v>
      </c>
      <c r="V179" s="59" t="e">
        <f>IF(U$28=5,#REF!,U179)</f>
        <v>#REF!</v>
      </c>
      <c r="W179" s="59" t="e">
        <f t="shared" si="140"/>
        <v>#REF!</v>
      </c>
      <c r="Y179" s="61"/>
      <c r="Z179" s="61"/>
      <c r="AA179" s="61"/>
    </row>
    <row r="180" spans="2:27" s="59" customFormat="1" x14ac:dyDescent="0.2">
      <c r="C180" s="59">
        <f>C178+1</f>
        <v>10</v>
      </c>
      <c r="D180" s="59" t="s">
        <v>2</v>
      </c>
      <c r="M180" s="59">
        <f>IF(N$28&lt;&gt;0,M$152,N180)</f>
        <v>7.727273871375711E-4</v>
      </c>
      <c r="N180" s="59">
        <f>IF(N$14="",N$152,-1)</f>
        <v>7.727273871375711E-4</v>
      </c>
      <c r="O180" s="59">
        <f t="shared" ref="O180:W180" si="141">IF(O$14="",O$152,-1)</f>
        <v>15.17511246915182</v>
      </c>
      <c r="P180" s="59">
        <f t="shared" si="141"/>
        <v>9.2012211080269264</v>
      </c>
      <c r="Q180" s="59">
        <f t="shared" si="141"/>
        <v>9.0684559843778378E-2</v>
      </c>
      <c r="R180" s="59">
        <f t="shared" si="141"/>
        <v>9.0684559843778378E-2</v>
      </c>
      <c r="S180" s="59">
        <f t="shared" si="141"/>
        <v>9.0671476786990859E-4</v>
      </c>
      <c r="T180" s="59">
        <f t="shared" si="141"/>
        <v>9.0671345975486622E-6</v>
      </c>
      <c r="U180" s="59">
        <f t="shared" si="141"/>
        <v>9.0671344667373509E-8</v>
      </c>
      <c r="V180" s="59">
        <f t="shared" si="141"/>
        <v>-1</v>
      </c>
      <c r="W180" s="59">
        <f t="shared" si="141"/>
        <v>-1</v>
      </c>
      <c r="Y180" s="61"/>
      <c r="Z180" s="61"/>
      <c r="AA180" s="61"/>
    </row>
    <row r="181" spans="2:27" s="59" customFormat="1" x14ac:dyDescent="0.2">
      <c r="D181" s="59" t="s">
        <v>8</v>
      </c>
      <c r="M181" s="59">
        <f>IF(N$28&lt;&gt;0,M$153,N181)</f>
        <v>8.0000113843401195</v>
      </c>
      <c r="N181" s="59">
        <f>IF(N$14="",N$153,0)</f>
        <v>20.000028460850299</v>
      </c>
      <c r="O181" s="59">
        <f t="shared" ref="O181:W181" si="142">IF(O$14="",O$153,0)</f>
        <v>35.978118635387915</v>
      </c>
      <c r="P181" s="59">
        <f t="shared" si="142"/>
        <v>16.271117168489983</v>
      </c>
      <c r="Q181" s="59">
        <f t="shared" si="142"/>
        <v>16.00267205198114</v>
      </c>
      <c r="R181" s="59">
        <f t="shared" si="142"/>
        <v>20.003340064976424</v>
      </c>
      <c r="S181" s="59">
        <f t="shared" si="142"/>
        <v>20.000033395831053</v>
      </c>
      <c r="T181" s="59">
        <f t="shared" si="142"/>
        <v>20.000000333957825</v>
      </c>
      <c r="U181" s="59">
        <f t="shared" si="142"/>
        <v>20.000000003339579</v>
      </c>
      <c r="V181" s="59">
        <f t="shared" si="142"/>
        <v>0</v>
      </c>
      <c r="W181" s="59">
        <f t="shared" si="142"/>
        <v>0</v>
      </c>
      <c r="Y181" s="61"/>
      <c r="Z181" s="61"/>
      <c r="AA181" s="61"/>
    </row>
    <row r="182" spans="2:27" s="59" customFormat="1" x14ac:dyDescent="0.2">
      <c r="B182" s="59" t="s">
        <v>107</v>
      </c>
      <c r="Y182" s="61"/>
      <c r="Z182" s="61"/>
      <c r="AA182" s="61"/>
    </row>
    <row r="183" spans="2:27" s="59" customFormat="1" x14ac:dyDescent="0.2">
      <c r="Y183" s="61"/>
      <c r="Z183" s="61"/>
    </row>
    <row r="184" spans="2:27" s="59" customFormat="1" x14ac:dyDescent="0.2">
      <c r="Y184" s="61"/>
      <c r="Z184" s="61"/>
    </row>
    <row r="185" spans="2:27" s="59" customFormat="1" x14ac:dyDescent="0.2">
      <c r="Y185" s="61"/>
      <c r="Z185" s="61"/>
    </row>
    <row r="186" spans="2:27" s="59" customFormat="1" x14ac:dyDescent="0.2">
      <c r="Y186" s="61"/>
      <c r="Z186" s="61"/>
    </row>
    <row r="187" spans="2:27" s="59" customFormat="1" x14ac:dyDescent="0.2">
      <c r="Y187" s="61"/>
      <c r="Z187" s="61"/>
    </row>
    <row r="188" spans="2:27" s="59" customFormat="1" x14ac:dyDescent="0.2">
      <c r="Y188" s="61"/>
      <c r="Z188" s="61"/>
    </row>
    <row r="189" spans="2:27" s="59" customFormat="1" x14ac:dyDescent="0.2">
      <c r="Y189" s="61"/>
      <c r="Z189" s="61"/>
    </row>
    <row r="190" spans="2:27" s="59" customFormat="1" x14ac:dyDescent="0.2">
      <c r="Y190" s="61"/>
      <c r="Z190" s="61"/>
    </row>
    <row r="191" spans="2:27" s="59" customFormat="1" x14ac:dyDescent="0.2">
      <c r="Y191" s="61"/>
      <c r="Z191" s="61"/>
    </row>
    <row r="192" spans="2:27" s="59" customFormat="1" x14ac:dyDescent="0.2">
      <c r="Y192" s="61"/>
      <c r="Z192" s="61"/>
    </row>
    <row r="193" spans="25:26" s="59" customFormat="1" x14ac:dyDescent="0.2">
      <c r="Y193" s="61"/>
      <c r="Z193" s="61"/>
    </row>
    <row r="194" spans="25:26" s="59" customFormat="1" x14ac:dyDescent="0.2">
      <c r="Y194" s="61"/>
      <c r="Z194" s="61"/>
    </row>
    <row r="195" spans="25:26" s="59" customFormat="1" x14ac:dyDescent="0.2">
      <c r="Y195" s="61"/>
      <c r="Z195" s="61"/>
    </row>
    <row r="196" spans="25:26" s="59" customFormat="1" x14ac:dyDescent="0.2">
      <c r="Y196" s="61"/>
      <c r="Z196" s="61"/>
    </row>
    <row r="197" spans="25:26" s="59" customFormat="1" x14ac:dyDescent="0.2">
      <c r="Y197" s="61"/>
      <c r="Z197" s="61"/>
    </row>
    <row r="198" spans="25:26" s="59" customFormat="1" x14ac:dyDescent="0.2">
      <c r="Y198" s="61"/>
      <c r="Z198" s="61"/>
    </row>
    <row r="199" spans="25:26" s="59" customFormat="1" x14ac:dyDescent="0.2">
      <c r="Y199" s="61"/>
      <c r="Z199" s="61"/>
    </row>
    <row r="200" spans="25:26" s="59" customFormat="1" x14ac:dyDescent="0.2">
      <c r="Y200" s="61"/>
      <c r="Z200" s="61"/>
    </row>
    <row r="201" spans="25:26" s="59" customFormat="1" x14ac:dyDescent="0.2">
      <c r="Y201" s="61"/>
      <c r="Z201" s="61"/>
    </row>
    <row r="202" spans="25:26" s="59" customFormat="1" x14ac:dyDescent="0.2">
      <c r="Y202" s="61"/>
      <c r="Z202" s="61"/>
    </row>
    <row r="203" spans="25:26" s="59" customFormat="1" x14ac:dyDescent="0.2">
      <c r="Y203" s="61"/>
      <c r="Z203" s="61"/>
    </row>
    <row r="204" spans="25:26" s="59" customFormat="1" x14ac:dyDescent="0.2">
      <c r="Y204" s="61"/>
      <c r="Z204" s="61"/>
    </row>
    <row r="205" spans="25:26" s="59" customFormat="1" x14ac:dyDescent="0.2">
      <c r="Y205" s="61"/>
      <c r="Z205" s="61"/>
    </row>
    <row r="206" spans="25:26" s="59" customFormat="1" x14ac:dyDescent="0.2">
      <c r="Y206" s="61"/>
      <c r="Z206" s="61"/>
    </row>
    <row r="207" spans="25:26" s="59" customFormat="1" x14ac:dyDescent="0.2">
      <c r="Y207" s="61"/>
      <c r="Z207" s="61"/>
    </row>
    <row r="208" spans="25:26" s="59" customFormat="1" x14ac:dyDescent="0.2">
      <c r="Y208" s="61"/>
      <c r="Z208" s="61"/>
    </row>
    <row r="209" spans="25:26" s="59" customFormat="1" x14ac:dyDescent="0.2">
      <c r="Y209" s="61"/>
      <c r="Z209" s="61"/>
    </row>
    <row r="210" spans="25:26" s="59" customFormat="1" x14ac:dyDescent="0.2">
      <c r="Y210" s="61"/>
      <c r="Z210" s="61"/>
    </row>
    <row r="211" spans="25:26" s="59" customFormat="1" x14ac:dyDescent="0.2">
      <c r="Y211" s="61"/>
      <c r="Z211" s="61"/>
    </row>
    <row r="212" spans="25:26" s="59" customFormat="1" x14ac:dyDescent="0.2">
      <c r="Y212" s="61"/>
      <c r="Z212" s="61"/>
    </row>
    <row r="213" spans="25:26" s="59" customFormat="1" x14ac:dyDescent="0.2">
      <c r="Y213" s="61"/>
      <c r="Z213" s="61"/>
    </row>
    <row r="214" spans="25:26" s="59" customFormat="1" x14ac:dyDescent="0.2">
      <c r="Y214" s="61"/>
      <c r="Z214" s="61"/>
    </row>
    <row r="215" spans="25:26" s="59" customFormat="1" x14ac:dyDescent="0.2">
      <c r="Y215" s="61"/>
      <c r="Z215" s="61"/>
    </row>
    <row r="216" spans="25:26" s="59" customFormat="1" x14ac:dyDescent="0.2">
      <c r="Y216" s="61"/>
      <c r="Z216" s="61"/>
    </row>
    <row r="217" spans="25:26" s="59" customFormat="1" x14ac:dyDescent="0.2">
      <c r="Y217" s="61"/>
      <c r="Z217" s="61"/>
    </row>
    <row r="218" spans="25:26" s="59" customFormat="1" x14ac:dyDescent="0.2">
      <c r="Y218" s="61"/>
      <c r="Z218" s="61"/>
    </row>
    <row r="219" spans="25:26" s="59" customFormat="1" x14ac:dyDescent="0.2">
      <c r="Y219" s="61"/>
      <c r="Z219" s="61"/>
    </row>
    <row r="220" spans="25:26" s="59" customFormat="1" x14ac:dyDescent="0.2">
      <c r="Y220" s="61"/>
      <c r="Z220" s="61"/>
    </row>
    <row r="221" spans="25:26" s="59" customFormat="1" x14ac:dyDescent="0.2">
      <c r="Y221" s="61"/>
      <c r="Z221" s="61"/>
    </row>
    <row r="222" spans="25:26" s="59" customFormat="1" x14ac:dyDescent="0.2">
      <c r="Y222" s="61"/>
      <c r="Z222" s="61"/>
    </row>
    <row r="223" spans="25:26" s="59" customFormat="1" x14ac:dyDescent="0.2">
      <c r="Y223" s="61"/>
      <c r="Z223" s="61"/>
    </row>
    <row r="224" spans="25:26" s="59" customFormat="1" x14ac:dyDescent="0.2">
      <c r="Y224" s="61"/>
      <c r="Z224" s="61"/>
    </row>
    <row r="225" spans="25:33" s="59" customFormat="1" x14ac:dyDescent="0.2">
      <c r="Y225" s="61"/>
      <c r="Z225" s="61"/>
    </row>
    <row r="226" spans="25:33" s="59" customFormat="1" x14ac:dyDescent="0.2">
      <c r="Y226" s="61"/>
      <c r="Z226" s="61"/>
    </row>
    <row r="227" spans="25:33" s="59" customFormat="1" x14ac:dyDescent="0.2">
      <c r="Y227" s="61"/>
      <c r="Z227" s="61"/>
    </row>
    <row r="228" spans="25:33" s="59" customFormat="1" x14ac:dyDescent="0.2">
      <c r="Y228" s="61"/>
      <c r="Z228" s="61"/>
    </row>
    <row r="229" spans="25:33" s="59" customFormat="1" x14ac:dyDescent="0.2">
      <c r="Y229" s="61"/>
      <c r="Z229" s="61"/>
    </row>
    <row r="230" spans="25:33" s="59" customFormat="1" x14ac:dyDescent="0.2">
      <c r="Y230" s="61"/>
      <c r="Z230" s="61"/>
    </row>
    <row r="231" spans="25:33" s="59" customFormat="1" x14ac:dyDescent="0.2">
      <c r="Y231" s="61"/>
      <c r="Z231" s="61"/>
    </row>
    <row r="232" spans="25:33" s="51" customFormat="1" x14ac:dyDescent="0.2">
      <c r="Y232" s="61"/>
      <c r="Z232" s="61"/>
      <c r="AA232" s="59"/>
      <c r="AB232" s="59"/>
      <c r="AC232" s="59"/>
      <c r="AD232" s="59"/>
      <c r="AE232" s="59"/>
      <c r="AF232" s="59"/>
      <c r="AG232" s="59"/>
    </row>
    <row r="233" spans="25:33" s="51" customFormat="1" x14ac:dyDescent="0.2">
      <c r="Y233" s="61"/>
      <c r="Z233" s="61"/>
      <c r="AA233" s="59"/>
      <c r="AB233" s="59"/>
      <c r="AC233" s="59"/>
      <c r="AD233" s="59"/>
      <c r="AE233" s="59"/>
      <c r="AF233" s="59"/>
      <c r="AG233" s="59"/>
    </row>
    <row r="234" spans="25:33" s="51" customFormat="1" x14ac:dyDescent="0.2">
      <c r="Y234" s="61"/>
      <c r="Z234" s="61"/>
      <c r="AA234" s="59"/>
      <c r="AB234" s="59"/>
      <c r="AC234" s="59"/>
      <c r="AD234" s="59"/>
      <c r="AE234" s="59"/>
      <c r="AF234" s="59"/>
      <c r="AG234" s="59"/>
    </row>
    <row r="235" spans="25:33" s="51" customFormat="1" x14ac:dyDescent="0.2">
      <c r="Y235" s="61"/>
      <c r="Z235" s="61"/>
      <c r="AA235" s="59"/>
      <c r="AB235" s="59"/>
      <c r="AC235" s="59"/>
      <c r="AD235" s="59"/>
      <c r="AE235" s="59"/>
      <c r="AF235" s="59"/>
      <c r="AG235" s="59"/>
    </row>
    <row r="236" spans="25:33" s="51" customFormat="1" x14ac:dyDescent="0.2">
      <c r="Y236" s="61"/>
      <c r="Z236" s="61"/>
      <c r="AA236" s="59"/>
      <c r="AB236" s="59"/>
      <c r="AC236" s="59"/>
      <c r="AD236" s="59"/>
      <c r="AE236" s="59"/>
      <c r="AF236" s="59"/>
      <c r="AG236" s="59"/>
    </row>
    <row r="237" spans="25:33" s="51" customFormat="1" x14ac:dyDescent="0.2">
      <c r="Y237" s="61"/>
      <c r="Z237" s="61"/>
      <c r="AA237" s="59"/>
      <c r="AB237" s="59"/>
      <c r="AC237" s="59"/>
      <c r="AD237" s="59"/>
      <c r="AE237" s="59"/>
      <c r="AF237" s="59"/>
      <c r="AG237" s="59"/>
    </row>
    <row r="238" spans="25:33" s="51" customFormat="1" x14ac:dyDescent="0.2">
      <c r="Y238" s="61"/>
      <c r="Z238" s="61"/>
      <c r="AA238" s="59"/>
      <c r="AB238" s="59"/>
      <c r="AC238" s="59"/>
      <c r="AD238" s="59"/>
      <c r="AE238" s="59"/>
      <c r="AF238" s="59"/>
      <c r="AG238" s="59"/>
    </row>
    <row r="239" spans="25:33" s="51" customFormat="1" x14ac:dyDescent="0.2">
      <c r="Y239" s="61"/>
      <c r="Z239" s="61"/>
      <c r="AA239" s="59"/>
      <c r="AB239" s="59"/>
      <c r="AC239" s="59"/>
      <c r="AD239" s="59"/>
      <c r="AE239" s="59"/>
      <c r="AF239" s="59"/>
      <c r="AG239" s="59"/>
    </row>
    <row r="240" spans="25:33" s="51" customFormat="1" x14ac:dyDescent="0.2">
      <c r="Y240" s="61"/>
      <c r="Z240" s="61"/>
      <c r="AA240" s="59"/>
      <c r="AB240" s="59"/>
      <c r="AC240" s="59"/>
      <c r="AD240" s="59"/>
      <c r="AE240" s="59"/>
      <c r="AF240" s="59"/>
      <c r="AG240" s="59"/>
    </row>
    <row r="241" spans="25:33" s="51" customFormat="1" x14ac:dyDescent="0.2">
      <c r="Y241" s="61"/>
      <c r="Z241" s="61"/>
      <c r="AA241" s="59"/>
      <c r="AB241" s="59"/>
      <c r="AC241" s="59"/>
      <c r="AD241" s="59"/>
      <c r="AE241" s="59"/>
      <c r="AF241" s="59"/>
      <c r="AG241" s="59"/>
    </row>
    <row r="242" spans="25:33" s="51" customFormat="1" x14ac:dyDescent="0.2">
      <c r="Y242" s="61"/>
      <c r="Z242" s="61"/>
      <c r="AA242" s="59"/>
      <c r="AB242" s="59"/>
      <c r="AC242" s="59"/>
      <c r="AD242" s="59"/>
      <c r="AE242" s="59"/>
      <c r="AF242" s="59"/>
      <c r="AG242" s="59"/>
    </row>
    <row r="243" spans="25:33" s="51" customFormat="1" x14ac:dyDescent="0.2">
      <c r="Y243" s="61"/>
      <c r="Z243" s="61"/>
      <c r="AA243" s="59"/>
      <c r="AB243" s="59"/>
      <c r="AC243" s="59"/>
      <c r="AD243" s="59"/>
      <c r="AE243" s="59"/>
      <c r="AF243" s="59"/>
      <c r="AG243" s="59"/>
    </row>
    <row r="244" spans="25:33" s="51" customFormat="1" x14ac:dyDescent="0.2">
      <c r="Y244" s="61"/>
      <c r="Z244" s="61"/>
      <c r="AA244" s="59"/>
      <c r="AB244" s="59"/>
      <c r="AC244" s="59"/>
      <c r="AD244" s="59"/>
      <c r="AE244" s="59"/>
      <c r="AF244" s="59"/>
      <c r="AG244" s="59"/>
    </row>
    <row r="245" spans="25:33" s="51" customFormat="1" x14ac:dyDescent="0.2">
      <c r="Y245" s="61"/>
      <c r="Z245" s="61"/>
      <c r="AA245" s="59"/>
      <c r="AB245" s="59"/>
      <c r="AC245" s="59"/>
      <c r="AD245" s="59"/>
      <c r="AE245" s="59"/>
      <c r="AF245" s="59"/>
      <c r="AG245" s="59"/>
    </row>
    <row r="246" spans="25:33" s="51" customFormat="1" x14ac:dyDescent="0.2">
      <c r="Y246" s="61"/>
      <c r="Z246" s="61"/>
      <c r="AA246" s="59"/>
      <c r="AB246" s="59"/>
      <c r="AC246" s="59"/>
      <c r="AD246" s="59"/>
      <c r="AE246" s="59"/>
      <c r="AF246" s="59"/>
      <c r="AG246" s="59"/>
    </row>
    <row r="247" spans="25:33" s="51" customFormat="1" x14ac:dyDescent="0.2">
      <c r="Y247" s="61"/>
      <c r="Z247" s="61"/>
      <c r="AA247" s="59"/>
      <c r="AB247" s="59"/>
      <c r="AC247" s="59"/>
      <c r="AD247" s="59"/>
      <c r="AE247" s="59"/>
      <c r="AF247" s="59"/>
      <c r="AG247" s="59"/>
    </row>
    <row r="248" spans="25:33" s="51" customFormat="1" x14ac:dyDescent="0.2">
      <c r="Y248" s="61"/>
      <c r="Z248" s="61"/>
      <c r="AA248" s="59"/>
      <c r="AB248" s="59"/>
      <c r="AC248" s="59"/>
      <c r="AD248" s="59"/>
      <c r="AE248" s="59"/>
      <c r="AF248" s="59"/>
      <c r="AG248" s="59"/>
    </row>
    <row r="249" spans="25:33" s="51" customFormat="1" x14ac:dyDescent="0.2">
      <c r="Y249" s="61"/>
      <c r="Z249" s="61"/>
      <c r="AA249" s="59"/>
      <c r="AB249" s="59"/>
      <c r="AC249" s="59"/>
      <c r="AD249" s="59"/>
      <c r="AE249" s="59"/>
      <c r="AF249" s="59"/>
      <c r="AG249" s="59"/>
    </row>
    <row r="250" spans="25:33" s="51" customFormat="1" x14ac:dyDescent="0.2">
      <c r="Y250" s="61"/>
      <c r="Z250" s="61"/>
      <c r="AA250" s="59"/>
      <c r="AB250" s="59"/>
      <c r="AC250" s="59"/>
      <c r="AD250" s="59"/>
      <c r="AE250" s="59"/>
      <c r="AF250" s="59"/>
      <c r="AG250" s="59"/>
    </row>
    <row r="251" spans="25:33" s="51" customFormat="1" x14ac:dyDescent="0.2">
      <c r="Y251" s="61"/>
      <c r="Z251" s="61"/>
      <c r="AA251" s="59"/>
      <c r="AB251" s="59"/>
      <c r="AC251" s="59"/>
      <c r="AD251" s="59"/>
      <c r="AE251" s="59"/>
      <c r="AF251" s="59"/>
      <c r="AG251" s="59"/>
    </row>
    <row r="252" spans="25:33" s="51" customFormat="1" x14ac:dyDescent="0.2">
      <c r="Y252" s="61"/>
      <c r="Z252" s="61"/>
      <c r="AA252" s="59"/>
      <c r="AB252" s="59"/>
      <c r="AC252" s="59"/>
      <c r="AD252" s="59"/>
      <c r="AE252" s="59"/>
      <c r="AF252" s="59"/>
      <c r="AG252" s="59"/>
    </row>
    <row r="253" spans="25:33" s="51" customFormat="1" x14ac:dyDescent="0.2">
      <c r="Y253" s="61"/>
      <c r="Z253" s="61"/>
      <c r="AA253" s="59"/>
      <c r="AB253" s="59"/>
      <c r="AC253" s="59"/>
      <c r="AD253" s="59"/>
      <c r="AE253" s="59"/>
      <c r="AF253" s="59"/>
      <c r="AG253" s="59"/>
    </row>
    <row r="254" spans="25:33" s="51" customFormat="1" x14ac:dyDescent="0.2">
      <c r="Y254" s="61"/>
      <c r="Z254" s="61"/>
      <c r="AA254" s="59"/>
      <c r="AB254" s="59"/>
      <c r="AC254" s="59"/>
      <c r="AD254" s="59"/>
      <c r="AE254" s="59"/>
      <c r="AF254" s="59"/>
      <c r="AG254" s="59"/>
    </row>
    <row r="255" spans="25:33" s="51" customFormat="1" x14ac:dyDescent="0.2">
      <c r="Y255" s="61"/>
      <c r="Z255" s="61"/>
      <c r="AA255" s="59"/>
      <c r="AB255" s="59"/>
      <c r="AC255" s="59"/>
      <c r="AD255" s="59"/>
      <c r="AE255" s="59"/>
      <c r="AF255" s="59"/>
      <c r="AG255" s="59"/>
    </row>
    <row r="256" spans="25:33" s="51" customFormat="1" x14ac:dyDescent="0.2">
      <c r="Y256" s="61"/>
      <c r="Z256" s="61"/>
      <c r="AA256" s="59"/>
      <c r="AB256" s="59"/>
      <c r="AC256" s="59"/>
      <c r="AD256" s="59"/>
      <c r="AE256" s="59"/>
      <c r="AF256" s="59"/>
      <c r="AG256" s="59"/>
    </row>
    <row r="257" spans="1:33" s="51" customFormat="1" x14ac:dyDescent="0.2">
      <c r="Y257" s="61"/>
      <c r="Z257" s="61"/>
      <c r="AA257" s="59"/>
      <c r="AB257" s="59"/>
      <c r="AC257" s="59"/>
      <c r="AD257" s="59"/>
      <c r="AE257" s="59"/>
      <c r="AF257" s="59"/>
      <c r="AG257" s="59"/>
    </row>
    <row r="258" spans="1:33" s="51" customFormat="1" x14ac:dyDescent="0.2">
      <c r="Y258" s="61"/>
      <c r="Z258" s="61"/>
      <c r="AA258" s="59"/>
      <c r="AB258" s="59"/>
      <c r="AC258" s="59"/>
      <c r="AD258" s="59"/>
      <c r="AE258" s="59"/>
      <c r="AF258" s="59"/>
      <c r="AG258" s="59"/>
    </row>
    <row r="259" spans="1:33" s="51" customFormat="1" x14ac:dyDescent="0.2">
      <c r="Y259" s="61"/>
      <c r="Z259" s="61"/>
      <c r="AA259" s="59"/>
      <c r="AB259" s="59"/>
      <c r="AC259" s="59"/>
      <c r="AD259" s="59"/>
      <c r="AE259" s="59"/>
      <c r="AF259" s="59"/>
      <c r="AG259" s="59"/>
    </row>
    <row r="260" spans="1:33" s="51" customFormat="1" x14ac:dyDescent="0.2">
      <c r="Y260" s="61"/>
      <c r="Z260" s="61"/>
      <c r="AA260" s="59"/>
      <c r="AB260" s="59"/>
      <c r="AC260" s="59"/>
      <c r="AD260" s="59"/>
      <c r="AE260" s="59"/>
      <c r="AF260" s="59"/>
      <c r="AG260" s="59"/>
    </row>
    <row r="261" spans="1:33" s="51" customFormat="1" x14ac:dyDescent="0.2">
      <c r="Y261" s="61"/>
      <c r="Z261" s="61"/>
      <c r="AA261" s="59"/>
      <c r="AB261" s="59"/>
      <c r="AC261" s="59"/>
      <c r="AD261" s="59"/>
      <c r="AE261" s="59"/>
      <c r="AF261" s="59"/>
      <c r="AG261" s="59"/>
    </row>
    <row r="262" spans="1:33" s="51" customFormat="1" x14ac:dyDescent="0.2">
      <c r="Y262" s="61"/>
      <c r="Z262" s="61"/>
      <c r="AA262" s="59"/>
      <c r="AB262" s="59"/>
      <c r="AC262" s="59"/>
      <c r="AD262" s="59"/>
      <c r="AE262" s="59"/>
      <c r="AF262" s="59"/>
      <c r="AG262" s="59"/>
    </row>
    <row r="263" spans="1:33" s="51" customFormat="1" x14ac:dyDescent="0.2">
      <c r="Y263" s="61"/>
      <c r="Z263" s="61"/>
      <c r="AA263" s="59"/>
      <c r="AB263" s="59"/>
      <c r="AC263" s="59"/>
      <c r="AD263" s="59"/>
      <c r="AE263" s="59"/>
      <c r="AF263" s="59"/>
      <c r="AG263" s="59"/>
    </row>
    <row r="264" spans="1:33" s="51" customFormat="1" x14ac:dyDescent="0.2">
      <c r="Y264" s="61"/>
      <c r="Z264" s="61"/>
      <c r="AA264" s="59"/>
      <c r="AB264" s="59"/>
      <c r="AC264" s="59"/>
      <c r="AD264" s="59"/>
      <c r="AE264" s="59"/>
      <c r="AF264" s="59"/>
      <c r="AG264" s="59"/>
    </row>
    <row r="265" spans="1:33" s="51" customFormat="1" x14ac:dyDescent="0.2">
      <c r="Y265" s="61"/>
      <c r="Z265" s="61"/>
      <c r="AA265" s="59"/>
      <c r="AB265" s="59"/>
      <c r="AC265" s="59"/>
      <c r="AD265" s="59"/>
      <c r="AE265" s="59"/>
      <c r="AF265" s="59"/>
      <c r="AG265" s="59"/>
    </row>
    <row r="266" spans="1:33" s="51" customFormat="1" x14ac:dyDescent="0.2">
      <c r="Y266" s="61"/>
      <c r="Z266" s="61"/>
      <c r="AA266" s="59"/>
      <c r="AB266" s="59"/>
      <c r="AC266" s="59"/>
      <c r="AD266" s="59"/>
      <c r="AE266" s="59"/>
      <c r="AF266" s="59"/>
      <c r="AG266" s="59"/>
    </row>
    <row r="267" spans="1:33" s="51" customFormat="1" x14ac:dyDescent="0.2">
      <c r="Y267" s="61"/>
      <c r="Z267" s="61"/>
      <c r="AA267" s="59"/>
      <c r="AB267" s="59"/>
      <c r="AC267" s="59"/>
      <c r="AD267" s="59"/>
      <c r="AE267" s="59"/>
      <c r="AF267" s="59"/>
      <c r="AG267" s="59"/>
    </row>
    <row r="268" spans="1:33" s="51" customFormat="1" x14ac:dyDescent="0.2">
      <c r="Y268" s="61"/>
      <c r="Z268" s="61"/>
      <c r="AA268" s="59"/>
      <c r="AB268" s="59"/>
      <c r="AC268" s="59"/>
      <c r="AD268" s="59"/>
      <c r="AE268" s="59"/>
      <c r="AF268" s="59"/>
      <c r="AG268" s="59"/>
    </row>
    <row r="269" spans="1:33" s="51" customFormat="1" x14ac:dyDescent="0.2">
      <c r="Y269" s="61"/>
      <c r="Z269" s="61"/>
      <c r="AA269" s="59"/>
      <c r="AB269" s="59"/>
      <c r="AC269" s="59"/>
      <c r="AD269" s="59"/>
      <c r="AE269" s="59"/>
      <c r="AF269" s="59"/>
      <c r="AG269" s="59"/>
    </row>
    <row r="270" spans="1:33" s="51" customFormat="1" x14ac:dyDescent="0.2">
      <c r="Y270" s="61"/>
      <c r="Z270" s="61"/>
      <c r="AA270" s="59"/>
      <c r="AB270" s="59"/>
      <c r="AC270" s="59"/>
      <c r="AD270" s="59"/>
      <c r="AE270" s="59"/>
      <c r="AF270" s="59"/>
      <c r="AG270" s="59"/>
    </row>
    <row r="271" spans="1:33" s="51" customFormat="1" x14ac:dyDescent="0.2">
      <c r="Y271" s="61"/>
      <c r="Z271" s="61"/>
      <c r="AA271" s="59"/>
      <c r="AB271" s="59"/>
      <c r="AC271" s="59"/>
      <c r="AD271" s="59"/>
      <c r="AE271" s="59"/>
      <c r="AF271" s="59"/>
      <c r="AG271" s="59"/>
    </row>
    <row r="272" spans="1:33" x14ac:dyDescent="0.2">
      <c r="A272" s="47"/>
      <c r="B272" s="47"/>
      <c r="C272" s="47"/>
      <c r="D272" s="47"/>
      <c r="E272" s="47"/>
      <c r="F272" s="47"/>
      <c r="G272" s="47"/>
      <c r="H272" s="47"/>
      <c r="I272" s="47"/>
      <c r="J272" s="47"/>
      <c r="K272" s="47"/>
      <c r="L272" s="47"/>
      <c r="X272" s="47"/>
    </row>
    <row r="273" spans="1:24" x14ac:dyDescent="0.2">
      <c r="A273" s="47"/>
      <c r="B273" s="47"/>
      <c r="C273" s="47"/>
      <c r="D273" s="47"/>
      <c r="E273" s="47"/>
      <c r="F273" s="47"/>
      <c r="G273" s="47"/>
      <c r="H273" s="47"/>
      <c r="I273" s="47"/>
      <c r="J273" s="47"/>
      <c r="K273" s="47"/>
      <c r="L273" s="47"/>
      <c r="X273" s="47"/>
    </row>
    <row r="274" spans="1:24" x14ac:dyDescent="0.2">
      <c r="A274" s="47"/>
      <c r="B274" s="47"/>
      <c r="C274" s="47"/>
      <c r="D274" s="47"/>
      <c r="E274" s="47"/>
      <c r="F274" s="47"/>
      <c r="G274" s="47"/>
      <c r="H274" s="47"/>
      <c r="I274" s="47"/>
      <c r="J274" s="47"/>
      <c r="K274" s="47"/>
      <c r="L274" s="47"/>
      <c r="X274" s="47"/>
    </row>
    <row r="275" spans="1:24" x14ac:dyDescent="0.2">
      <c r="A275" s="47"/>
      <c r="B275" s="47"/>
      <c r="C275" s="47"/>
      <c r="D275" s="47"/>
      <c r="E275" s="47"/>
      <c r="F275" s="47"/>
      <c r="G275" s="47"/>
      <c r="H275" s="47"/>
      <c r="I275" s="47"/>
      <c r="J275" s="47"/>
      <c r="K275" s="47"/>
      <c r="L275" s="47"/>
      <c r="X275" s="47"/>
    </row>
    <row r="276" spans="1:24" x14ac:dyDescent="0.2">
      <c r="A276" s="47"/>
      <c r="B276" s="47"/>
      <c r="C276" s="47"/>
      <c r="D276" s="47"/>
      <c r="E276" s="47"/>
      <c r="F276" s="47"/>
      <c r="G276" s="47"/>
      <c r="H276" s="47"/>
      <c r="I276" s="47"/>
      <c r="J276" s="47"/>
      <c r="K276" s="47"/>
      <c r="L276" s="47"/>
      <c r="X276" s="47"/>
    </row>
    <row r="277" spans="1:24" x14ac:dyDescent="0.2">
      <c r="A277" s="47"/>
      <c r="B277" s="47"/>
      <c r="C277" s="47"/>
      <c r="D277" s="47"/>
      <c r="E277" s="47"/>
      <c r="F277" s="47"/>
      <c r="G277" s="47"/>
      <c r="H277" s="47"/>
      <c r="I277" s="47"/>
      <c r="J277" s="47"/>
      <c r="K277" s="47"/>
      <c r="L277" s="47"/>
      <c r="X277" s="47"/>
    </row>
    <row r="278" spans="1:24" x14ac:dyDescent="0.2">
      <c r="A278" s="47"/>
      <c r="B278" s="47"/>
      <c r="C278" s="47"/>
      <c r="D278" s="47"/>
      <c r="E278" s="47"/>
      <c r="F278" s="47"/>
      <c r="G278" s="47"/>
      <c r="H278" s="47"/>
      <c r="I278" s="47"/>
      <c r="J278" s="47"/>
      <c r="K278" s="47"/>
      <c r="L278" s="47"/>
      <c r="X278" s="47"/>
    </row>
    <row r="279" spans="1:24" x14ac:dyDescent="0.2">
      <c r="A279" s="47"/>
      <c r="B279" s="47"/>
      <c r="C279" s="47"/>
      <c r="D279" s="47"/>
      <c r="E279" s="47"/>
      <c r="F279" s="47"/>
      <c r="G279" s="47"/>
      <c r="H279" s="47"/>
      <c r="I279" s="47"/>
      <c r="J279" s="47"/>
      <c r="K279" s="47"/>
      <c r="L279" s="47"/>
      <c r="X279" s="47"/>
    </row>
    <row r="280" spans="1:24" x14ac:dyDescent="0.2">
      <c r="A280" s="47"/>
      <c r="B280" s="47"/>
      <c r="C280" s="47"/>
      <c r="D280" s="47"/>
      <c r="E280" s="47"/>
      <c r="F280" s="47"/>
      <c r="G280" s="47"/>
      <c r="H280" s="47"/>
      <c r="I280" s="47"/>
      <c r="J280" s="47"/>
      <c r="K280" s="47"/>
      <c r="L280" s="47"/>
      <c r="X280" s="47"/>
    </row>
    <row r="281" spans="1:24" x14ac:dyDescent="0.2">
      <c r="A281" s="47"/>
      <c r="B281" s="47"/>
      <c r="C281" s="47"/>
      <c r="D281" s="47"/>
      <c r="E281" s="47"/>
      <c r="F281" s="47"/>
      <c r="G281" s="47"/>
      <c r="H281" s="47"/>
      <c r="I281" s="47"/>
      <c r="J281" s="47"/>
      <c r="K281" s="47"/>
      <c r="L281" s="47"/>
      <c r="X281" s="47"/>
    </row>
    <row r="282" spans="1:24" x14ac:dyDescent="0.2">
      <c r="A282" s="47"/>
      <c r="B282" s="47"/>
      <c r="C282" s="47"/>
      <c r="D282" s="47"/>
      <c r="E282" s="47"/>
      <c r="F282" s="47"/>
      <c r="G282" s="47"/>
      <c r="H282" s="47"/>
      <c r="I282" s="47"/>
      <c r="J282" s="47"/>
      <c r="K282" s="47"/>
      <c r="L282" s="47"/>
      <c r="X282" s="47"/>
    </row>
    <row r="283" spans="1:24" x14ac:dyDescent="0.2">
      <c r="A283" s="47"/>
      <c r="B283" s="47"/>
      <c r="C283" s="47"/>
      <c r="D283" s="47"/>
      <c r="E283" s="47"/>
      <c r="F283" s="47"/>
      <c r="G283" s="47"/>
      <c r="H283" s="47"/>
      <c r="I283" s="47"/>
      <c r="J283" s="47"/>
      <c r="K283" s="47"/>
      <c r="L283" s="47"/>
      <c r="X283" s="47"/>
    </row>
    <row r="284" spans="1:24" x14ac:dyDescent="0.2">
      <c r="A284" s="47"/>
      <c r="B284" s="47"/>
      <c r="C284" s="47"/>
      <c r="D284" s="47"/>
      <c r="E284" s="47"/>
      <c r="F284" s="47"/>
      <c r="G284" s="47"/>
      <c r="H284" s="47"/>
      <c r="I284" s="47"/>
      <c r="J284" s="47"/>
      <c r="K284" s="47"/>
      <c r="L284" s="47"/>
      <c r="X284" s="47"/>
    </row>
    <row r="285" spans="1:24" x14ac:dyDescent="0.2">
      <c r="A285" s="47"/>
      <c r="B285" s="47"/>
      <c r="C285" s="47"/>
      <c r="D285" s="47"/>
      <c r="E285" s="47"/>
      <c r="F285" s="47"/>
      <c r="G285" s="47"/>
      <c r="H285" s="47"/>
      <c r="I285" s="47"/>
      <c r="J285" s="47"/>
      <c r="K285" s="47"/>
      <c r="L285" s="47"/>
      <c r="X285" s="47"/>
    </row>
    <row r="286" spans="1:24" x14ac:dyDescent="0.2">
      <c r="A286" s="47"/>
      <c r="B286" s="47"/>
      <c r="C286" s="47"/>
      <c r="D286" s="47"/>
      <c r="E286" s="47"/>
      <c r="F286" s="47"/>
      <c r="G286" s="47"/>
      <c r="H286" s="47"/>
      <c r="I286" s="47"/>
      <c r="J286" s="47"/>
      <c r="K286" s="47"/>
      <c r="L286" s="47"/>
      <c r="X286" s="47"/>
    </row>
    <row r="287" spans="1:24" x14ac:dyDescent="0.2">
      <c r="A287" s="47"/>
      <c r="B287" s="47"/>
      <c r="C287" s="47"/>
      <c r="D287" s="47"/>
      <c r="E287" s="47"/>
      <c r="F287" s="47"/>
      <c r="G287" s="47"/>
      <c r="H287" s="47"/>
      <c r="I287" s="47"/>
      <c r="J287" s="47"/>
      <c r="K287" s="47"/>
      <c r="L287" s="47"/>
      <c r="X287" s="47"/>
    </row>
    <row r="288" spans="1:24" x14ac:dyDescent="0.2">
      <c r="A288" s="47"/>
      <c r="B288" s="47"/>
      <c r="C288" s="47"/>
      <c r="D288" s="47"/>
      <c r="E288" s="47"/>
      <c r="F288" s="47"/>
      <c r="G288" s="47"/>
      <c r="H288" s="47"/>
      <c r="I288" s="47"/>
      <c r="J288" s="47"/>
      <c r="K288" s="47"/>
      <c r="L288" s="47"/>
      <c r="X288" s="47"/>
    </row>
    <row r="289" spans="1:24" x14ac:dyDescent="0.2">
      <c r="A289" s="47"/>
      <c r="B289" s="47"/>
      <c r="C289" s="47"/>
      <c r="D289" s="47"/>
      <c r="E289" s="47"/>
      <c r="F289" s="47"/>
      <c r="G289" s="47"/>
      <c r="H289" s="47"/>
      <c r="I289" s="47"/>
      <c r="J289" s="47"/>
      <c r="K289" s="47"/>
      <c r="L289" s="47"/>
      <c r="X289" s="47"/>
    </row>
    <row r="290" spans="1:24" x14ac:dyDescent="0.2">
      <c r="A290" s="47"/>
      <c r="B290" s="47"/>
      <c r="C290" s="47"/>
      <c r="D290" s="47"/>
      <c r="E290" s="47"/>
      <c r="F290" s="47"/>
      <c r="G290" s="47"/>
      <c r="H290" s="47"/>
      <c r="I290" s="47"/>
      <c r="J290" s="47"/>
      <c r="K290" s="47"/>
      <c r="L290" s="47"/>
      <c r="X290" s="47"/>
    </row>
    <row r="291" spans="1:24" x14ac:dyDescent="0.2">
      <c r="A291" s="47"/>
      <c r="B291" s="47"/>
      <c r="C291" s="47"/>
      <c r="D291" s="47"/>
      <c r="E291" s="47"/>
      <c r="F291" s="47"/>
      <c r="G291" s="47"/>
      <c r="H291" s="47"/>
      <c r="I291" s="47"/>
      <c r="J291" s="47"/>
      <c r="K291" s="47"/>
      <c r="L291" s="47"/>
      <c r="X291" s="47"/>
    </row>
    <row r="292" spans="1:24" x14ac:dyDescent="0.2">
      <c r="A292" s="47"/>
      <c r="B292" s="47"/>
      <c r="C292" s="47"/>
      <c r="D292" s="47"/>
      <c r="E292" s="47"/>
      <c r="F292" s="47"/>
      <c r="G292" s="47"/>
      <c r="H292" s="47"/>
      <c r="I292" s="47"/>
      <c r="J292" s="47"/>
      <c r="K292" s="47"/>
      <c r="L292" s="47"/>
      <c r="X292" s="47"/>
    </row>
    <row r="293" spans="1:24" x14ac:dyDescent="0.2">
      <c r="A293" s="47"/>
      <c r="B293" s="47"/>
      <c r="C293" s="47"/>
      <c r="D293" s="47"/>
      <c r="E293" s="47"/>
      <c r="F293" s="47"/>
      <c r="G293" s="47"/>
      <c r="H293" s="47"/>
      <c r="I293" s="47"/>
      <c r="J293" s="47"/>
      <c r="K293" s="47"/>
      <c r="L293" s="47"/>
      <c r="X293" s="47"/>
    </row>
    <row r="294" spans="1:24" x14ac:dyDescent="0.2">
      <c r="A294" s="47"/>
      <c r="B294" s="47"/>
      <c r="C294" s="47"/>
      <c r="D294" s="47"/>
      <c r="E294" s="47"/>
      <c r="F294" s="47"/>
      <c r="G294" s="47"/>
      <c r="H294" s="47"/>
      <c r="I294" s="47"/>
      <c r="J294" s="47"/>
      <c r="K294" s="47"/>
      <c r="L294" s="47"/>
      <c r="X294" s="47"/>
    </row>
    <row r="295" spans="1:24" x14ac:dyDescent="0.2">
      <c r="A295" s="47"/>
      <c r="B295" s="47"/>
      <c r="C295" s="47"/>
      <c r="D295" s="47"/>
      <c r="E295" s="47"/>
      <c r="F295" s="47"/>
      <c r="G295" s="47"/>
      <c r="H295" s="47"/>
      <c r="I295" s="47"/>
      <c r="J295" s="47"/>
      <c r="K295" s="47"/>
      <c r="L295" s="47"/>
      <c r="X295" s="47"/>
    </row>
    <row r="296" spans="1:24" x14ac:dyDescent="0.2">
      <c r="A296" s="47"/>
      <c r="B296" s="47"/>
      <c r="C296" s="47"/>
      <c r="D296" s="47"/>
      <c r="E296" s="47"/>
      <c r="F296" s="47"/>
      <c r="G296" s="47"/>
      <c r="H296" s="47"/>
      <c r="I296" s="47"/>
      <c r="J296" s="47"/>
      <c r="K296" s="47"/>
      <c r="L296" s="47"/>
      <c r="X296" s="47"/>
    </row>
    <row r="297" spans="1:24" x14ac:dyDescent="0.2">
      <c r="A297" s="47"/>
      <c r="B297" s="47"/>
      <c r="C297" s="47"/>
      <c r="D297" s="47"/>
      <c r="E297" s="47"/>
      <c r="F297" s="47"/>
      <c r="G297" s="47"/>
      <c r="H297" s="47"/>
      <c r="I297" s="47"/>
      <c r="J297" s="47"/>
      <c r="K297" s="47"/>
      <c r="L297" s="47"/>
      <c r="X297" s="47"/>
    </row>
    <row r="298" spans="1:24" x14ac:dyDescent="0.2">
      <c r="A298" s="47"/>
      <c r="B298" s="47"/>
      <c r="C298" s="47"/>
      <c r="D298" s="47"/>
      <c r="E298" s="47"/>
      <c r="F298" s="47"/>
      <c r="G298" s="47"/>
      <c r="H298" s="47"/>
      <c r="I298" s="47"/>
      <c r="J298" s="47"/>
      <c r="K298" s="47"/>
      <c r="L298" s="47"/>
      <c r="X298" s="47"/>
    </row>
    <row r="299" spans="1:24" x14ac:dyDescent="0.2">
      <c r="A299" s="47"/>
      <c r="B299" s="47"/>
      <c r="C299" s="47"/>
      <c r="D299" s="47"/>
      <c r="E299" s="47"/>
      <c r="F299" s="47"/>
      <c r="G299" s="47"/>
      <c r="H299" s="47"/>
      <c r="I299" s="47"/>
      <c r="J299" s="47"/>
      <c r="K299" s="47"/>
      <c r="L299" s="47"/>
      <c r="X299" s="47"/>
    </row>
    <row r="300" spans="1:24" x14ac:dyDescent="0.2">
      <c r="A300" s="47"/>
      <c r="B300" s="47"/>
      <c r="C300" s="47"/>
      <c r="D300" s="47"/>
      <c r="E300" s="47"/>
      <c r="F300" s="47"/>
      <c r="G300" s="47"/>
      <c r="H300" s="47"/>
      <c r="I300" s="47"/>
      <c r="J300" s="47"/>
      <c r="K300" s="47"/>
      <c r="L300" s="47"/>
      <c r="X300" s="47"/>
    </row>
    <row r="301" spans="1:24" x14ac:dyDescent="0.2">
      <c r="A301" s="47"/>
      <c r="B301" s="47"/>
      <c r="C301" s="47"/>
      <c r="D301" s="47"/>
      <c r="E301" s="47"/>
      <c r="F301" s="47"/>
      <c r="G301" s="47"/>
      <c r="H301" s="47"/>
      <c r="I301" s="47"/>
      <c r="J301" s="47"/>
      <c r="K301" s="47"/>
      <c r="L301" s="47"/>
      <c r="X301" s="47"/>
    </row>
    <row r="302" spans="1:24" x14ac:dyDescent="0.2">
      <c r="A302" s="47"/>
      <c r="B302" s="47"/>
      <c r="C302" s="47"/>
      <c r="D302" s="47"/>
      <c r="E302" s="47"/>
      <c r="F302" s="47"/>
      <c r="G302" s="47"/>
      <c r="H302" s="47"/>
      <c r="I302" s="47"/>
      <c r="J302" s="47"/>
      <c r="K302" s="47"/>
      <c r="L302" s="47"/>
      <c r="X302" s="47"/>
    </row>
    <row r="303" spans="1:24" x14ac:dyDescent="0.2">
      <c r="A303" s="47"/>
      <c r="B303" s="47"/>
      <c r="C303" s="47"/>
      <c r="D303" s="47"/>
      <c r="E303" s="47"/>
      <c r="F303" s="47"/>
      <c r="G303" s="47"/>
      <c r="H303" s="47"/>
      <c r="I303" s="47"/>
      <c r="J303" s="47"/>
      <c r="K303" s="47"/>
      <c r="L303" s="47"/>
      <c r="X303" s="47"/>
    </row>
    <row r="304" spans="1:24" x14ac:dyDescent="0.2">
      <c r="A304" s="47"/>
      <c r="B304" s="47"/>
      <c r="C304" s="47"/>
      <c r="D304" s="47"/>
      <c r="E304" s="47"/>
      <c r="F304" s="47"/>
      <c r="G304" s="47"/>
      <c r="H304" s="47"/>
      <c r="I304" s="47"/>
      <c r="J304" s="47"/>
      <c r="K304" s="47"/>
      <c r="L304" s="47"/>
      <c r="X304" s="47"/>
    </row>
    <row r="305" spans="1:24" x14ac:dyDescent="0.2">
      <c r="A305" s="47"/>
      <c r="B305" s="47"/>
      <c r="C305" s="47"/>
      <c r="D305" s="47"/>
      <c r="E305" s="47"/>
      <c r="F305" s="47"/>
      <c r="G305" s="47"/>
      <c r="H305" s="47"/>
      <c r="I305" s="47"/>
      <c r="J305" s="47"/>
      <c r="K305" s="47"/>
      <c r="L305" s="47"/>
      <c r="X305" s="47"/>
    </row>
    <row r="306" spans="1:24" x14ac:dyDescent="0.2">
      <c r="A306" s="47"/>
      <c r="B306" s="47"/>
      <c r="C306" s="47"/>
      <c r="D306" s="47"/>
      <c r="E306" s="47"/>
      <c r="F306" s="47"/>
      <c r="G306" s="47"/>
      <c r="H306" s="47"/>
      <c r="I306" s="47"/>
      <c r="J306" s="47"/>
      <c r="K306" s="47"/>
      <c r="L306" s="47"/>
      <c r="X306" s="47"/>
    </row>
    <row r="307" spans="1:24" x14ac:dyDescent="0.2">
      <c r="A307" s="47"/>
      <c r="B307" s="47"/>
      <c r="C307" s="47"/>
      <c r="D307" s="47"/>
      <c r="E307" s="47"/>
      <c r="F307" s="47"/>
      <c r="G307" s="47"/>
      <c r="H307" s="47"/>
      <c r="I307" s="47"/>
      <c r="J307" s="47"/>
      <c r="K307" s="47"/>
      <c r="L307" s="47"/>
      <c r="X307" s="47"/>
    </row>
    <row r="308" spans="1:24" x14ac:dyDescent="0.2">
      <c r="A308" s="47"/>
      <c r="B308" s="47"/>
      <c r="C308" s="47"/>
      <c r="D308" s="47"/>
      <c r="E308" s="47"/>
      <c r="F308" s="47"/>
      <c r="G308" s="47"/>
      <c r="H308" s="47"/>
      <c r="I308" s="47"/>
      <c r="J308" s="47"/>
      <c r="K308" s="47"/>
      <c r="L308" s="47"/>
      <c r="X308" s="47"/>
    </row>
    <row r="309" spans="1:24" x14ac:dyDescent="0.2">
      <c r="A309" s="47"/>
      <c r="B309" s="47"/>
      <c r="C309" s="47"/>
      <c r="D309" s="47"/>
      <c r="E309" s="47"/>
      <c r="F309" s="47"/>
      <c r="G309" s="47"/>
      <c r="H309" s="47"/>
      <c r="I309" s="47"/>
      <c r="J309" s="47"/>
      <c r="K309" s="47"/>
      <c r="L309" s="47"/>
      <c r="X309" s="47"/>
    </row>
    <row r="310" spans="1:24" x14ac:dyDescent="0.2">
      <c r="A310" s="47"/>
      <c r="B310" s="47"/>
      <c r="C310" s="47"/>
      <c r="D310" s="47"/>
      <c r="E310" s="47"/>
      <c r="F310" s="47"/>
      <c r="G310" s="47"/>
      <c r="H310" s="47"/>
      <c r="I310" s="47"/>
      <c r="J310" s="47"/>
      <c r="K310" s="47"/>
      <c r="L310" s="47"/>
      <c r="X310" s="47"/>
    </row>
    <row r="311" spans="1:24" x14ac:dyDescent="0.2">
      <c r="A311" s="47"/>
      <c r="B311" s="47"/>
      <c r="C311" s="47"/>
      <c r="D311" s="47"/>
      <c r="E311" s="47"/>
      <c r="F311" s="47"/>
      <c r="G311" s="47"/>
      <c r="H311" s="47"/>
      <c r="I311" s="47"/>
      <c r="J311" s="47"/>
      <c r="K311" s="47"/>
      <c r="L311" s="47"/>
      <c r="X311" s="47"/>
    </row>
    <row r="312" spans="1:24" x14ac:dyDescent="0.2">
      <c r="A312" s="47"/>
      <c r="B312" s="47"/>
      <c r="C312" s="47"/>
      <c r="D312" s="47"/>
      <c r="E312" s="47"/>
      <c r="F312" s="47"/>
      <c r="G312" s="47"/>
      <c r="H312" s="47"/>
      <c r="I312" s="47"/>
      <c r="J312" s="47"/>
      <c r="K312" s="47"/>
      <c r="L312" s="47"/>
      <c r="X312" s="47"/>
    </row>
    <row r="313" spans="1:24" x14ac:dyDescent="0.2">
      <c r="A313" s="47"/>
      <c r="B313" s="47"/>
      <c r="C313" s="47"/>
      <c r="D313" s="47"/>
      <c r="E313" s="47"/>
      <c r="F313" s="47"/>
      <c r="G313" s="47"/>
      <c r="H313" s="47"/>
      <c r="I313" s="47"/>
      <c r="J313" s="47"/>
      <c r="K313" s="47"/>
      <c r="L313" s="47"/>
      <c r="X313" s="47"/>
    </row>
    <row r="314" spans="1:24" x14ac:dyDescent="0.2">
      <c r="A314" s="47"/>
      <c r="B314" s="47"/>
      <c r="C314" s="47"/>
      <c r="D314" s="47"/>
      <c r="E314" s="47"/>
      <c r="F314" s="47"/>
      <c r="G314" s="47"/>
      <c r="H314" s="47"/>
      <c r="I314" s="47"/>
      <c r="J314" s="47"/>
      <c r="K314" s="47"/>
      <c r="L314" s="47"/>
      <c r="X314" s="47"/>
    </row>
    <row r="315" spans="1:24" x14ac:dyDescent="0.2">
      <c r="A315" s="47"/>
      <c r="B315" s="47"/>
      <c r="C315" s="47"/>
      <c r="D315" s="47"/>
      <c r="E315" s="47"/>
      <c r="F315" s="47"/>
      <c r="G315" s="47"/>
      <c r="H315" s="47"/>
      <c r="I315" s="47"/>
      <c r="J315" s="47"/>
      <c r="K315" s="47"/>
      <c r="L315" s="47"/>
      <c r="X315" s="47"/>
    </row>
    <row r="316" spans="1:24" x14ac:dyDescent="0.2">
      <c r="A316" s="47"/>
      <c r="B316" s="47"/>
      <c r="C316" s="47"/>
      <c r="D316" s="47"/>
      <c r="E316" s="47"/>
      <c r="F316" s="47"/>
      <c r="G316" s="47"/>
      <c r="H316" s="47"/>
      <c r="I316" s="47"/>
      <c r="J316" s="47"/>
      <c r="K316" s="47"/>
      <c r="L316" s="47"/>
      <c r="X316" s="47"/>
    </row>
    <row r="317" spans="1:24" x14ac:dyDescent="0.2">
      <c r="A317" s="47"/>
      <c r="B317" s="47"/>
      <c r="C317" s="47"/>
      <c r="D317" s="47"/>
      <c r="E317" s="47"/>
      <c r="F317" s="47"/>
      <c r="G317" s="47"/>
      <c r="H317" s="47"/>
      <c r="I317" s="47"/>
      <c r="J317" s="47"/>
      <c r="K317" s="47"/>
      <c r="L317" s="47"/>
      <c r="X317" s="47"/>
    </row>
    <row r="318" spans="1:24" x14ac:dyDescent="0.2">
      <c r="A318" s="47"/>
      <c r="B318" s="47"/>
      <c r="C318" s="47"/>
      <c r="D318" s="47"/>
      <c r="E318" s="47"/>
      <c r="F318" s="47"/>
      <c r="G318" s="47"/>
      <c r="H318" s="47"/>
      <c r="I318" s="47"/>
      <c r="J318" s="47"/>
      <c r="K318" s="47"/>
      <c r="L318" s="47"/>
      <c r="X318" s="47"/>
    </row>
    <row r="319" spans="1:24" x14ac:dyDescent="0.2">
      <c r="A319" s="47"/>
      <c r="B319" s="47"/>
      <c r="C319" s="47"/>
      <c r="D319" s="47"/>
      <c r="E319" s="47"/>
      <c r="F319" s="47"/>
      <c r="G319" s="47"/>
      <c r="H319" s="47"/>
      <c r="I319" s="47"/>
      <c r="J319" s="47"/>
      <c r="K319" s="47"/>
      <c r="L319" s="47"/>
      <c r="X319" s="47"/>
    </row>
    <row r="320" spans="1:24" x14ac:dyDescent="0.2">
      <c r="A320" s="47"/>
      <c r="B320" s="47"/>
      <c r="C320" s="47"/>
      <c r="D320" s="47"/>
      <c r="E320" s="47"/>
      <c r="F320" s="47"/>
      <c r="G320" s="47"/>
      <c r="H320" s="47"/>
      <c r="I320" s="47"/>
      <c r="J320" s="47"/>
      <c r="K320" s="47"/>
      <c r="L320" s="47"/>
      <c r="X320" s="47"/>
    </row>
    <row r="321" spans="1:24" x14ac:dyDescent="0.2">
      <c r="A321" s="47"/>
      <c r="B321" s="47"/>
      <c r="C321" s="47"/>
      <c r="D321" s="47"/>
      <c r="E321" s="47"/>
      <c r="F321" s="47"/>
      <c r="G321" s="47"/>
      <c r="H321" s="47"/>
      <c r="I321" s="47"/>
      <c r="J321" s="47"/>
      <c r="K321" s="47"/>
      <c r="L321" s="47"/>
      <c r="X321" s="47"/>
    </row>
    <row r="322" spans="1:24" x14ac:dyDescent="0.2">
      <c r="A322" s="47"/>
      <c r="B322" s="47"/>
      <c r="C322" s="47"/>
      <c r="D322" s="47"/>
      <c r="E322" s="47"/>
      <c r="F322" s="47"/>
      <c r="G322" s="47"/>
      <c r="H322" s="47"/>
      <c r="I322" s="47"/>
      <c r="J322" s="47"/>
      <c r="K322" s="47"/>
      <c r="L322" s="47"/>
      <c r="X322" s="47"/>
    </row>
    <row r="323" spans="1:24" x14ac:dyDescent="0.2">
      <c r="A323" s="47"/>
      <c r="B323" s="47"/>
      <c r="C323" s="47"/>
      <c r="D323" s="47"/>
      <c r="E323" s="47"/>
      <c r="F323" s="47"/>
      <c r="G323" s="47"/>
      <c r="H323" s="47"/>
      <c r="I323" s="47"/>
      <c r="J323" s="47"/>
      <c r="K323" s="47"/>
      <c r="L323" s="47"/>
      <c r="X323" s="47"/>
    </row>
    <row r="324" spans="1:24" x14ac:dyDescent="0.2">
      <c r="A324" s="47"/>
      <c r="B324" s="47"/>
      <c r="C324" s="47"/>
      <c r="D324" s="47"/>
      <c r="E324" s="47"/>
      <c r="F324" s="47"/>
      <c r="G324" s="47"/>
      <c r="H324" s="47"/>
      <c r="I324" s="47"/>
      <c r="J324" s="47"/>
      <c r="K324" s="47"/>
      <c r="L324" s="47"/>
      <c r="X324" s="47"/>
    </row>
    <row r="325" spans="1:24" x14ac:dyDescent="0.2">
      <c r="A325" s="47"/>
      <c r="B325" s="47"/>
      <c r="C325" s="47"/>
      <c r="D325" s="47"/>
      <c r="E325" s="47"/>
      <c r="F325" s="47"/>
      <c r="G325" s="47"/>
      <c r="H325" s="47"/>
      <c r="I325" s="47"/>
      <c r="J325" s="47"/>
      <c r="K325" s="47"/>
      <c r="L325" s="47"/>
      <c r="X325" s="47"/>
    </row>
    <row r="326" spans="1:24" x14ac:dyDescent="0.2">
      <c r="A326" s="47"/>
      <c r="B326" s="47"/>
      <c r="C326" s="47"/>
      <c r="D326" s="47"/>
      <c r="E326" s="47"/>
      <c r="F326" s="47"/>
      <c r="G326" s="47"/>
      <c r="H326" s="47"/>
      <c r="I326" s="47"/>
      <c r="J326" s="47"/>
      <c r="K326" s="47"/>
      <c r="L326" s="47"/>
      <c r="X326" s="47"/>
    </row>
    <row r="327" spans="1:24" x14ac:dyDescent="0.2">
      <c r="A327" s="47"/>
      <c r="B327" s="47"/>
      <c r="C327" s="47"/>
      <c r="D327" s="47"/>
      <c r="E327" s="47"/>
      <c r="F327" s="47"/>
      <c r="G327" s="47"/>
      <c r="H327" s="47"/>
      <c r="I327" s="47"/>
      <c r="J327" s="47"/>
      <c r="K327" s="47"/>
      <c r="L327" s="47"/>
      <c r="X327" s="47"/>
    </row>
    <row r="328" spans="1:24" x14ac:dyDescent="0.2">
      <c r="A328" s="47"/>
      <c r="B328" s="47"/>
      <c r="C328" s="47"/>
      <c r="D328" s="47"/>
      <c r="E328" s="47"/>
      <c r="F328" s="47"/>
      <c r="G328" s="47"/>
      <c r="H328" s="47"/>
      <c r="I328" s="47"/>
      <c r="J328" s="47"/>
      <c r="K328" s="47"/>
      <c r="L328" s="47"/>
      <c r="X328" s="47"/>
    </row>
    <row r="329" spans="1:24" x14ac:dyDescent="0.2">
      <c r="A329" s="47"/>
      <c r="B329" s="47"/>
      <c r="C329" s="47"/>
      <c r="D329" s="47"/>
      <c r="E329" s="47"/>
      <c r="F329" s="47"/>
      <c r="G329" s="47"/>
      <c r="H329" s="47"/>
      <c r="I329" s="47"/>
      <c r="J329" s="47"/>
      <c r="K329" s="47"/>
      <c r="L329" s="47"/>
      <c r="X329" s="47"/>
    </row>
    <row r="330" spans="1:24" x14ac:dyDescent="0.2">
      <c r="A330" s="47"/>
      <c r="B330" s="47"/>
      <c r="C330" s="47"/>
      <c r="D330" s="47"/>
      <c r="E330" s="47"/>
      <c r="F330" s="47"/>
      <c r="G330" s="47"/>
      <c r="H330" s="47"/>
      <c r="I330" s="47"/>
      <c r="J330" s="47"/>
      <c r="K330" s="47"/>
      <c r="L330" s="47"/>
      <c r="X330" s="47"/>
    </row>
    <row r="331" spans="1:24" x14ac:dyDescent="0.2">
      <c r="A331" s="47"/>
      <c r="B331" s="47"/>
      <c r="C331" s="47"/>
      <c r="D331" s="47"/>
      <c r="E331" s="47"/>
      <c r="F331" s="47"/>
      <c r="G331" s="47"/>
      <c r="H331" s="47"/>
      <c r="I331" s="47"/>
      <c r="J331" s="47"/>
      <c r="K331" s="47"/>
      <c r="L331" s="47"/>
      <c r="X331" s="47"/>
    </row>
    <row r="332" spans="1:24" x14ac:dyDescent="0.2">
      <c r="A332" s="47"/>
      <c r="B332" s="47"/>
      <c r="C332" s="47"/>
      <c r="D332" s="47"/>
      <c r="E332" s="47"/>
      <c r="F332" s="47"/>
      <c r="G332" s="47"/>
      <c r="H332" s="47"/>
      <c r="I332" s="47"/>
      <c r="J332" s="47"/>
      <c r="K332" s="47"/>
      <c r="L332" s="47"/>
      <c r="X332" s="47"/>
    </row>
    <row r="333" spans="1:24" x14ac:dyDescent="0.2">
      <c r="A333" s="47"/>
      <c r="B333" s="47"/>
      <c r="C333" s="47"/>
      <c r="D333" s="47"/>
      <c r="E333" s="47"/>
      <c r="F333" s="47"/>
      <c r="G333" s="47"/>
      <c r="H333" s="47"/>
      <c r="I333" s="47"/>
      <c r="J333" s="47"/>
      <c r="K333" s="47"/>
      <c r="L333" s="47"/>
      <c r="X333" s="47"/>
    </row>
    <row r="334" spans="1:24" x14ac:dyDescent="0.2">
      <c r="A334" s="47"/>
      <c r="B334" s="47"/>
      <c r="C334" s="47"/>
      <c r="D334" s="47"/>
      <c r="E334" s="47"/>
      <c r="F334" s="47"/>
      <c r="G334" s="47"/>
      <c r="H334" s="47"/>
      <c r="I334" s="47"/>
      <c r="J334" s="47"/>
      <c r="K334" s="47"/>
      <c r="L334" s="47"/>
      <c r="X334" s="47"/>
    </row>
    <row r="335" spans="1:24" x14ac:dyDescent="0.2">
      <c r="A335" s="47"/>
      <c r="B335" s="47"/>
      <c r="C335" s="47"/>
      <c r="D335" s="47"/>
      <c r="E335" s="47"/>
      <c r="F335" s="47"/>
      <c r="G335" s="47"/>
      <c r="H335" s="47"/>
      <c r="I335" s="47"/>
      <c r="J335" s="47"/>
      <c r="K335" s="47"/>
      <c r="L335" s="47"/>
      <c r="X335" s="47"/>
    </row>
    <row r="336" spans="1:24" x14ac:dyDescent="0.2">
      <c r="A336" s="47"/>
      <c r="B336" s="47"/>
      <c r="C336" s="47"/>
      <c r="D336" s="47"/>
      <c r="E336" s="47"/>
      <c r="F336" s="47"/>
      <c r="G336" s="47"/>
      <c r="H336" s="47"/>
      <c r="I336" s="47"/>
      <c r="J336" s="47"/>
      <c r="K336" s="47"/>
      <c r="L336" s="47"/>
      <c r="X336" s="47"/>
    </row>
    <row r="337" spans="1:24" x14ac:dyDescent="0.2">
      <c r="A337" s="47"/>
      <c r="B337" s="47"/>
      <c r="C337" s="47"/>
      <c r="D337" s="47"/>
      <c r="E337" s="47"/>
      <c r="F337" s="47"/>
      <c r="G337" s="47"/>
      <c r="H337" s="47"/>
      <c r="I337" s="47"/>
      <c r="J337" s="47"/>
      <c r="K337" s="47"/>
      <c r="L337" s="47"/>
      <c r="X337" s="47"/>
    </row>
    <row r="338" spans="1:24" x14ac:dyDescent="0.2">
      <c r="A338" s="47"/>
      <c r="B338" s="47"/>
      <c r="C338" s="47"/>
      <c r="D338" s="47"/>
      <c r="E338" s="47"/>
      <c r="F338" s="47"/>
      <c r="G338" s="47"/>
      <c r="H338" s="47"/>
      <c r="I338" s="47"/>
      <c r="J338" s="47"/>
      <c r="K338" s="47"/>
      <c r="L338" s="47"/>
      <c r="X338" s="47"/>
    </row>
    <row r="339" spans="1:24" x14ac:dyDescent="0.2">
      <c r="A339" s="47"/>
      <c r="B339" s="47"/>
      <c r="C339" s="47"/>
      <c r="D339" s="47"/>
      <c r="E339" s="47"/>
      <c r="F339" s="47"/>
      <c r="G339" s="47"/>
      <c r="H339" s="47"/>
      <c r="I339" s="47"/>
      <c r="J339" s="47"/>
      <c r="K339" s="47"/>
      <c r="L339" s="47"/>
      <c r="X339" s="47"/>
    </row>
    <row r="340" spans="1:24" x14ac:dyDescent="0.2">
      <c r="A340" s="47"/>
      <c r="B340" s="47"/>
      <c r="C340" s="47"/>
      <c r="D340" s="47"/>
      <c r="E340" s="47"/>
      <c r="F340" s="47"/>
      <c r="G340" s="47"/>
      <c r="H340" s="47"/>
      <c r="I340" s="47"/>
      <c r="J340" s="47"/>
      <c r="K340" s="47"/>
      <c r="L340" s="47"/>
      <c r="X340" s="47"/>
    </row>
    <row r="341" spans="1:24" x14ac:dyDescent="0.2">
      <c r="A341" s="47"/>
      <c r="B341" s="47"/>
      <c r="C341" s="47"/>
      <c r="D341" s="47"/>
      <c r="E341" s="47"/>
      <c r="F341" s="47"/>
      <c r="G341" s="47"/>
      <c r="H341" s="47"/>
      <c r="I341" s="47"/>
      <c r="J341" s="47"/>
      <c r="K341" s="47"/>
      <c r="L341" s="47"/>
      <c r="X341" s="47"/>
    </row>
    <row r="342" spans="1:24" x14ac:dyDescent="0.2">
      <c r="A342" s="47"/>
      <c r="B342" s="47"/>
      <c r="C342" s="47"/>
      <c r="D342" s="47"/>
      <c r="E342" s="47"/>
      <c r="F342" s="47"/>
      <c r="G342" s="47"/>
      <c r="H342" s="47"/>
      <c r="I342" s="47"/>
      <c r="J342" s="47"/>
      <c r="K342" s="47"/>
      <c r="L342" s="47"/>
      <c r="X342" s="47"/>
    </row>
    <row r="343" spans="1:24" x14ac:dyDescent="0.2">
      <c r="A343" s="47"/>
      <c r="B343" s="47"/>
      <c r="C343" s="47"/>
      <c r="D343" s="47"/>
      <c r="E343" s="47"/>
      <c r="F343" s="47"/>
      <c r="G343" s="47"/>
      <c r="H343" s="47"/>
      <c r="I343" s="47"/>
      <c r="J343" s="47"/>
      <c r="K343" s="47"/>
      <c r="L343" s="47"/>
      <c r="X343" s="47"/>
    </row>
    <row r="344" spans="1:24" x14ac:dyDescent="0.2">
      <c r="A344" s="47"/>
      <c r="B344" s="47"/>
      <c r="C344" s="47"/>
      <c r="D344" s="47"/>
      <c r="E344" s="47"/>
      <c r="F344" s="47"/>
      <c r="G344" s="47"/>
      <c r="H344" s="47"/>
      <c r="I344" s="47"/>
      <c r="J344" s="47"/>
      <c r="K344" s="47"/>
      <c r="L344" s="47"/>
      <c r="X344" s="47"/>
    </row>
    <row r="345" spans="1:24" x14ac:dyDescent="0.2">
      <c r="A345" s="47"/>
      <c r="B345" s="47"/>
      <c r="C345" s="47"/>
      <c r="D345" s="47"/>
      <c r="E345" s="47"/>
      <c r="F345" s="47"/>
      <c r="G345" s="47"/>
      <c r="H345" s="47"/>
      <c r="I345" s="47"/>
      <c r="J345" s="47"/>
      <c r="K345" s="47"/>
      <c r="L345" s="47"/>
      <c r="X345" s="47"/>
    </row>
    <row r="346" spans="1:24" x14ac:dyDescent="0.2">
      <c r="A346" s="47"/>
      <c r="B346" s="47"/>
      <c r="C346" s="47"/>
      <c r="D346" s="47"/>
      <c r="E346" s="47"/>
      <c r="F346" s="47"/>
      <c r="G346" s="47"/>
      <c r="H346" s="47"/>
      <c r="I346" s="47"/>
      <c r="J346" s="47"/>
      <c r="K346" s="47"/>
      <c r="L346" s="47"/>
      <c r="X346" s="47"/>
    </row>
    <row r="347" spans="1:24" x14ac:dyDescent="0.2">
      <c r="A347" s="47"/>
      <c r="B347" s="47"/>
      <c r="C347" s="47"/>
      <c r="D347" s="47"/>
      <c r="E347" s="47"/>
      <c r="F347" s="47"/>
      <c r="G347" s="47"/>
      <c r="H347" s="47"/>
      <c r="I347" s="47"/>
      <c r="J347" s="47"/>
      <c r="K347" s="47"/>
      <c r="L347" s="47"/>
      <c r="X347" s="47"/>
    </row>
    <row r="348" spans="1:24" x14ac:dyDescent="0.2">
      <c r="A348" s="47"/>
      <c r="B348" s="47"/>
      <c r="C348" s="47"/>
      <c r="D348" s="47"/>
      <c r="E348" s="47"/>
      <c r="F348" s="47"/>
      <c r="G348" s="47"/>
      <c r="H348" s="47"/>
      <c r="I348" s="47"/>
      <c r="J348" s="47"/>
      <c r="K348" s="47"/>
      <c r="L348" s="47"/>
      <c r="X348" s="47"/>
    </row>
    <row r="349" spans="1:24" x14ac:dyDescent="0.2">
      <c r="A349" s="47"/>
      <c r="B349" s="47"/>
      <c r="C349" s="47"/>
      <c r="D349" s="47"/>
      <c r="E349" s="47"/>
      <c r="F349" s="47"/>
      <c r="G349" s="47"/>
      <c r="H349" s="47"/>
      <c r="I349" s="47"/>
      <c r="J349" s="47"/>
      <c r="K349" s="47"/>
      <c r="L349" s="47"/>
      <c r="X349" s="47"/>
    </row>
    <row r="350" spans="1:24" x14ac:dyDescent="0.2">
      <c r="A350" s="47"/>
      <c r="B350" s="47"/>
      <c r="C350" s="47"/>
      <c r="D350" s="47"/>
      <c r="E350" s="47"/>
      <c r="F350" s="47"/>
      <c r="G350" s="47"/>
      <c r="H350" s="47"/>
      <c r="I350" s="47"/>
      <c r="J350" s="47"/>
      <c r="K350" s="47"/>
      <c r="L350" s="47"/>
      <c r="X350" s="47"/>
    </row>
    <row r="351" spans="1:24" x14ac:dyDescent="0.2">
      <c r="A351" s="47"/>
      <c r="B351" s="47"/>
      <c r="C351" s="47"/>
      <c r="D351" s="47"/>
      <c r="E351" s="47"/>
      <c r="F351" s="47"/>
      <c r="G351" s="47"/>
      <c r="H351" s="47"/>
      <c r="I351" s="47"/>
      <c r="J351" s="47"/>
      <c r="K351" s="47"/>
      <c r="L351" s="47"/>
      <c r="X351" s="47"/>
    </row>
    <row r="352" spans="1:24" x14ac:dyDescent="0.2">
      <c r="A352" s="47"/>
      <c r="B352" s="47"/>
      <c r="C352" s="47"/>
      <c r="D352" s="47"/>
      <c r="E352" s="47"/>
      <c r="F352" s="47"/>
      <c r="G352" s="47"/>
      <c r="H352" s="47"/>
      <c r="I352" s="47"/>
      <c r="J352" s="47"/>
      <c r="K352" s="47"/>
      <c r="L352" s="47"/>
      <c r="X352" s="47"/>
    </row>
    <row r="353" spans="1:24" x14ac:dyDescent="0.2">
      <c r="A353" s="47"/>
      <c r="B353" s="47"/>
      <c r="C353" s="47"/>
      <c r="D353" s="47"/>
      <c r="E353" s="47"/>
      <c r="F353" s="47"/>
      <c r="G353" s="47"/>
      <c r="H353" s="47"/>
      <c r="I353" s="47"/>
      <c r="J353" s="47"/>
      <c r="K353" s="47"/>
      <c r="L353" s="47"/>
      <c r="X353" s="47"/>
    </row>
    <row r="354" spans="1:24" x14ac:dyDescent="0.2">
      <c r="A354" s="47"/>
      <c r="B354" s="47"/>
      <c r="C354" s="47"/>
      <c r="D354" s="47"/>
      <c r="E354" s="47"/>
      <c r="F354" s="47"/>
      <c r="G354" s="47"/>
      <c r="H354" s="47"/>
      <c r="I354" s="47"/>
      <c r="J354" s="47"/>
      <c r="K354" s="47"/>
      <c r="L354" s="47"/>
      <c r="X354" s="47"/>
    </row>
    <row r="355" spans="1:24" x14ac:dyDescent="0.2">
      <c r="A355" s="47"/>
      <c r="B355" s="47"/>
      <c r="C355" s="47"/>
      <c r="D355" s="47"/>
      <c r="E355" s="47"/>
      <c r="F355" s="47"/>
      <c r="G355" s="47"/>
      <c r="H355" s="47"/>
      <c r="I355" s="47"/>
      <c r="J355" s="47"/>
      <c r="K355" s="47"/>
      <c r="L355" s="47"/>
      <c r="X355" s="47"/>
    </row>
    <row r="356" spans="1:24" x14ac:dyDescent="0.2">
      <c r="A356" s="47"/>
      <c r="B356" s="47"/>
      <c r="C356" s="47"/>
      <c r="D356" s="47"/>
      <c r="E356" s="47"/>
      <c r="F356" s="47"/>
      <c r="G356" s="47"/>
      <c r="H356" s="47"/>
      <c r="I356" s="47"/>
      <c r="J356" s="47"/>
      <c r="K356" s="47"/>
      <c r="L356" s="47"/>
      <c r="X356" s="47"/>
    </row>
  </sheetData>
  <dataValidations disablePrompts="1" count="1">
    <dataValidation type="list" allowBlank="1" showInputMessage="1" showErrorMessage="1" sqref="E5:Y5">
      <formula1>index_ahu</formula1>
    </dataValidation>
  </dataValidations>
  <pageMargins left="0.75" right="0.75" top="1" bottom="1" header="0.4921259845" footer="0.4921259845"/>
  <pageSetup paperSize="8" orientation="landscape" horizontalDpi="4294967292" verticalDpi="300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145" r:id="rId4" name="Button 1">
              <controlPr defaultSize="0" print="0" autoFill="0" autoPict="0" macro="[0]!Template_Show">
                <anchor moveWithCells="1" sizeWithCells="1">
                  <from>
                    <xdr:col>11</xdr:col>
                    <xdr:colOff>447675</xdr:colOff>
                    <xdr:row>0</xdr:row>
                    <xdr:rowOff>38100</xdr:rowOff>
                  </from>
                  <to>
                    <xdr:col>13</xdr:col>
                    <xdr:colOff>323850</xdr:colOff>
                    <xdr:row>1</xdr:row>
                    <xdr:rowOff>57150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List7"/>
  <dimension ref="A1:AJ356"/>
  <sheetViews>
    <sheetView zoomScaleNormal="100" workbookViewId="0">
      <selection activeCell="N12" sqref="N12"/>
    </sheetView>
  </sheetViews>
  <sheetFormatPr defaultRowHeight="12.75" x14ac:dyDescent="0.2"/>
  <cols>
    <col min="1" max="1" width="2.42578125" style="12" customWidth="1"/>
    <col min="2" max="2" width="16.7109375" style="12" customWidth="1"/>
    <col min="3" max="3" width="3.7109375" style="12" customWidth="1"/>
    <col min="4" max="4" width="9.140625" style="12"/>
    <col min="5" max="5" width="10.140625" style="12" customWidth="1"/>
    <col min="6" max="6" width="9.42578125" style="12" customWidth="1"/>
    <col min="7" max="7" width="9" style="12" customWidth="1"/>
    <col min="8" max="8" width="7.28515625" style="12" customWidth="1"/>
    <col min="9" max="9" width="7.42578125" style="12" customWidth="1"/>
    <col min="10" max="10" width="10.7109375" style="12" customWidth="1"/>
    <col min="11" max="11" width="9.42578125" style="12" customWidth="1"/>
    <col min="12" max="12" width="7.28515625" style="12" customWidth="1"/>
    <col min="13" max="13" width="7.28515625" style="110" customWidth="1"/>
    <col min="14" max="24" width="9.85546875" style="110" customWidth="1"/>
    <col min="25" max="25" width="9.140625" style="12"/>
    <col min="26" max="26" width="11" style="61" customWidth="1"/>
    <col min="27" max="27" width="12" style="61" customWidth="1"/>
    <col min="28" max="34" width="9.140625" style="56"/>
    <col min="35" max="16384" width="9.140625" style="12"/>
  </cols>
  <sheetData>
    <row r="1" spans="1:36" ht="20.25" x14ac:dyDescent="0.3">
      <c r="A1" s="7"/>
      <c r="B1" s="8"/>
      <c r="C1" s="9" t="s">
        <v>78</v>
      </c>
      <c r="D1" s="7"/>
      <c r="E1" s="7"/>
      <c r="F1" s="7"/>
      <c r="G1" s="7"/>
      <c r="H1" s="7"/>
      <c r="I1" s="7"/>
      <c r="J1" s="10" t="s">
        <v>75</v>
      </c>
      <c r="K1" s="11">
        <v>94.5</v>
      </c>
      <c r="L1" s="7" t="s">
        <v>11</v>
      </c>
      <c r="M1" s="93"/>
      <c r="N1" s="93"/>
      <c r="O1" s="93"/>
      <c r="P1" s="93"/>
      <c r="Q1" s="93"/>
      <c r="R1" s="93"/>
      <c r="S1" s="93"/>
      <c r="T1" s="93"/>
      <c r="U1" s="93"/>
      <c r="V1" s="93"/>
      <c r="W1" s="93"/>
      <c r="X1" s="93"/>
      <c r="Y1" s="7"/>
      <c r="Z1" s="90"/>
      <c r="AA1" s="90"/>
      <c r="AB1" s="90"/>
      <c r="AC1" s="90"/>
      <c r="AD1" s="90"/>
      <c r="AE1" s="58"/>
    </row>
    <row r="2" spans="1:36" ht="12.75" customHeight="1" x14ac:dyDescent="0.2">
      <c r="A2" s="7"/>
      <c r="B2" s="13"/>
      <c r="C2" s="52" t="s">
        <v>141</v>
      </c>
      <c r="D2" s="53"/>
      <c r="E2" s="53"/>
      <c r="F2" s="54"/>
      <c r="G2" s="7"/>
      <c r="H2" s="7"/>
      <c r="I2" s="7"/>
      <c r="J2" s="14" t="s">
        <v>76</v>
      </c>
      <c r="K2" s="11">
        <v>100</v>
      </c>
      <c r="L2" s="7" t="s">
        <v>5</v>
      </c>
      <c r="M2" s="94">
        <f>K2/100</f>
        <v>1</v>
      </c>
      <c r="N2" s="93"/>
      <c r="O2" s="93"/>
      <c r="P2" s="93"/>
      <c r="Q2" s="93"/>
      <c r="R2" s="93"/>
      <c r="S2" s="93"/>
      <c r="T2" s="93"/>
      <c r="U2" s="93"/>
      <c r="V2" s="93"/>
      <c r="W2" s="93"/>
      <c r="X2" s="93"/>
      <c r="Y2" s="7"/>
      <c r="Z2" s="90"/>
      <c r="AA2" s="90"/>
      <c r="AB2" s="90"/>
      <c r="AC2" s="90"/>
      <c r="AD2" s="90"/>
      <c r="AE2" s="58"/>
    </row>
    <row r="3" spans="1:36" ht="12.75" customHeight="1" x14ac:dyDescent="0.2">
      <c r="A3" s="7"/>
      <c r="B3" s="7"/>
      <c r="C3" s="7"/>
      <c r="D3" s="7"/>
      <c r="E3" s="7"/>
      <c r="F3" s="7"/>
      <c r="G3" s="7"/>
      <c r="H3" s="7"/>
      <c r="I3" s="7"/>
      <c r="J3" s="14" t="s">
        <v>77</v>
      </c>
      <c r="K3" s="11">
        <v>3</v>
      </c>
      <c r="L3" s="15" t="s">
        <v>4</v>
      </c>
      <c r="M3" s="93"/>
      <c r="N3" s="93"/>
      <c r="O3" s="93"/>
      <c r="P3" s="93"/>
      <c r="Q3" s="93"/>
      <c r="R3" s="93"/>
      <c r="S3" s="93"/>
      <c r="T3" s="93"/>
      <c r="U3" s="93"/>
      <c r="V3" s="93"/>
      <c r="W3" s="93"/>
      <c r="X3" s="93"/>
      <c r="Y3" s="7"/>
      <c r="Z3" s="90" t="s">
        <v>118</v>
      </c>
      <c r="AA3" s="90">
        <f>IF(Tchladice&lt;-50,#N/A,IF(Tchladice&lt;0,EXP((1738.4+28.74*Tchladice)/(271+Tchladice)),IF(Tchladice&lt;=100,EXP((1500.3+23.5*Tchladice)/(234+Tchladice)),#N/A)))</f>
        <v>755.8538982845879</v>
      </c>
      <c r="AB3" s="90"/>
      <c r="AC3" s="90"/>
      <c r="AD3" s="90"/>
      <c r="AE3" s="58"/>
    </row>
    <row r="4" spans="1:36" ht="12.75" customHeight="1" x14ac:dyDescent="0.2">
      <c r="A4" s="7"/>
      <c r="B4" s="16" t="s">
        <v>69</v>
      </c>
      <c r="C4" s="7"/>
      <c r="D4" s="7"/>
      <c r="E4" s="17">
        <v>1</v>
      </c>
      <c r="F4" s="17">
        <v>2</v>
      </c>
      <c r="G4" s="17">
        <v>3</v>
      </c>
      <c r="H4" s="17">
        <v>4</v>
      </c>
      <c r="I4" s="17">
        <v>5</v>
      </c>
      <c r="J4" s="17">
        <v>6</v>
      </c>
      <c r="K4" s="17">
        <v>7</v>
      </c>
      <c r="L4" s="17">
        <v>8</v>
      </c>
      <c r="M4" s="17">
        <v>9</v>
      </c>
      <c r="N4" s="17">
        <v>10</v>
      </c>
      <c r="O4" s="17">
        <v>11</v>
      </c>
      <c r="P4" s="17">
        <v>12</v>
      </c>
      <c r="Q4" s="17">
        <v>13</v>
      </c>
      <c r="R4" s="17">
        <v>14</v>
      </c>
      <c r="S4" s="17">
        <v>15</v>
      </c>
      <c r="T4" s="17">
        <v>16</v>
      </c>
      <c r="U4" s="17">
        <v>17</v>
      </c>
      <c r="V4" s="17">
        <v>18</v>
      </c>
      <c r="W4" s="17">
        <v>19</v>
      </c>
      <c r="X4" s="17">
        <v>20</v>
      </c>
      <c r="Y4" s="7"/>
      <c r="Z4" s="90" t="s">
        <v>119</v>
      </c>
      <c r="AA4" s="90">
        <f>0.6222*AA3/(Tlak_vzduchu-AA3/1000)</f>
        <v>5.0167644068397435</v>
      </c>
      <c r="AB4" s="90"/>
      <c r="AC4" s="91"/>
      <c r="AD4" s="91"/>
      <c r="AE4"/>
      <c r="AF4"/>
      <c r="AG4"/>
      <c r="AH4"/>
      <c r="AI4"/>
      <c r="AJ4"/>
    </row>
    <row r="5" spans="1:36" ht="12.75" customHeight="1" x14ac:dyDescent="0.2">
      <c r="A5" s="7"/>
      <c r="B5" s="15" t="s">
        <v>61</v>
      </c>
      <c r="C5" s="7" t="s">
        <v>149</v>
      </c>
      <c r="D5" s="7" t="s">
        <v>150</v>
      </c>
      <c r="E5" s="92" t="s">
        <v>167</v>
      </c>
      <c r="F5" s="92" t="s">
        <v>160</v>
      </c>
      <c r="G5" s="92" t="s">
        <v>161</v>
      </c>
      <c r="H5" s="92" t="s">
        <v>164</v>
      </c>
      <c r="I5" s="92" t="s">
        <v>165</v>
      </c>
      <c r="J5" s="92" t="s">
        <v>166</v>
      </c>
      <c r="K5" s="92" t="s">
        <v>152</v>
      </c>
      <c r="L5" s="92" t="s">
        <v>153</v>
      </c>
      <c r="M5" s="92" t="s">
        <v>195</v>
      </c>
      <c r="N5" s="92" t="s">
        <v>172</v>
      </c>
      <c r="O5" s="92" t="s">
        <v>170</v>
      </c>
      <c r="P5" s="92" t="s">
        <v>170</v>
      </c>
      <c r="Q5" s="92"/>
      <c r="R5" s="92"/>
      <c r="S5" s="92"/>
      <c r="T5" s="92"/>
      <c r="U5" s="92"/>
      <c r="V5" s="92"/>
      <c r="W5" s="92"/>
      <c r="X5" s="92"/>
      <c r="Y5" s="7"/>
      <c r="Z5" s="90"/>
      <c r="AA5" s="90"/>
      <c r="AB5" s="90"/>
      <c r="AC5" s="91"/>
      <c r="AD5" s="91"/>
      <c r="AE5"/>
      <c r="AF5"/>
      <c r="AG5"/>
      <c r="AH5"/>
      <c r="AI5"/>
      <c r="AJ5"/>
    </row>
    <row r="6" spans="1:36" x14ac:dyDescent="0.2">
      <c r="A6" s="7"/>
      <c r="B6" s="7" t="s">
        <v>62</v>
      </c>
      <c r="C6" s="18" t="s">
        <v>0</v>
      </c>
      <c r="D6" s="19" t="s">
        <v>4</v>
      </c>
      <c r="E6" s="2">
        <v>-25</v>
      </c>
      <c r="F6" s="2">
        <v>-25</v>
      </c>
      <c r="G6" s="2">
        <v>-25</v>
      </c>
      <c r="H6" s="2">
        <v>-25</v>
      </c>
      <c r="I6" s="2">
        <v>20</v>
      </c>
      <c r="J6" s="2"/>
      <c r="K6" s="122">
        <f>J16</f>
        <v>4.277020603210544</v>
      </c>
      <c r="L6" s="122">
        <v>8</v>
      </c>
      <c r="M6" s="122">
        <f>L16</f>
        <v>8</v>
      </c>
      <c r="N6" s="122">
        <f t="shared" ref="N6:P6" si="0">M16</f>
        <v>8</v>
      </c>
      <c r="O6" s="122">
        <f t="shared" si="0"/>
        <v>8</v>
      </c>
      <c r="P6" s="122">
        <f t="shared" si="0"/>
        <v>8</v>
      </c>
      <c r="Q6" s="123"/>
      <c r="R6" s="2"/>
      <c r="S6" s="122"/>
      <c r="T6" s="122"/>
      <c r="U6" s="2"/>
      <c r="V6" s="96"/>
      <c r="W6" s="96"/>
      <c r="X6" s="96"/>
      <c r="Y6" s="7"/>
      <c r="Z6" s="90"/>
      <c r="AA6" s="90">
        <f>1.01*Tchladice+(2501+1.86*Tchladice)*AA4/1000</f>
        <v>15.604921326896363</v>
      </c>
      <c r="AB6" s="90"/>
      <c r="AC6" s="90"/>
      <c r="AD6" s="90"/>
      <c r="AE6" s="58"/>
    </row>
    <row r="7" spans="1:36" x14ac:dyDescent="0.2">
      <c r="A7" s="7"/>
      <c r="B7" s="7" t="s">
        <v>63</v>
      </c>
      <c r="C7" s="20" t="s">
        <v>1</v>
      </c>
      <c r="D7" s="19" t="s">
        <v>5</v>
      </c>
      <c r="E7" s="2">
        <v>20</v>
      </c>
      <c r="F7" s="2">
        <v>20</v>
      </c>
      <c r="G7" s="2">
        <v>20</v>
      </c>
      <c r="H7" s="2">
        <v>20</v>
      </c>
      <c r="I7" s="2">
        <v>60</v>
      </c>
      <c r="J7" s="2"/>
      <c r="K7" s="55">
        <f>J17</f>
        <v>1</v>
      </c>
      <c r="L7" s="55"/>
      <c r="M7" s="55">
        <f>L17</f>
        <v>7.7246107631210341E-3</v>
      </c>
      <c r="N7" s="55">
        <f t="shared" ref="N7:P7" si="1">M17</f>
        <v>7.7246107631210312E-5</v>
      </c>
      <c r="O7" s="55">
        <f t="shared" si="1"/>
        <v>7.7246107631210312E-7</v>
      </c>
      <c r="P7" s="55">
        <f t="shared" si="1"/>
        <v>7.7246107631210306E-9</v>
      </c>
      <c r="Q7" s="97"/>
      <c r="R7" s="2"/>
      <c r="S7" s="55"/>
      <c r="T7" s="55"/>
      <c r="U7" s="2"/>
      <c r="V7" s="96"/>
      <c r="W7" s="96"/>
      <c r="X7" s="96"/>
      <c r="Y7" s="7"/>
      <c r="Z7" s="90"/>
      <c r="AA7" s="90"/>
      <c r="AB7" s="90"/>
      <c r="AC7" s="90"/>
      <c r="AD7" s="90"/>
      <c r="AE7" s="58"/>
    </row>
    <row r="8" spans="1:36" x14ac:dyDescent="0.2">
      <c r="A8" s="7"/>
      <c r="B8" s="7" t="s">
        <v>67</v>
      </c>
      <c r="C8" s="18" t="s">
        <v>2</v>
      </c>
      <c r="D8" s="19" t="s">
        <v>6</v>
      </c>
      <c r="E8" s="2"/>
      <c r="F8" s="2"/>
      <c r="G8" s="2"/>
      <c r="H8" s="2"/>
      <c r="I8" s="2"/>
      <c r="J8" s="2"/>
      <c r="K8" s="2"/>
      <c r="L8" s="2"/>
      <c r="M8" s="2"/>
      <c r="N8" s="2"/>
      <c r="O8" s="2"/>
      <c r="P8" s="2"/>
      <c r="Q8" s="96"/>
      <c r="R8" s="2"/>
      <c r="S8" s="2"/>
      <c r="T8" s="2"/>
      <c r="U8" s="2"/>
      <c r="V8" s="96"/>
      <c r="W8" s="96"/>
      <c r="X8" s="96"/>
      <c r="Y8" s="7"/>
      <c r="Z8" s="90"/>
      <c r="AA8" s="90"/>
      <c r="AB8" s="90"/>
      <c r="AC8" s="90"/>
      <c r="AD8" s="90"/>
      <c r="AE8" s="58"/>
    </row>
    <row r="9" spans="1:36" ht="13.5" thickBot="1" x14ac:dyDescent="0.25">
      <c r="A9" s="7"/>
      <c r="B9" s="7" t="s">
        <v>65</v>
      </c>
      <c r="C9" s="18" t="s">
        <v>3</v>
      </c>
      <c r="D9" s="19" t="s">
        <v>7</v>
      </c>
      <c r="E9" s="3"/>
      <c r="F9" s="3"/>
      <c r="G9" s="3"/>
      <c r="H9" s="3"/>
      <c r="I9" s="3"/>
      <c r="J9" s="3"/>
      <c r="K9" s="3"/>
      <c r="L9" s="49"/>
      <c r="M9" s="49"/>
      <c r="N9" s="49"/>
      <c r="O9" s="49"/>
      <c r="P9" s="49"/>
      <c r="Q9" s="98"/>
      <c r="R9" s="49"/>
      <c r="S9" s="49"/>
      <c r="T9" s="49"/>
      <c r="U9" s="49"/>
      <c r="V9" s="98"/>
      <c r="W9" s="98"/>
      <c r="X9" s="98"/>
      <c r="Y9" s="7"/>
      <c r="Z9" s="90"/>
      <c r="AA9" s="90"/>
      <c r="AB9" s="90"/>
      <c r="AC9" s="90"/>
      <c r="AD9" s="90"/>
      <c r="AE9" s="58"/>
    </row>
    <row r="10" spans="1:36" ht="13.5" thickTop="1" x14ac:dyDescent="0.2">
      <c r="A10" s="7"/>
      <c r="B10" s="7" t="s">
        <v>68</v>
      </c>
      <c r="C10" s="22" t="s">
        <v>60</v>
      </c>
      <c r="D10" s="19"/>
      <c r="E10" s="4"/>
      <c r="F10" s="4"/>
      <c r="G10" s="4"/>
      <c r="H10" s="4"/>
      <c r="I10" s="4"/>
      <c r="J10" s="4" t="s">
        <v>142</v>
      </c>
      <c r="K10" s="4"/>
      <c r="L10" s="4" t="s">
        <v>53</v>
      </c>
      <c r="M10" s="4"/>
      <c r="N10" s="4"/>
      <c r="O10" s="4"/>
      <c r="P10" s="4"/>
      <c r="Q10" s="99"/>
      <c r="R10" s="4"/>
      <c r="S10" s="4"/>
      <c r="T10" s="4"/>
      <c r="U10" s="4"/>
      <c r="V10" s="99"/>
      <c r="W10" s="99"/>
      <c r="X10" s="99"/>
      <c r="Y10" s="7"/>
      <c r="Z10" s="90"/>
      <c r="AA10" s="90"/>
      <c r="AB10" s="90"/>
      <c r="AC10" s="90"/>
      <c r="AD10" s="90"/>
      <c r="AE10" s="58"/>
    </row>
    <row r="11" spans="1:36" x14ac:dyDescent="0.2">
      <c r="A11" s="7"/>
      <c r="B11" s="7" t="s">
        <v>64</v>
      </c>
      <c r="C11" s="16" t="s">
        <v>21</v>
      </c>
      <c r="D11" s="19" t="s">
        <v>22</v>
      </c>
      <c r="E11" s="6">
        <v>6000</v>
      </c>
      <c r="F11" s="6">
        <v>6000</v>
      </c>
      <c r="G11" s="6">
        <v>6000</v>
      </c>
      <c r="H11" s="6">
        <v>6000</v>
      </c>
      <c r="I11" s="6">
        <v>10000</v>
      </c>
      <c r="J11" s="6"/>
      <c r="K11" s="6">
        <f>H11+I11</f>
        <v>16000</v>
      </c>
      <c r="L11" s="6"/>
      <c r="M11" s="6">
        <f>K11</f>
        <v>16000</v>
      </c>
      <c r="N11" s="6">
        <f>M11</f>
        <v>16000</v>
      </c>
      <c r="O11" s="6">
        <f t="shared" ref="N11:P11" si="2">M11</f>
        <v>16000</v>
      </c>
      <c r="P11" s="6">
        <f t="shared" si="2"/>
        <v>16000</v>
      </c>
      <c r="Q11" s="100"/>
      <c r="R11" s="100"/>
      <c r="S11" s="6"/>
      <c r="T11" s="6"/>
      <c r="U11" s="6"/>
      <c r="V11" s="100"/>
      <c r="W11" s="100"/>
      <c r="X11" s="100"/>
      <c r="Y11" s="7"/>
      <c r="Z11" s="90"/>
      <c r="AA11" s="90"/>
      <c r="AB11" s="90"/>
      <c r="AC11" s="90"/>
      <c r="AD11" s="90"/>
      <c r="AE11" s="58"/>
    </row>
    <row r="12" spans="1:36" x14ac:dyDescent="0.2">
      <c r="A12" s="7"/>
      <c r="B12" s="7"/>
      <c r="C12" s="7"/>
      <c r="D12" s="19" t="s">
        <v>23</v>
      </c>
      <c r="E12" s="2"/>
      <c r="F12" s="2"/>
      <c r="G12" s="2"/>
      <c r="H12" s="2"/>
      <c r="I12" s="2"/>
      <c r="J12" s="2"/>
      <c r="K12" s="2"/>
      <c r="L12" s="2"/>
      <c r="M12" s="96"/>
      <c r="N12" s="96"/>
      <c r="O12" s="96"/>
      <c r="P12" s="96"/>
      <c r="Q12" s="96"/>
      <c r="R12" s="2"/>
      <c r="S12" s="2"/>
      <c r="T12" s="2"/>
      <c r="U12" s="2"/>
      <c r="V12" s="96"/>
      <c r="W12" s="96"/>
      <c r="X12" s="96"/>
      <c r="Y12" s="7"/>
      <c r="Z12" s="90"/>
      <c r="AA12" s="90"/>
      <c r="AB12" s="90"/>
      <c r="AC12" s="90"/>
      <c r="AD12" s="90"/>
      <c r="AE12" s="58"/>
    </row>
    <row r="13" spans="1:36" x14ac:dyDescent="0.2">
      <c r="A13" s="7"/>
      <c r="B13" s="7" t="s">
        <v>66</v>
      </c>
      <c r="C13" s="16" t="s">
        <v>27</v>
      </c>
      <c r="D13" s="19" t="s">
        <v>28</v>
      </c>
      <c r="E13" s="2"/>
      <c r="F13" s="2"/>
      <c r="G13" s="2"/>
      <c r="H13" s="2"/>
      <c r="I13" s="2"/>
      <c r="J13" s="2"/>
      <c r="K13" s="2"/>
      <c r="L13" s="2"/>
      <c r="M13" s="96"/>
      <c r="N13" s="96"/>
      <c r="O13" s="96"/>
      <c r="P13" s="96"/>
      <c r="Q13" s="96"/>
      <c r="R13" s="2"/>
      <c r="S13" s="2"/>
      <c r="T13" s="2"/>
      <c r="U13" s="2"/>
      <c r="V13" s="96"/>
      <c r="W13" s="96"/>
      <c r="X13" s="96"/>
      <c r="Y13" s="7"/>
      <c r="Z13" s="90"/>
      <c r="AA13" s="90"/>
      <c r="AB13" s="90"/>
      <c r="AC13" s="90"/>
      <c r="AD13" s="90"/>
      <c r="AE13" s="58"/>
    </row>
    <row r="14" spans="1:36" x14ac:dyDescent="0.2">
      <c r="A14" s="7"/>
      <c r="B14" s="16"/>
      <c r="C14" s="7"/>
      <c r="D14" s="7"/>
      <c r="E14" s="23" t="str">
        <f t="shared" ref="E14:X14" si="3">IF(E96,"ERROR",IF(E97,"?",IF(E98,"-","")))</f>
        <v/>
      </c>
      <c r="F14" s="23" t="str">
        <f t="shared" si="3"/>
        <v/>
      </c>
      <c r="G14" s="23" t="str">
        <f t="shared" si="3"/>
        <v/>
      </c>
      <c r="H14" s="23"/>
      <c r="I14" s="23" t="str">
        <f t="shared" si="3"/>
        <v/>
      </c>
      <c r="J14" s="23" t="str">
        <f t="shared" si="3"/>
        <v/>
      </c>
      <c r="K14" s="23" t="str">
        <f t="shared" si="3"/>
        <v/>
      </c>
      <c r="L14" s="23" t="str">
        <f t="shared" si="3"/>
        <v/>
      </c>
      <c r="M14" s="95" t="str">
        <f t="shared" si="3"/>
        <v/>
      </c>
      <c r="N14" s="95" t="str">
        <f t="shared" si="3"/>
        <v/>
      </c>
      <c r="O14" s="95" t="str">
        <f t="shared" si="3"/>
        <v/>
      </c>
      <c r="P14" s="95" t="str">
        <f t="shared" si="3"/>
        <v/>
      </c>
      <c r="Q14" s="95" t="str">
        <f t="shared" si="3"/>
        <v>-</v>
      </c>
      <c r="R14" s="95" t="str">
        <f t="shared" si="3"/>
        <v>-</v>
      </c>
      <c r="S14" s="95" t="str">
        <f t="shared" si="3"/>
        <v>-</v>
      </c>
      <c r="T14" s="95" t="str">
        <f t="shared" si="3"/>
        <v>-</v>
      </c>
      <c r="U14" s="95" t="str">
        <f t="shared" si="3"/>
        <v>-</v>
      </c>
      <c r="V14" s="95" t="str">
        <f t="shared" si="3"/>
        <v>-</v>
      </c>
      <c r="W14" s="95" t="str">
        <f t="shared" si="3"/>
        <v>-</v>
      </c>
      <c r="X14" s="95" t="str">
        <f t="shared" si="3"/>
        <v>-</v>
      </c>
      <c r="Y14" s="7"/>
      <c r="Z14" s="90"/>
      <c r="AA14" s="90"/>
      <c r="AB14" s="90"/>
      <c r="AC14" s="90"/>
      <c r="AD14" s="90"/>
      <c r="AE14" s="58"/>
    </row>
    <row r="15" spans="1:36" ht="13.5" thickBot="1" x14ac:dyDescent="0.25">
      <c r="A15" s="7"/>
      <c r="B15" s="16" t="s">
        <v>151</v>
      </c>
      <c r="C15" s="7" t="s">
        <v>149</v>
      </c>
      <c r="D15" s="7" t="s">
        <v>150</v>
      </c>
      <c r="E15" s="21" t="str">
        <f>IF(E5&gt;0,E5,"")</f>
        <v>air_in_left</v>
      </c>
      <c r="F15" s="21" t="str">
        <f t="shared" ref="F15:X15" si="4">IF(F5&gt;0,F5,"")</f>
        <v>Filter_G4</v>
      </c>
      <c r="G15" s="21" t="str">
        <f t="shared" si="4"/>
        <v>Filter_F7</v>
      </c>
      <c r="H15" s="21" t="str">
        <f t="shared" si="4"/>
        <v>Mix_up1</v>
      </c>
      <c r="I15" s="21" t="str">
        <f t="shared" si="4"/>
        <v>Mix_up2</v>
      </c>
      <c r="J15" s="21" t="str">
        <f t="shared" si="4"/>
        <v>Mix_up_result</v>
      </c>
      <c r="K15" s="21" t="str">
        <f t="shared" si="4"/>
        <v>RE1_in</v>
      </c>
      <c r="L15" s="21" t="str">
        <f t="shared" si="4"/>
        <v>RE1_out</v>
      </c>
      <c r="M15" s="101" t="str">
        <f>IF(M5&gt;0,M5,"")</f>
        <v>fan</v>
      </c>
      <c r="N15" s="101" t="str">
        <f>IF(N5&gt;0,N5,"")</f>
        <v>silencer</v>
      </c>
      <c r="O15" s="101" t="str">
        <f>IF(O5&gt;0,O5,"")</f>
        <v>air_out_up</v>
      </c>
      <c r="P15" s="101" t="str">
        <f>IF(P5&gt;0,P5,"")</f>
        <v>air_out_up</v>
      </c>
      <c r="Q15" s="101" t="str">
        <f t="shared" si="4"/>
        <v/>
      </c>
      <c r="R15" s="101" t="str">
        <f t="shared" si="4"/>
        <v/>
      </c>
      <c r="S15" s="101"/>
      <c r="T15" s="101"/>
      <c r="U15" s="101"/>
      <c r="V15" s="101"/>
      <c r="W15" s="101" t="str">
        <f t="shared" si="4"/>
        <v/>
      </c>
      <c r="X15" s="101" t="str">
        <f t="shared" si="4"/>
        <v/>
      </c>
      <c r="Y15" s="7"/>
      <c r="AB15" s="57"/>
      <c r="AC15" s="58"/>
      <c r="AD15" s="58"/>
      <c r="AE15" s="58"/>
    </row>
    <row r="16" spans="1:36" x14ac:dyDescent="0.2">
      <c r="A16" s="7"/>
      <c r="B16" s="7" t="s">
        <v>62</v>
      </c>
      <c r="C16" s="18" t="s">
        <v>0</v>
      </c>
      <c r="D16" s="19" t="s">
        <v>4</v>
      </c>
      <c r="E16" s="24">
        <f t="shared" ref="E16:X16" si="5">IF(E14="",E151,"")</f>
        <v>-25</v>
      </c>
      <c r="F16" s="24">
        <f t="shared" si="5"/>
        <v>-25</v>
      </c>
      <c r="G16" s="24">
        <f t="shared" si="5"/>
        <v>-25</v>
      </c>
      <c r="H16" s="24">
        <f t="shared" si="5"/>
        <v>-25</v>
      </c>
      <c r="I16" s="24">
        <f t="shared" si="5"/>
        <v>20</v>
      </c>
      <c r="J16" s="24">
        <f t="shared" si="5"/>
        <v>4.277020603210544</v>
      </c>
      <c r="K16" s="24">
        <f t="shared" si="5"/>
        <v>4.277020603210544</v>
      </c>
      <c r="L16" s="24">
        <f t="shared" si="5"/>
        <v>8</v>
      </c>
      <c r="M16" s="102">
        <f t="shared" si="5"/>
        <v>8</v>
      </c>
      <c r="N16" s="103">
        <f t="shared" si="5"/>
        <v>8</v>
      </c>
      <c r="O16" s="103">
        <f t="shared" si="5"/>
        <v>8</v>
      </c>
      <c r="P16" s="103">
        <f t="shared" si="5"/>
        <v>8</v>
      </c>
      <c r="Q16" s="103" t="str">
        <f t="shared" si="5"/>
        <v/>
      </c>
      <c r="R16" s="103" t="str">
        <f t="shared" si="5"/>
        <v/>
      </c>
      <c r="S16" s="103" t="str">
        <f t="shared" si="5"/>
        <v/>
      </c>
      <c r="T16" s="103" t="str">
        <f t="shared" si="5"/>
        <v/>
      </c>
      <c r="U16" s="103" t="str">
        <f t="shared" si="5"/>
        <v/>
      </c>
      <c r="V16" s="103" t="str">
        <f t="shared" si="5"/>
        <v/>
      </c>
      <c r="W16" s="103" t="str">
        <f t="shared" si="5"/>
        <v/>
      </c>
      <c r="X16" s="103" t="str">
        <f t="shared" si="5"/>
        <v/>
      </c>
      <c r="Y16" s="7"/>
      <c r="AB16" s="57"/>
      <c r="AC16" s="58"/>
      <c r="AD16" s="58"/>
      <c r="AE16" s="58"/>
    </row>
    <row r="17" spans="1:31" x14ac:dyDescent="0.2">
      <c r="A17" s="7"/>
      <c r="B17" s="7" t="s">
        <v>94</v>
      </c>
      <c r="C17" s="20" t="s">
        <v>1</v>
      </c>
      <c r="D17" s="19" t="s">
        <v>5</v>
      </c>
      <c r="E17" s="25">
        <f t="shared" ref="E17:N17" si="6">IF(E14="",IF(E18=0,0,Tlak_vzduchu/E154*1000/(0.6222/E18*1000+1)),"")</f>
        <v>0.19999999999999998</v>
      </c>
      <c r="F17" s="25">
        <f t="shared" si="6"/>
        <v>0.19999999999999998</v>
      </c>
      <c r="G17" s="25">
        <f t="shared" si="6"/>
        <v>0.19999999999999998</v>
      </c>
      <c r="H17" s="25">
        <f t="shared" ref="H17" si="7">IF(H14="",IF(H18=0,0,Tlak_vzduchu/H154*1000/(0.6222/H18*1000+1)),"")</f>
        <v>0.19999999999999998</v>
      </c>
      <c r="I17" s="25">
        <f t="shared" si="6"/>
        <v>0.59999999999999987</v>
      </c>
      <c r="J17" s="25">
        <f t="shared" si="6"/>
        <v>1</v>
      </c>
      <c r="K17" s="25">
        <f t="shared" si="6"/>
        <v>0.01</v>
      </c>
      <c r="L17" s="25">
        <f t="shared" si="6"/>
        <v>7.7246107631210341E-3</v>
      </c>
      <c r="M17" s="104">
        <f t="shared" si="6"/>
        <v>7.7246107631210312E-5</v>
      </c>
      <c r="N17" s="104">
        <f t="shared" si="6"/>
        <v>7.7246107631210312E-7</v>
      </c>
      <c r="O17" s="104">
        <f t="shared" ref="O17:X17" si="8">IF(O14="",IF(O18=0,0,Tlak_vzduchu/O154*1000/(0.6222/O18*1000+1)),"")</f>
        <v>7.7246107631210306E-9</v>
      </c>
      <c r="P17" s="104">
        <f t="shared" si="8"/>
        <v>7.7246107631210307E-11</v>
      </c>
      <c r="Q17" s="104" t="str">
        <f t="shared" si="8"/>
        <v/>
      </c>
      <c r="R17" s="104" t="str">
        <f t="shared" si="8"/>
        <v/>
      </c>
      <c r="S17" s="104" t="str">
        <f t="shared" si="8"/>
        <v/>
      </c>
      <c r="T17" s="104" t="str">
        <f t="shared" si="8"/>
        <v/>
      </c>
      <c r="U17" s="104" t="str">
        <f t="shared" si="8"/>
        <v/>
      </c>
      <c r="V17" s="104" t="str">
        <f t="shared" si="8"/>
        <v/>
      </c>
      <c r="W17" s="104" t="str">
        <f t="shared" si="8"/>
        <v/>
      </c>
      <c r="X17" s="104" t="str">
        <f t="shared" si="8"/>
        <v/>
      </c>
      <c r="Y17" s="7"/>
      <c r="AB17" s="57"/>
      <c r="AC17" s="58"/>
      <c r="AD17" s="58"/>
      <c r="AE17" s="58"/>
    </row>
    <row r="18" spans="1:31" x14ac:dyDescent="0.2">
      <c r="A18" s="7"/>
      <c r="B18" s="7" t="s">
        <v>95</v>
      </c>
      <c r="C18" s="18" t="s">
        <v>2</v>
      </c>
      <c r="D18" s="19" t="s">
        <v>6</v>
      </c>
      <c r="E18" s="21">
        <f t="shared" ref="E18:X18" si="9">IF(E14="",E152,"")</f>
        <v>8.3203757830561539E-2</v>
      </c>
      <c r="F18" s="21">
        <f t="shared" si="9"/>
        <v>8.3203757830561539E-2</v>
      </c>
      <c r="G18" s="21">
        <f t="shared" si="9"/>
        <v>8.3203757830561539E-2</v>
      </c>
      <c r="H18" s="21">
        <f t="shared" si="9"/>
        <v>8.3203757830561539E-2</v>
      </c>
      <c r="I18" s="21">
        <f t="shared" si="9"/>
        <v>9.3757233081908904</v>
      </c>
      <c r="J18" s="21">
        <f t="shared" si="9"/>
        <v>5.4957390094007232</v>
      </c>
      <c r="K18" s="21">
        <f t="shared" si="9"/>
        <v>5.4480985171597482E-2</v>
      </c>
      <c r="L18" s="21">
        <f t="shared" si="9"/>
        <v>5.4480985171597482E-2</v>
      </c>
      <c r="M18" s="101">
        <f t="shared" si="9"/>
        <v>5.4476262829484417E-4</v>
      </c>
      <c r="N18" s="101">
        <f t="shared" si="9"/>
        <v>5.4476215610197468E-6</v>
      </c>
      <c r="O18" s="101">
        <f t="shared" si="9"/>
        <v>5.4476215138005003E-8</v>
      </c>
      <c r="P18" s="101">
        <f t="shared" si="9"/>
        <v>5.447621513328308E-10</v>
      </c>
      <c r="Q18" s="101" t="str">
        <f t="shared" si="9"/>
        <v/>
      </c>
      <c r="R18" s="101" t="str">
        <f t="shared" si="9"/>
        <v/>
      </c>
      <c r="S18" s="101" t="str">
        <f t="shared" si="9"/>
        <v/>
      </c>
      <c r="T18" s="101" t="str">
        <f t="shared" si="9"/>
        <v/>
      </c>
      <c r="U18" s="101" t="str">
        <f t="shared" si="9"/>
        <v/>
      </c>
      <c r="V18" s="101" t="str">
        <f t="shared" si="9"/>
        <v/>
      </c>
      <c r="W18" s="101" t="str">
        <f t="shared" si="9"/>
        <v/>
      </c>
      <c r="X18" s="101" t="str">
        <f t="shared" si="9"/>
        <v/>
      </c>
      <c r="Y18" s="7"/>
      <c r="AB18" s="57"/>
      <c r="AC18" s="58"/>
      <c r="AD18" s="58"/>
      <c r="AE18" s="58"/>
    </row>
    <row r="19" spans="1:31" x14ac:dyDescent="0.2">
      <c r="A19" s="7"/>
      <c r="B19" s="7" t="s">
        <v>65</v>
      </c>
      <c r="C19" s="18" t="s">
        <v>3</v>
      </c>
      <c r="D19" s="19" t="s">
        <v>7</v>
      </c>
      <c r="E19" s="21">
        <f t="shared" ref="E19:X19" si="10">IF(E14="",E155,"")</f>
        <v>-25.045776376404888</v>
      </c>
      <c r="F19" s="21">
        <f t="shared" si="10"/>
        <v>-25.045776376404888</v>
      </c>
      <c r="G19" s="21">
        <f t="shared" si="10"/>
        <v>-25.045776376404888</v>
      </c>
      <c r="H19" s="21">
        <f t="shared" si="10"/>
        <v>-25.045776376404888</v>
      </c>
      <c r="I19" s="21">
        <f t="shared" si="10"/>
        <v>43.997460900850115</v>
      </c>
      <c r="J19" s="21">
        <f t="shared" si="10"/>
        <v>18.108354095243776</v>
      </c>
      <c r="K19" s="21">
        <f t="shared" si="10"/>
        <v>4.4564811634674903</v>
      </c>
      <c r="L19" s="21">
        <f t="shared" si="10"/>
        <v>8.2170676209735181</v>
      </c>
      <c r="M19" s="101">
        <f t="shared" si="10"/>
        <v>8.0813705574012751</v>
      </c>
      <c r="N19" s="101">
        <f t="shared" si="10"/>
        <v>8.0800137055621324</v>
      </c>
      <c r="O19" s="101">
        <f t="shared" si="10"/>
        <v>8.0800001370556203</v>
      </c>
      <c r="P19" s="101">
        <f t="shared" si="10"/>
        <v>8.0800000013705571</v>
      </c>
      <c r="Q19" s="101" t="str">
        <f t="shared" si="10"/>
        <v/>
      </c>
      <c r="R19" s="101" t="str">
        <f t="shared" si="10"/>
        <v/>
      </c>
      <c r="S19" s="101" t="str">
        <f t="shared" si="10"/>
        <v/>
      </c>
      <c r="T19" s="101" t="str">
        <f t="shared" si="10"/>
        <v/>
      </c>
      <c r="U19" s="101" t="str">
        <f t="shared" si="10"/>
        <v/>
      </c>
      <c r="V19" s="101" t="str">
        <f t="shared" si="10"/>
        <v/>
      </c>
      <c r="W19" s="101" t="str">
        <f t="shared" si="10"/>
        <v/>
      </c>
      <c r="X19" s="101" t="str">
        <f t="shared" si="10"/>
        <v/>
      </c>
      <c r="Y19" s="7"/>
      <c r="AB19" s="57"/>
    </row>
    <row r="20" spans="1:31" x14ac:dyDescent="0.2">
      <c r="A20" s="7"/>
      <c r="B20" s="7" t="s">
        <v>72</v>
      </c>
      <c r="C20" s="20" t="s">
        <v>24</v>
      </c>
      <c r="D20" s="19" t="s">
        <v>26</v>
      </c>
      <c r="E20" s="26">
        <f>IF(E14="",Tlak_vzduchu*1000*(E18/1000+1)/461.39/(273.15+E16)/(E18/1000+0.6222),"")</f>
        <v>1.3264699195276246</v>
      </c>
      <c r="F20" s="26">
        <f t="shared" ref="F20:N20" si="11">IF(F14="",Tlak_vzduchu*1000*(F18/1000+1)/461.39/(273.15+F16)/(F18/1000+0.6222),"")</f>
        <v>1.3264699195276246</v>
      </c>
      <c r="G20" s="26">
        <f t="shared" si="11"/>
        <v>1.3264699195276246</v>
      </c>
      <c r="H20" s="26">
        <f t="shared" ref="H20" si="12">IF(H14="",Tlak_vzduchu*1000*(H18/1000+1)/461.39/(273.15+H16)/(H18/1000+0.6222),"")</f>
        <v>1.3264699195276246</v>
      </c>
      <c r="I20" s="26">
        <f t="shared" si="11"/>
        <v>1.1166090914094011</v>
      </c>
      <c r="J20" s="26">
        <f t="shared" si="11"/>
        <v>1.1826219273091421</v>
      </c>
      <c r="K20" s="26">
        <f t="shared" si="11"/>
        <v>1.1865075348566412</v>
      </c>
      <c r="L20" s="26">
        <f t="shared" si="11"/>
        <v>1.1707958396533451</v>
      </c>
      <c r="M20" s="105">
        <f t="shared" si="11"/>
        <v>1.1708341811978988</v>
      </c>
      <c r="N20" s="105">
        <f t="shared" si="11"/>
        <v>1.1708345646133442</v>
      </c>
      <c r="O20" s="105">
        <f t="shared" ref="O20:X20" si="13">IF(O14="",Tlak_vzduchu*1000*(O18/1000+1)/461.39/(273.15+O16)/(O18/1000+0.6222),"")</f>
        <v>1.1708345684474988</v>
      </c>
      <c r="P20" s="105">
        <f t="shared" si="13"/>
        <v>1.1708345684858401</v>
      </c>
      <c r="Q20" s="105" t="str">
        <f t="shared" si="13"/>
        <v/>
      </c>
      <c r="R20" s="105" t="str">
        <f t="shared" si="13"/>
        <v/>
      </c>
      <c r="S20" s="105" t="str">
        <f t="shared" si="13"/>
        <v/>
      </c>
      <c r="T20" s="105" t="str">
        <f t="shared" si="13"/>
        <v/>
      </c>
      <c r="U20" s="105" t="str">
        <f t="shared" si="13"/>
        <v/>
      </c>
      <c r="V20" s="105" t="str">
        <f t="shared" si="13"/>
        <v/>
      </c>
      <c r="W20" s="105" t="str">
        <f t="shared" si="13"/>
        <v/>
      </c>
      <c r="X20" s="105" t="str">
        <f t="shared" si="13"/>
        <v/>
      </c>
      <c r="Y20" s="7"/>
      <c r="AB20" s="57"/>
    </row>
    <row r="21" spans="1:31" ht="13.5" thickBot="1" x14ac:dyDescent="0.25">
      <c r="A21" s="7"/>
      <c r="B21" s="7" t="s">
        <v>71</v>
      </c>
      <c r="C21" s="18" t="s">
        <v>25</v>
      </c>
      <c r="D21" s="19" t="s">
        <v>4</v>
      </c>
      <c r="E21" s="21">
        <f t="shared" ref="E21:X21" si="14">IF(E14="",E156,"")</f>
        <v>-25.736542713815986</v>
      </c>
      <c r="F21" s="21">
        <f t="shared" si="14"/>
        <v>-25.736542701112796</v>
      </c>
      <c r="G21" s="21">
        <f t="shared" si="14"/>
        <v>-25.736542710631916</v>
      </c>
      <c r="H21" s="21">
        <f t="shared" si="14"/>
        <v>-25.736542713815986</v>
      </c>
      <c r="I21" s="21">
        <f t="shared" si="14"/>
        <v>14.98170477717769</v>
      </c>
      <c r="J21" s="21">
        <f t="shared" si="14"/>
        <v>4.2780735733811968</v>
      </c>
      <c r="K21" s="21">
        <f t="shared" si="14"/>
        <v>-3.2203557258118334</v>
      </c>
      <c r="L21" s="21">
        <f t="shared" si="14"/>
        <v>-1.0456313338131826</v>
      </c>
      <c r="M21" s="101">
        <f t="shared" si="14"/>
        <v>-1.1213948926006025</v>
      </c>
      <c r="N21" s="101">
        <f t="shared" si="14"/>
        <v>-1.1221538660407957</v>
      </c>
      <c r="O21" s="101">
        <f t="shared" si="14"/>
        <v>-2.6495095945477067</v>
      </c>
      <c r="P21" s="101">
        <f t="shared" si="14"/>
        <v>-2.6495095945477067</v>
      </c>
      <c r="Q21" s="101" t="str">
        <f t="shared" si="14"/>
        <v/>
      </c>
      <c r="R21" s="101" t="str">
        <f t="shared" si="14"/>
        <v/>
      </c>
      <c r="S21" s="101" t="str">
        <f t="shared" si="14"/>
        <v/>
      </c>
      <c r="T21" s="101" t="str">
        <f t="shared" si="14"/>
        <v/>
      </c>
      <c r="U21" s="101" t="str">
        <f t="shared" si="14"/>
        <v/>
      </c>
      <c r="V21" s="101" t="str">
        <f t="shared" si="14"/>
        <v/>
      </c>
      <c r="W21" s="101" t="str">
        <f t="shared" si="14"/>
        <v/>
      </c>
      <c r="X21" s="101" t="str">
        <f t="shared" si="14"/>
        <v/>
      </c>
      <c r="Y21" s="7"/>
      <c r="AB21" s="57"/>
    </row>
    <row r="22" spans="1:31" ht="13.5" thickTop="1" x14ac:dyDescent="0.2">
      <c r="A22" s="7"/>
      <c r="B22" s="7" t="s">
        <v>64</v>
      </c>
      <c r="C22" s="16" t="s">
        <v>57</v>
      </c>
      <c r="D22" s="19" t="s">
        <v>22</v>
      </c>
      <c r="E22" s="27">
        <f>IF(E14="",E35*3600/E20*(1+E18/1000),"")</f>
        <v>5428.3922771657117</v>
      </c>
      <c r="F22" s="27">
        <f t="shared" ref="F22:X22" si="15">IF(F14="",F35*3600/F20*(1+F18/1000),"")</f>
        <v>5428.3922771657117</v>
      </c>
      <c r="G22" s="27">
        <f t="shared" si="15"/>
        <v>5428.3922771657117</v>
      </c>
      <c r="H22" s="27">
        <f t="shared" si="15"/>
        <v>5428.3922771657117</v>
      </c>
      <c r="I22" s="27">
        <f t="shared" si="15"/>
        <v>10847.58199882619</v>
      </c>
      <c r="J22" s="27">
        <f t="shared" si="15"/>
        <v>16324.336411474264</v>
      </c>
      <c r="K22" s="27">
        <f t="shared" si="15"/>
        <v>16182.826885490658</v>
      </c>
      <c r="L22" s="27">
        <f t="shared" si="15"/>
        <v>16399.995101281223</v>
      </c>
      <c r="M22" s="106">
        <f t="shared" si="15"/>
        <v>16398.573570681576</v>
      </c>
      <c r="N22" s="106">
        <f t="shared" si="15"/>
        <v>16398.559356620059</v>
      </c>
      <c r="O22" s="106">
        <f t="shared" si="15"/>
        <v>16398.55921447957</v>
      </c>
      <c r="P22" s="106">
        <f t="shared" si="15"/>
        <v>16398.559213058168</v>
      </c>
      <c r="Q22" s="106" t="str">
        <f t="shared" si="15"/>
        <v/>
      </c>
      <c r="R22" s="106" t="str">
        <f t="shared" si="15"/>
        <v/>
      </c>
      <c r="S22" s="106" t="str">
        <f t="shared" si="15"/>
        <v/>
      </c>
      <c r="T22" s="106" t="str">
        <f t="shared" si="15"/>
        <v/>
      </c>
      <c r="U22" s="106" t="str">
        <f t="shared" si="15"/>
        <v/>
      </c>
      <c r="V22" s="106" t="str">
        <f t="shared" si="15"/>
        <v/>
      </c>
      <c r="W22" s="106" t="str">
        <f t="shared" si="15"/>
        <v/>
      </c>
      <c r="X22" s="106" t="str">
        <f t="shared" si="15"/>
        <v/>
      </c>
      <c r="Y22" s="7"/>
      <c r="AB22" s="57"/>
    </row>
    <row r="23" spans="1:31" x14ac:dyDescent="0.2">
      <c r="A23" s="7"/>
      <c r="B23" s="7" t="s">
        <v>73</v>
      </c>
      <c r="C23" s="16" t="s">
        <v>56</v>
      </c>
      <c r="D23" s="19" t="s">
        <v>22</v>
      </c>
      <c r="E23" s="28">
        <f>IF(E14="",E35*3600/1.2,"")</f>
        <v>6000</v>
      </c>
      <c r="F23" s="28">
        <f t="shared" ref="F23:X23" si="16">IF(F14="",F35*3600/1.2,"")</f>
        <v>6000</v>
      </c>
      <c r="G23" s="28">
        <f t="shared" si="16"/>
        <v>6000</v>
      </c>
      <c r="H23" s="28">
        <f t="shared" si="16"/>
        <v>6000</v>
      </c>
      <c r="I23" s="28">
        <f t="shared" si="16"/>
        <v>9999.9999999999982</v>
      </c>
      <c r="J23" s="28">
        <f t="shared" si="16"/>
        <v>16000</v>
      </c>
      <c r="K23" s="28">
        <f t="shared" si="16"/>
        <v>16000</v>
      </c>
      <c r="L23" s="28">
        <f t="shared" si="16"/>
        <v>16000</v>
      </c>
      <c r="M23" s="107">
        <f t="shared" si="16"/>
        <v>16000</v>
      </c>
      <c r="N23" s="108">
        <f t="shared" si="16"/>
        <v>16000</v>
      </c>
      <c r="O23" s="108">
        <f t="shared" si="16"/>
        <v>16000</v>
      </c>
      <c r="P23" s="108">
        <f t="shared" si="16"/>
        <v>16000</v>
      </c>
      <c r="Q23" s="108" t="str">
        <f t="shared" si="16"/>
        <v/>
      </c>
      <c r="R23" s="108" t="str">
        <f t="shared" si="16"/>
        <v/>
      </c>
      <c r="S23" s="108" t="str">
        <f t="shared" si="16"/>
        <v/>
      </c>
      <c r="T23" s="108" t="str">
        <f t="shared" si="16"/>
        <v/>
      </c>
      <c r="U23" s="108" t="str">
        <f t="shared" si="16"/>
        <v/>
      </c>
      <c r="V23" s="108" t="str">
        <f t="shared" si="16"/>
        <v/>
      </c>
      <c r="W23" s="108" t="str">
        <f t="shared" si="16"/>
        <v/>
      </c>
      <c r="X23" s="108" t="str">
        <f t="shared" si="16"/>
        <v/>
      </c>
      <c r="Y23" s="7"/>
      <c r="AB23" s="57"/>
    </row>
    <row r="24" spans="1:31" x14ac:dyDescent="0.2">
      <c r="A24" s="7"/>
      <c r="B24" s="7" t="s">
        <v>66</v>
      </c>
      <c r="C24" s="16" t="s">
        <v>27</v>
      </c>
      <c r="D24" s="19" t="s">
        <v>28</v>
      </c>
      <c r="E24" s="29" t="str">
        <f>IF(AND(E14="",E28&lt;&gt;5,E28&lt;&gt;0),E35*(E19-D19),"")</f>
        <v/>
      </c>
      <c r="F24" s="29" t="str">
        <f>IF(AND(F14="",F28&lt;&gt;5,F28&lt;&gt;0),F35*(F19-E19),"")</f>
        <v/>
      </c>
      <c r="G24" s="29" t="str">
        <f t="shared" ref="G24:X24" si="17">IF(AND(G14="",G28&lt;&gt;5,G28&lt;&gt;0),G35*(G19-F19),"")</f>
        <v/>
      </c>
      <c r="H24" s="29" t="str">
        <f t="shared" si="17"/>
        <v/>
      </c>
      <c r="I24" s="29" t="str">
        <f t="shared" si="17"/>
        <v/>
      </c>
      <c r="J24" s="29" t="str">
        <f t="shared" si="17"/>
        <v/>
      </c>
      <c r="K24" s="29" t="str">
        <f t="shared" si="17"/>
        <v/>
      </c>
      <c r="L24" s="29">
        <f t="shared" si="17"/>
        <v>20.056461106698812</v>
      </c>
      <c r="M24" s="29" t="str">
        <f t="shared" si="17"/>
        <v/>
      </c>
      <c r="N24" s="29" t="str">
        <f t="shared" si="17"/>
        <v/>
      </c>
      <c r="O24" s="29" t="str">
        <f>IF(AND(O14="",O28&lt;&gt;5,O28&lt;&gt;0),O35*(O19-N19),"")</f>
        <v/>
      </c>
      <c r="P24" s="29" t="str">
        <f t="shared" si="17"/>
        <v/>
      </c>
      <c r="Q24" s="29" t="str">
        <f t="shared" si="17"/>
        <v/>
      </c>
      <c r="R24" s="29" t="str">
        <f t="shared" si="17"/>
        <v/>
      </c>
      <c r="S24" s="29" t="str">
        <f t="shared" si="17"/>
        <v/>
      </c>
      <c r="T24" s="29" t="str">
        <f t="shared" si="17"/>
        <v/>
      </c>
      <c r="U24" s="29" t="str">
        <f t="shared" si="17"/>
        <v/>
      </c>
      <c r="V24" s="29" t="str">
        <f t="shared" si="17"/>
        <v/>
      </c>
      <c r="W24" s="29" t="str">
        <f t="shared" si="17"/>
        <v/>
      </c>
      <c r="X24" s="29" t="str">
        <f t="shared" si="17"/>
        <v/>
      </c>
      <c r="Y24" s="7"/>
      <c r="AB24" s="57"/>
    </row>
    <row r="25" spans="1:31" x14ac:dyDescent="0.2">
      <c r="A25" s="7"/>
      <c r="B25" s="7" t="s">
        <v>74</v>
      </c>
      <c r="C25" s="16" t="s">
        <v>29</v>
      </c>
      <c r="D25" s="19" t="s">
        <v>30</v>
      </c>
      <c r="E25" s="29" t="str">
        <f>IF(AND(E14="",E28&lt;&gt;0),IF(E28&lt;&gt;5,E35*(E18-D18)*3.6,(E35*E18-D35*D18-C35*C18)*3.6),"")</f>
        <v/>
      </c>
      <c r="F25" s="29" t="str">
        <f t="shared" ref="F25:X25" si="18">IF(AND(F14="",F28&lt;&gt;0),IF(F28&lt;&gt;5,F35*(F18-E18)*3.6,(F35*F18-E35*E18-D35*D18)*3.6),"")</f>
        <v/>
      </c>
      <c r="G25" s="29" t="str">
        <f t="shared" si="18"/>
        <v/>
      </c>
      <c r="H25" s="29" t="str">
        <f t="shared" si="18"/>
        <v/>
      </c>
      <c r="I25" s="29" t="str">
        <f t="shared" si="18"/>
        <v/>
      </c>
      <c r="J25" s="29">
        <f t="shared" si="18"/>
        <v>-7.589557774176833</v>
      </c>
      <c r="K25" s="29" t="str">
        <f t="shared" si="18"/>
        <v/>
      </c>
      <c r="L25" s="29">
        <f t="shared" si="18"/>
        <v>0</v>
      </c>
      <c r="M25" s="109" t="str">
        <f t="shared" si="18"/>
        <v/>
      </c>
      <c r="N25" s="101" t="str">
        <f t="shared" si="18"/>
        <v/>
      </c>
      <c r="O25" s="101" t="str">
        <f>IF(AND(O14="",O28&lt;&gt;0),IF(O28&lt;&gt;5,O35*(O18-N18)*3.6,(O35*O18-N35*N18-M35*M18)*3.6),"")</f>
        <v/>
      </c>
      <c r="P25" s="101" t="str">
        <f>IF(AND(P14="",P28&lt;&gt;0),IF(P28&lt;&gt;5,P35*(P18-O18)*3.6,(P35*P18-O35*O18-N35*N18)*3.6),"")</f>
        <v/>
      </c>
      <c r="Q25" s="101" t="str">
        <f t="shared" si="18"/>
        <v/>
      </c>
      <c r="R25" s="101" t="str">
        <f t="shared" si="18"/>
        <v/>
      </c>
      <c r="S25" s="101" t="str">
        <f t="shared" si="18"/>
        <v/>
      </c>
      <c r="T25" s="101" t="str">
        <f t="shared" si="18"/>
        <v/>
      </c>
      <c r="U25" s="101" t="str">
        <f t="shared" si="18"/>
        <v/>
      </c>
      <c r="V25" s="101" t="str">
        <f t="shared" si="18"/>
        <v/>
      </c>
      <c r="W25" s="101" t="str">
        <f t="shared" si="18"/>
        <v/>
      </c>
      <c r="X25" s="101" t="str">
        <f t="shared" si="18"/>
        <v/>
      </c>
      <c r="Y25" s="7"/>
      <c r="AB25" s="57"/>
    </row>
    <row r="26" spans="1:31" x14ac:dyDescent="0.2">
      <c r="A26" s="7"/>
      <c r="B26" s="7"/>
      <c r="C26" s="7"/>
      <c r="D26" s="7"/>
      <c r="E26" s="7"/>
      <c r="F26" s="7"/>
      <c r="G26" s="7"/>
      <c r="H26" s="7"/>
      <c r="I26" s="7"/>
      <c r="J26" s="7"/>
      <c r="K26" s="7"/>
      <c r="L26" s="7"/>
      <c r="M26" s="93"/>
      <c r="N26" s="93"/>
      <c r="O26" s="93"/>
      <c r="P26" s="93"/>
      <c r="Q26" s="93"/>
      <c r="R26" s="93"/>
      <c r="S26" s="93"/>
      <c r="T26" s="93"/>
      <c r="U26" s="93"/>
      <c r="V26" s="93"/>
      <c r="W26" s="93"/>
      <c r="X26" s="93"/>
      <c r="Y26" s="7"/>
      <c r="AB26" s="57"/>
    </row>
    <row r="27" spans="1:31" s="59" customFormat="1" x14ac:dyDescent="0.2">
      <c r="B27" s="65" t="s">
        <v>89</v>
      </c>
      <c r="Z27" s="61"/>
      <c r="AA27" s="61"/>
      <c r="AB27" s="61"/>
    </row>
    <row r="28" spans="1:31" s="59" customFormat="1" x14ac:dyDescent="0.2">
      <c r="B28" s="60" t="s">
        <v>103</v>
      </c>
      <c r="C28" s="59" t="s">
        <v>44</v>
      </c>
      <c r="E28" s="59">
        <f>IF(OR(E10="-",E10=""),0,IF(OR(E10="o",E10="O"),1,IF(OR(E10="c",E10="C"),2,IF(OR(E10="a",E10="A"),3,IF(OR(E10="p",E10="P"),4,IF(OR(E10="s",E10="S"),5,IF(OR(E10="x",E10="X"),6,10)))))))</f>
        <v>0</v>
      </c>
      <c r="F28" s="59">
        <f t="shared" ref="F28:X28" si="19">IF(OR(F10="-",F10=""),0,IF(OR(F10="o",F10="O"),1,IF(OR(F10="c",F10="C"),2,IF(OR(F10="a",F10="A"),3,IF(OR(F10="p",F10="P"),4,IF(OR(F10="s",F10="S"),5,IF(OR(F10="x",F10="X"),6,10)))))))</f>
        <v>0</v>
      </c>
      <c r="G28" s="59">
        <f t="shared" si="19"/>
        <v>0</v>
      </c>
      <c r="H28" s="59">
        <f t="shared" si="19"/>
        <v>0</v>
      </c>
      <c r="I28" s="59">
        <f t="shared" si="19"/>
        <v>0</v>
      </c>
      <c r="J28" s="59">
        <f t="shared" si="19"/>
        <v>5</v>
      </c>
      <c r="K28" s="59">
        <f t="shared" si="19"/>
        <v>0</v>
      </c>
      <c r="L28" s="59">
        <f t="shared" si="19"/>
        <v>1</v>
      </c>
      <c r="M28" s="59">
        <f>IF(OR(M10="-",M10=""),0,IF(OR(M10="o",M10="O"),1,IF(OR(M10="c",M10="C"),2,IF(OR(M10="a",M10="A"),3,IF(OR(M10="p",M10="P"),4,IF(OR(M10="s",M10="S"),5,IF(OR(M10="x",M10="X"),6,10)))))))</f>
        <v>0</v>
      </c>
      <c r="N28" s="59">
        <f>IF(OR(N10="-",N10=""),0,IF(OR(N10="o",N10="O"),1,IF(OR(N10="c",N10="C"),2,IF(OR(N10="a",N10="A"),3,IF(OR(N10="p",N10="P"),4,IF(OR(N10="s",N10="S"),5,IF(OR(N10="x",N10="X"),6,10)))))))</f>
        <v>0</v>
      </c>
      <c r="O28" s="59">
        <f>IF(OR(O10="-",O10=""),0,IF(OR(O10="o",O10="O"),1,IF(OR(O10="c",O10="C"),2,IF(OR(O10="a",O10="A"),3,IF(OR(O10="p",O10="P"),4,IF(OR(O10="s",O10="S"),5,IF(OR(O10="x",O10="X"),6,10)))))))</f>
        <v>0</v>
      </c>
      <c r="P28" s="59">
        <f>IF(OR(P10="-",P10=""),0,IF(OR(P10="o",P10="O"),1,IF(OR(P10="c",P10="C"),2,IF(OR(P10="a",P10="A"),3,IF(OR(P10="p",P10="P"),4,IF(OR(P10="s",P10="S"),5,IF(OR(P10="x",P10="X"),6,10)))))))</f>
        <v>0</v>
      </c>
      <c r="Q28" s="59">
        <f t="shared" si="19"/>
        <v>0</v>
      </c>
      <c r="R28" s="59">
        <f t="shared" ref="R28:W28" si="20">IF(OR(R10="-",R10=""),0,IF(OR(R10="o",R10="O"),1,IF(OR(R10="c",R10="C"),2,IF(OR(R10="a",R10="A"),3,IF(OR(R10="p",R10="P"),4,IF(OR(R10="s",R10="S"),5,IF(OR(R10="x",R10="X"),6,10)))))))</f>
        <v>0</v>
      </c>
      <c r="S28" s="59">
        <f t="shared" si="20"/>
        <v>0</v>
      </c>
      <c r="T28" s="59">
        <f t="shared" si="20"/>
        <v>0</v>
      </c>
      <c r="U28" s="59">
        <f t="shared" si="20"/>
        <v>0</v>
      </c>
      <c r="V28" s="59">
        <f t="shared" si="20"/>
        <v>0</v>
      </c>
      <c r="W28" s="59">
        <f t="shared" si="20"/>
        <v>0</v>
      </c>
      <c r="X28" s="59">
        <f t="shared" si="19"/>
        <v>0</v>
      </c>
      <c r="Z28" s="61"/>
      <c r="AA28" s="61"/>
      <c r="AB28" s="61"/>
    </row>
    <row r="29" spans="1:31" s="59" customFormat="1" x14ac:dyDescent="0.2">
      <c r="C29" s="62" t="s">
        <v>0</v>
      </c>
      <c r="E29" s="59">
        <f>IF(E6="",0,1)</f>
        <v>1</v>
      </c>
      <c r="F29" s="59">
        <f>IF(F6="",0,1)</f>
        <v>1</v>
      </c>
      <c r="G29" s="59">
        <f t="shared" ref="G29:X32" si="21">IF(G6="",0,1)</f>
        <v>1</v>
      </c>
      <c r="H29" s="59">
        <f t="shared" si="21"/>
        <v>1</v>
      </c>
      <c r="I29" s="59">
        <f t="shared" si="21"/>
        <v>1</v>
      </c>
      <c r="J29" s="59">
        <f t="shared" si="21"/>
        <v>0</v>
      </c>
      <c r="K29" s="59">
        <f t="shared" si="21"/>
        <v>1</v>
      </c>
      <c r="L29" s="59">
        <f t="shared" si="21"/>
        <v>1</v>
      </c>
      <c r="M29" s="59">
        <f t="shared" ref="M29:P32" si="22">IF(M6="",0,1)</f>
        <v>1</v>
      </c>
      <c r="N29" s="59">
        <f t="shared" si="22"/>
        <v>1</v>
      </c>
      <c r="O29" s="59">
        <f t="shared" si="22"/>
        <v>1</v>
      </c>
      <c r="P29" s="59">
        <f t="shared" si="22"/>
        <v>1</v>
      </c>
      <c r="Q29" s="59">
        <f t="shared" si="21"/>
        <v>0</v>
      </c>
      <c r="R29" s="59">
        <f t="shared" si="21"/>
        <v>0</v>
      </c>
      <c r="S29" s="59">
        <f t="shared" ref="S29:V32" si="23">IF(S6="",0,1)</f>
        <v>0</v>
      </c>
      <c r="T29" s="59">
        <f t="shared" si="23"/>
        <v>0</v>
      </c>
      <c r="U29" s="59">
        <f t="shared" si="23"/>
        <v>0</v>
      </c>
      <c r="V29" s="59">
        <f t="shared" si="23"/>
        <v>0</v>
      </c>
      <c r="W29" s="59">
        <f t="shared" si="21"/>
        <v>0</v>
      </c>
      <c r="X29" s="59">
        <f t="shared" si="21"/>
        <v>0</v>
      </c>
      <c r="Z29" s="61"/>
      <c r="AA29" s="61"/>
      <c r="AB29" s="61"/>
    </row>
    <row r="30" spans="1:31" s="59" customFormat="1" x14ac:dyDescent="0.2">
      <c r="C30" s="63" t="s">
        <v>1</v>
      </c>
      <c r="E30" s="59">
        <f t="shared" ref="E30:F32" si="24">IF(E7="",0,1)</f>
        <v>1</v>
      </c>
      <c r="F30" s="59">
        <f t="shared" si="24"/>
        <v>1</v>
      </c>
      <c r="G30" s="59">
        <f t="shared" si="21"/>
        <v>1</v>
      </c>
      <c r="H30" s="59">
        <f t="shared" si="21"/>
        <v>1</v>
      </c>
      <c r="I30" s="59">
        <f t="shared" si="21"/>
        <v>1</v>
      </c>
      <c r="J30" s="59">
        <f t="shared" si="21"/>
        <v>0</v>
      </c>
      <c r="K30" s="59">
        <f t="shared" si="21"/>
        <v>1</v>
      </c>
      <c r="L30" s="59">
        <f t="shared" si="21"/>
        <v>0</v>
      </c>
      <c r="M30" s="59">
        <f t="shared" si="22"/>
        <v>1</v>
      </c>
      <c r="N30" s="59">
        <f t="shared" si="22"/>
        <v>1</v>
      </c>
      <c r="O30" s="59">
        <f t="shared" si="22"/>
        <v>1</v>
      </c>
      <c r="P30" s="59">
        <f t="shared" si="22"/>
        <v>1</v>
      </c>
      <c r="Q30" s="59">
        <f t="shared" si="21"/>
        <v>0</v>
      </c>
      <c r="R30" s="59">
        <f t="shared" si="21"/>
        <v>0</v>
      </c>
      <c r="S30" s="59">
        <f t="shared" si="23"/>
        <v>0</v>
      </c>
      <c r="T30" s="59">
        <f t="shared" si="23"/>
        <v>0</v>
      </c>
      <c r="U30" s="59">
        <f t="shared" si="23"/>
        <v>0</v>
      </c>
      <c r="V30" s="59">
        <f t="shared" si="23"/>
        <v>0</v>
      </c>
      <c r="W30" s="59">
        <f t="shared" si="21"/>
        <v>0</v>
      </c>
      <c r="X30" s="59">
        <f t="shared" si="21"/>
        <v>0</v>
      </c>
      <c r="Z30" s="61"/>
      <c r="AA30" s="61"/>
      <c r="AB30" s="61"/>
    </row>
    <row r="31" spans="1:31" s="59" customFormat="1" x14ac:dyDescent="0.2">
      <c r="C31" s="62" t="s">
        <v>2</v>
      </c>
      <c r="E31" s="59">
        <f t="shared" si="24"/>
        <v>0</v>
      </c>
      <c r="F31" s="59">
        <f t="shared" si="24"/>
        <v>0</v>
      </c>
      <c r="G31" s="59">
        <f t="shared" si="21"/>
        <v>0</v>
      </c>
      <c r="H31" s="59">
        <f t="shared" si="21"/>
        <v>0</v>
      </c>
      <c r="I31" s="59">
        <f t="shared" si="21"/>
        <v>0</v>
      </c>
      <c r="J31" s="59">
        <f t="shared" si="21"/>
        <v>0</v>
      </c>
      <c r="K31" s="59">
        <f t="shared" si="21"/>
        <v>0</v>
      </c>
      <c r="L31" s="59">
        <f t="shared" si="21"/>
        <v>0</v>
      </c>
      <c r="M31" s="59">
        <f t="shared" si="22"/>
        <v>0</v>
      </c>
      <c r="N31" s="59">
        <f t="shared" si="22"/>
        <v>0</v>
      </c>
      <c r="O31" s="59">
        <f t="shared" si="22"/>
        <v>0</v>
      </c>
      <c r="P31" s="59">
        <f t="shared" si="22"/>
        <v>0</v>
      </c>
      <c r="Q31" s="59">
        <f t="shared" si="21"/>
        <v>0</v>
      </c>
      <c r="R31" s="59">
        <f t="shared" si="21"/>
        <v>0</v>
      </c>
      <c r="S31" s="59">
        <f t="shared" si="23"/>
        <v>0</v>
      </c>
      <c r="T31" s="59">
        <f t="shared" si="23"/>
        <v>0</v>
      </c>
      <c r="U31" s="59">
        <f t="shared" si="23"/>
        <v>0</v>
      </c>
      <c r="V31" s="59">
        <f t="shared" si="23"/>
        <v>0</v>
      </c>
      <c r="W31" s="59">
        <f t="shared" si="21"/>
        <v>0</v>
      </c>
      <c r="X31" s="59">
        <f t="shared" si="21"/>
        <v>0</v>
      </c>
      <c r="Z31" s="61"/>
      <c r="AA31" s="61"/>
      <c r="AB31" s="61"/>
    </row>
    <row r="32" spans="1:31" s="59" customFormat="1" x14ac:dyDescent="0.2">
      <c r="C32" s="62" t="s">
        <v>3</v>
      </c>
      <c r="E32" s="59">
        <f t="shared" si="24"/>
        <v>0</v>
      </c>
      <c r="F32" s="59">
        <f t="shared" si="24"/>
        <v>0</v>
      </c>
      <c r="G32" s="59">
        <f t="shared" si="21"/>
        <v>0</v>
      </c>
      <c r="H32" s="59">
        <f t="shared" si="21"/>
        <v>0</v>
      </c>
      <c r="I32" s="59">
        <f t="shared" si="21"/>
        <v>0</v>
      </c>
      <c r="J32" s="59">
        <f t="shared" si="21"/>
        <v>0</v>
      </c>
      <c r="K32" s="59">
        <f t="shared" si="21"/>
        <v>0</v>
      </c>
      <c r="L32" s="59">
        <f t="shared" si="21"/>
        <v>0</v>
      </c>
      <c r="M32" s="59">
        <f t="shared" si="22"/>
        <v>0</v>
      </c>
      <c r="N32" s="59">
        <f t="shared" si="22"/>
        <v>0</v>
      </c>
      <c r="O32" s="59">
        <f t="shared" si="22"/>
        <v>0</v>
      </c>
      <c r="P32" s="59">
        <f t="shared" si="22"/>
        <v>0</v>
      </c>
      <c r="Q32" s="59">
        <f t="shared" si="21"/>
        <v>0</v>
      </c>
      <c r="R32" s="59">
        <f t="shared" si="21"/>
        <v>0</v>
      </c>
      <c r="S32" s="59">
        <f t="shared" si="23"/>
        <v>0</v>
      </c>
      <c r="T32" s="59">
        <f t="shared" si="23"/>
        <v>0</v>
      </c>
      <c r="U32" s="59">
        <f t="shared" si="23"/>
        <v>0</v>
      </c>
      <c r="V32" s="59">
        <f t="shared" si="23"/>
        <v>0</v>
      </c>
      <c r="W32" s="59">
        <f t="shared" si="21"/>
        <v>0</v>
      </c>
      <c r="X32" s="59">
        <f t="shared" si="21"/>
        <v>0</v>
      </c>
      <c r="Z32" s="61"/>
      <c r="AA32" s="61"/>
      <c r="AB32" s="61"/>
    </row>
    <row r="33" spans="2:28" s="59" customFormat="1" x14ac:dyDescent="0.2">
      <c r="C33" s="62" t="s">
        <v>27</v>
      </c>
      <c r="E33" s="59">
        <f>IF(E13="",0,1)</f>
        <v>0</v>
      </c>
      <c r="F33" s="59">
        <f t="shared" ref="F33:X33" si="25">IF(F13="",0,1)</f>
        <v>0</v>
      </c>
      <c r="G33" s="59">
        <f t="shared" si="25"/>
        <v>0</v>
      </c>
      <c r="H33" s="59">
        <f t="shared" si="25"/>
        <v>0</v>
      </c>
      <c r="I33" s="59">
        <f t="shared" si="25"/>
        <v>0</v>
      </c>
      <c r="J33" s="59">
        <f t="shared" si="25"/>
        <v>0</v>
      </c>
      <c r="K33" s="59">
        <f t="shared" si="25"/>
        <v>0</v>
      </c>
      <c r="L33" s="59">
        <f t="shared" si="25"/>
        <v>0</v>
      </c>
      <c r="M33" s="59">
        <f t="shared" si="25"/>
        <v>0</v>
      </c>
      <c r="N33" s="59">
        <f t="shared" si="25"/>
        <v>0</v>
      </c>
      <c r="O33" s="59">
        <f t="shared" si="25"/>
        <v>0</v>
      </c>
      <c r="P33" s="59">
        <f t="shared" si="25"/>
        <v>0</v>
      </c>
      <c r="Q33" s="59">
        <f t="shared" si="25"/>
        <v>0</v>
      </c>
      <c r="R33" s="59">
        <f>IF(R13="",0,1)</f>
        <v>0</v>
      </c>
      <c r="S33" s="59">
        <f>IF(S13="",0,1)</f>
        <v>0</v>
      </c>
      <c r="T33" s="59">
        <f t="shared" si="25"/>
        <v>0</v>
      </c>
      <c r="U33" s="59">
        <f t="shared" si="25"/>
        <v>0</v>
      </c>
      <c r="V33" s="59">
        <f>IF(V13="",0,1)</f>
        <v>0</v>
      </c>
      <c r="W33" s="59">
        <f>IF(W13="",0,1)</f>
        <v>0</v>
      </c>
      <c r="X33" s="59">
        <f t="shared" si="25"/>
        <v>0</v>
      </c>
      <c r="Z33" s="61"/>
      <c r="AA33" s="61"/>
      <c r="AB33" s="61"/>
    </row>
    <row r="34" spans="2:28" s="59" customFormat="1" ht="25.5" x14ac:dyDescent="0.2">
      <c r="B34" s="64" t="s">
        <v>104</v>
      </c>
      <c r="C34" s="65"/>
      <c r="E34" s="59">
        <f>E29+E30+E31+E32</f>
        <v>2</v>
      </c>
      <c r="F34" s="59">
        <f t="shared" ref="F34:X34" si="26">F29+F30+F31+F32</f>
        <v>2</v>
      </c>
      <c r="G34" s="59">
        <f t="shared" si="26"/>
        <v>2</v>
      </c>
      <c r="H34" s="59">
        <f t="shared" si="26"/>
        <v>2</v>
      </c>
      <c r="I34" s="59">
        <f t="shared" si="26"/>
        <v>2</v>
      </c>
      <c r="J34" s="59">
        <f t="shared" si="26"/>
        <v>0</v>
      </c>
      <c r="K34" s="59">
        <f t="shared" si="26"/>
        <v>2</v>
      </c>
      <c r="L34" s="59">
        <f t="shared" si="26"/>
        <v>1</v>
      </c>
      <c r="M34" s="59">
        <f t="shared" si="26"/>
        <v>2</v>
      </c>
      <c r="N34" s="59">
        <f t="shared" si="26"/>
        <v>2</v>
      </c>
      <c r="O34" s="59">
        <f t="shared" si="26"/>
        <v>2</v>
      </c>
      <c r="P34" s="59">
        <f t="shared" si="26"/>
        <v>2</v>
      </c>
      <c r="Q34" s="59">
        <f t="shared" si="26"/>
        <v>0</v>
      </c>
      <c r="R34" s="59">
        <f t="shared" si="26"/>
        <v>0</v>
      </c>
      <c r="S34" s="59">
        <f t="shared" si="26"/>
        <v>0</v>
      </c>
      <c r="T34" s="59">
        <f t="shared" si="26"/>
        <v>0</v>
      </c>
      <c r="U34" s="59">
        <f t="shared" si="26"/>
        <v>0</v>
      </c>
      <c r="V34" s="59">
        <f t="shared" si="26"/>
        <v>0</v>
      </c>
      <c r="W34" s="59">
        <f t="shared" si="26"/>
        <v>0</v>
      </c>
      <c r="X34" s="59">
        <f t="shared" si="26"/>
        <v>0</v>
      </c>
      <c r="Z34" s="61"/>
      <c r="AA34" s="61"/>
      <c r="AB34" s="61"/>
    </row>
    <row r="35" spans="2:28" s="59" customFormat="1" x14ac:dyDescent="0.2">
      <c r="B35" s="59" t="s">
        <v>90</v>
      </c>
      <c r="C35" s="65" t="s">
        <v>91</v>
      </c>
      <c r="E35" s="59">
        <f>IF(E11&lt;&gt;"",E11/3600*1.2,IF(E12&lt;&gt;"",E12*1.2,0))</f>
        <v>2</v>
      </c>
      <c r="F35" s="59">
        <f>IF(OR(F11&lt;&gt;"",F12&lt;&gt;"",F28=0),IF(F11&lt;&gt;"",F11/3600*1.2,IF(F12&lt;&gt;"",F12*1.2,0)),IF(OR(F28&lt;=4,F28=6),E35,#N/A))</f>
        <v>2</v>
      </c>
      <c r="G35" s="59">
        <f>IF(OR(G11&lt;&gt;"",G12&lt;&gt;"",G28=0),IF(G11&lt;&gt;"",G11/3600*1.2,IF(G12&lt;&gt;"",G12*1.2,0)),IF(OR(G28&lt;=4,G28=6),F35,IF(G28=5,F35+E35,#N/A)))</f>
        <v>2</v>
      </c>
      <c r="H35" s="59">
        <f t="shared" ref="H35:Q35" si="27">IF(OR(H11&lt;&gt;"",H12&lt;&gt;"",H28=0),IF(H11&lt;&gt;"",H11/3600*1.2,IF(H12&lt;&gt;"",H12*1.2,0)),IF(OR(H28&lt;=4,H28=6),G35,IF(H28=5,G35+F35,#N/A)))</f>
        <v>2</v>
      </c>
      <c r="I35" s="59">
        <f t="shared" si="27"/>
        <v>3.333333333333333</v>
      </c>
      <c r="J35" s="59">
        <f t="shared" si="27"/>
        <v>5.333333333333333</v>
      </c>
      <c r="K35" s="59">
        <f t="shared" si="27"/>
        <v>5.333333333333333</v>
      </c>
      <c r="L35" s="59">
        <f t="shared" si="27"/>
        <v>5.333333333333333</v>
      </c>
      <c r="M35" s="59">
        <f>IF(OR(M11&lt;&gt;"",M12&lt;&gt;"",M28=0),IF(M11&lt;&gt;"",M11/3600*1.2,IF(M12&lt;&gt;"",M12*1.2,0)),IF(OR(M28&lt;=4,M28=6),L35,IF(M28=5,L35+K35,#N/A)))</f>
        <v>5.333333333333333</v>
      </c>
      <c r="N35" s="59">
        <f>IF(OR(N11&lt;&gt;"",N12&lt;&gt;"",N28=0),IF(N11&lt;&gt;"",N11/3600*1.2,IF(N12&lt;&gt;"",N12*1.2,0)),IF(OR(N28&lt;=4,N28=6),M35,IF(N28=5,M35+L35,#N/A)))</f>
        <v>5.333333333333333</v>
      </c>
      <c r="O35" s="59">
        <f>IF(OR(O11&lt;&gt;"",O12&lt;&gt;"",O28=0),IF(O11&lt;&gt;"",O11/3600*1.2,IF(O12&lt;&gt;"",O12*1.2,0)),IF(OR(O28&lt;=4,O28=6),N35,IF(O28=5,N35+M35,#N/A)))</f>
        <v>5.333333333333333</v>
      </c>
      <c r="P35" s="59">
        <f>IF(OR(P11&lt;&gt;"",P12&lt;&gt;"",P28=0),IF(P11&lt;&gt;"",P11/3600*1.2,IF(P12&lt;&gt;"",P12*1.2,0)),IF(OR(P28&lt;=4,P28=6),O35,IF(P28=5,O35+N35,#N/A)))</f>
        <v>5.333333333333333</v>
      </c>
      <c r="Q35" s="59">
        <f t="shared" si="27"/>
        <v>0</v>
      </c>
      <c r="R35" s="59">
        <f t="shared" ref="R35:W35" si="28">IF(OR(R11&lt;&gt;"",R12&lt;&gt;"",R28=0),IF(R11&lt;&gt;"",R11/3600*1.2,IF(R12&lt;&gt;"",R12*1.2,0)),IF(OR(R28&lt;=4,R28=6),Q35,IF(R28=5,Q35+P35,#N/A)))</f>
        <v>0</v>
      </c>
      <c r="S35" s="59">
        <f t="shared" si="28"/>
        <v>0</v>
      </c>
      <c r="T35" s="59">
        <f t="shared" si="28"/>
        <v>0</v>
      </c>
      <c r="U35" s="59">
        <f t="shared" si="28"/>
        <v>0</v>
      </c>
      <c r="V35" s="59">
        <f t="shared" si="28"/>
        <v>0</v>
      </c>
      <c r="W35" s="59">
        <f t="shared" si="28"/>
        <v>0</v>
      </c>
      <c r="X35" s="59">
        <f t="shared" ref="X35" si="29">IF(OR(X11&lt;&gt;"",X12&lt;&gt;"",X28=0),IF(X11&lt;&gt;"",X11/3600*1.2,IF(X12&lt;&gt;"",X12*1.2,0)),IF(OR(X28&lt;=4,X28=6),W35,IF(X28=5,W35+V35,#N/A)))</f>
        <v>0</v>
      </c>
      <c r="Z35" s="61"/>
      <c r="AA35" s="61"/>
      <c r="AB35" s="61"/>
    </row>
    <row r="36" spans="2:28" s="59" customFormat="1" ht="25.5" x14ac:dyDescent="0.2">
      <c r="B36" s="66" t="s">
        <v>132</v>
      </c>
      <c r="C36" s="62" t="s">
        <v>0</v>
      </c>
      <c r="E36" s="59">
        <f>IF(E29=1,E6,"")</f>
        <v>-25</v>
      </c>
      <c r="F36" s="59">
        <f t="shared" ref="F36:X36" si="30">IF(F29=1,F6,"")</f>
        <v>-25</v>
      </c>
      <c r="G36" s="59">
        <f t="shared" si="30"/>
        <v>-25</v>
      </c>
      <c r="H36" s="59">
        <f t="shared" si="30"/>
        <v>-25</v>
      </c>
      <c r="I36" s="59">
        <f t="shared" si="30"/>
        <v>20</v>
      </c>
      <c r="J36" s="59" t="str">
        <f t="shared" si="30"/>
        <v/>
      </c>
      <c r="K36" s="59">
        <f t="shared" si="30"/>
        <v>4.277020603210544</v>
      </c>
      <c r="L36" s="59">
        <f t="shared" si="30"/>
        <v>8</v>
      </c>
      <c r="M36" s="59">
        <f>IF(M29=1,M6,"")</f>
        <v>8</v>
      </c>
      <c r="N36" s="59">
        <f>IF(N29=1,N6,"")</f>
        <v>8</v>
      </c>
      <c r="O36" s="59">
        <f>IF(O29=1,O6,"")</f>
        <v>8</v>
      </c>
      <c r="P36" s="59">
        <f>IF(P29=1,P6,"")</f>
        <v>8</v>
      </c>
      <c r="Q36" s="59" t="str">
        <f t="shared" si="30"/>
        <v/>
      </c>
      <c r="R36" s="59" t="str">
        <f t="shared" ref="R36:W36" si="31">IF(R29=1,R6,"")</f>
        <v/>
      </c>
      <c r="S36" s="59" t="str">
        <f t="shared" si="31"/>
        <v/>
      </c>
      <c r="T36" s="59" t="str">
        <f t="shared" si="31"/>
        <v/>
      </c>
      <c r="U36" s="59" t="str">
        <f t="shared" si="31"/>
        <v/>
      </c>
      <c r="V36" s="59" t="str">
        <f t="shared" si="31"/>
        <v/>
      </c>
      <c r="W36" s="59" t="str">
        <f t="shared" si="31"/>
        <v/>
      </c>
      <c r="X36" s="59" t="str">
        <f t="shared" si="30"/>
        <v/>
      </c>
      <c r="Z36" s="61"/>
      <c r="AA36" s="61"/>
      <c r="AB36" s="61"/>
    </row>
    <row r="37" spans="2:28" s="59" customFormat="1" x14ac:dyDescent="0.2">
      <c r="C37" s="63" t="s">
        <v>1</v>
      </c>
      <c r="E37" s="59">
        <f>IF(E30=1,E7/100,"")</f>
        <v>0.2</v>
      </c>
      <c r="F37" s="59">
        <f t="shared" ref="F37:X37" si="32">IF(F30=1,F7/100,"")</f>
        <v>0.2</v>
      </c>
      <c r="G37" s="59">
        <f t="shared" si="32"/>
        <v>0.2</v>
      </c>
      <c r="H37" s="59">
        <f t="shared" si="32"/>
        <v>0.2</v>
      </c>
      <c r="I37" s="59">
        <f t="shared" si="32"/>
        <v>0.6</v>
      </c>
      <c r="J37" s="59" t="str">
        <f t="shared" si="32"/>
        <v/>
      </c>
      <c r="K37" s="59">
        <f t="shared" si="32"/>
        <v>0.01</v>
      </c>
      <c r="L37" s="59" t="str">
        <f t="shared" si="32"/>
        <v/>
      </c>
      <c r="M37" s="59">
        <f>IF(M30=1,M7/100,"")</f>
        <v>7.7246107631210339E-5</v>
      </c>
      <c r="N37" s="59">
        <f>IF(N30=1,N7/100,"")</f>
        <v>7.7246107631210312E-7</v>
      </c>
      <c r="O37" s="59">
        <f>IF(O30=1,O7/100,"")</f>
        <v>7.7246107631210306E-9</v>
      </c>
      <c r="P37" s="59">
        <f>IF(P30=1,P7/100,"")</f>
        <v>7.7246107631210307E-11</v>
      </c>
      <c r="Q37" s="59" t="str">
        <f t="shared" si="32"/>
        <v/>
      </c>
      <c r="R37" s="59" t="str">
        <f t="shared" ref="R37:W37" si="33">IF(R30=1,R7/100,"")</f>
        <v/>
      </c>
      <c r="S37" s="59" t="str">
        <f t="shared" si="33"/>
        <v/>
      </c>
      <c r="T37" s="59" t="str">
        <f t="shared" si="33"/>
        <v/>
      </c>
      <c r="U37" s="59" t="str">
        <f t="shared" si="33"/>
        <v/>
      </c>
      <c r="V37" s="59" t="str">
        <f t="shared" si="33"/>
        <v/>
      </c>
      <c r="W37" s="59" t="str">
        <f t="shared" si="33"/>
        <v/>
      </c>
      <c r="X37" s="59" t="str">
        <f t="shared" si="32"/>
        <v/>
      </c>
      <c r="Z37" s="61"/>
      <c r="AA37" s="61"/>
      <c r="AB37" s="61"/>
    </row>
    <row r="38" spans="2:28" s="59" customFormat="1" x14ac:dyDescent="0.2">
      <c r="C38" s="62" t="s">
        <v>2</v>
      </c>
      <c r="E38" s="59" t="str">
        <f>IF(E31=1,E8,"")</f>
        <v/>
      </c>
      <c r="F38" s="59" t="str">
        <f t="shared" ref="F38:X39" si="34">IF(F31=1,F8,"")</f>
        <v/>
      </c>
      <c r="G38" s="59" t="str">
        <f t="shared" si="34"/>
        <v/>
      </c>
      <c r="H38" s="59" t="str">
        <f t="shared" si="34"/>
        <v/>
      </c>
      <c r="I38" s="59" t="str">
        <f t="shared" si="34"/>
        <v/>
      </c>
      <c r="J38" s="59" t="str">
        <f t="shared" si="34"/>
        <v/>
      </c>
      <c r="K38" s="59" t="str">
        <f t="shared" si="34"/>
        <v/>
      </c>
      <c r="L38" s="59" t="str">
        <f t="shared" si="34"/>
        <v/>
      </c>
      <c r="M38" s="59" t="str">
        <f t="shared" ref="M38:P39" si="35">IF(M31=1,M8,"")</f>
        <v/>
      </c>
      <c r="N38" s="59" t="str">
        <f t="shared" si="35"/>
        <v/>
      </c>
      <c r="O38" s="59" t="str">
        <f t="shared" si="35"/>
        <v/>
      </c>
      <c r="P38" s="59" t="str">
        <f t="shared" si="35"/>
        <v/>
      </c>
      <c r="Q38" s="59" t="str">
        <f t="shared" si="34"/>
        <v/>
      </c>
      <c r="R38" s="59" t="str">
        <f t="shared" ref="R38:W39" si="36">IF(R31=1,R8,"")</f>
        <v/>
      </c>
      <c r="S38" s="59" t="str">
        <f t="shared" si="36"/>
        <v/>
      </c>
      <c r="T38" s="59" t="str">
        <f t="shared" si="36"/>
        <v/>
      </c>
      <c r="U38" s="59" t="str">
        <f t="shared" si="36"/>
        <v/>
      </c>
      <c r="V38" s="59" t="str">
        <f t="shared" si="36"/>
        <v/>
      </c>
      <c r="W38" s="59" t="str">
        <f t="shared" si="36"/>
        <v/>
      </c>
      <c r="X38" s="59" t="str">
        <f t="shared" si="34"/>
        <v/>
      </c>
      <c r="Z38" s="61"/>
      <c r="AA38" s="61"/>
      <c r="AB38" s="61"/>
    </row>
    <row r="39" spans="2:28" s="59" customFormat="1" x14ac:dyDescent="0.2">
      <c r="C39" s="62" t="s">
        <v>3</v>
      </c>
      <c r="E39" s="59" t="str">
        <f>IF(E32=1,E9,"")</f>
        <v/>
      </c>
      <c r="F39" s="59" t="str">
        <f t="shared" si="34"/>
        <v/>
      </c>
      <c r="G39" s="59" t="str">
        <f t="shared" si="34"/>
        <v/>
      </c>
      <c r="H39" s="59" t="str">
        <f t="shared" si="34"/>
        <v/>
      </c>
      <c r="I39" s="59" t="str">
        <f t="shared" si="34"/>
        <v/>
      </c>
      <c r="J39" s="59" t="str">
        <f t="shared" si="34"/>
        <v/>
      </c>
      <c r="K39" s="59" t="str">
        <f t="shared" si="34"/>
        <v/>
      </c>
      <c r="L39" s="59" t="str">
        <f t="shared" si="34"/>
        <v/>
      </c>
      <c r="M39" s="59" t="str">
        <f t="shared" si="35"/>
        <v/>
      </c>
      <c r="N39" s="59" t="str">
        <f t="shared" si="35"/>
        <v/>
      </c>
      <c r="O39" s="59" t="str">
        <f t="shared" si="35"/>
        <v/>
      </c>
      <c r="P39" s="59" t="str">
        <f t="shared" si="35"/>
        <v/>
      </c>
      <c r="Q39" s="59" t="str">
        <f t="shared" si="34"/>
        <v/>
      </c>
      <c r="R39" s="59" t="str">
        <f t="shared" si="36"/>
        <v/>
      </c>
      <c r="S39" s="59" t="str">
        <f t="shared" si="36"/>
        <v/>
      </c>
      <c r="T39" s="59" t="str">
        <f t="shared" si="36"/>
        <v/>
      </c>
      <c r="U39" s="59" t="str">
        <f t="shared" si="36"/>
        <v/>
      </c>
      <c r="V39" s="59" t="str">
        <f t="shared" si="36"/>
        <v/>
      </c>
      <c r="W39" s="59" t="str">
        <f t="shared" si="36"/>
        <v/>
      </c>
      <c r="X39" s="59" t="str">
        <f t="shared" si="34"/>
        <v/>
      </c>
      <c r="Z39" s="61"/>
      <c r="AA39" s="61"/>
      <c r="AB39" s="61"/>
    </row>
    <row r="40" spans="2:28" s="59" customFormat="1" x14ac:dyDescent="0.2">
      <c r="B40" s="59" t="s">
        <v>105</v>
      </c>
      <c r="C40" s="59" t="s">
        <v>36</v>
      </c>
      <c r="E40" s="67" t="b">
        <f>OR(E34&gt;2,E33=1)</f>
        <v>0</v>
      </c>
      <c r="F40" s="67" t="b">
        <f t="shared" ref="F40:X40" si="37">OR(F34&gt;2,F33=1)</f>
        <v>0</v>
      </c>
      <c r="G40" s="67" t="b">
        <f t="shared" si="37"/>
        <v>0</v>
      </c>
      <c r="H40" s="67" t="b">
        <f t="shared" si="37"/>
        <v>0</v>
      </c>
      <c r="I40" s="67" t="b">
        <f t="shared" si="37"/>
        <v>0</v>
      </c>
      <c r="J40" s="67" t="b">
        <f t="shared" si="37"/>
        <v>0</v>
      </c>
      <c r="K40" s="67" t="b">
        <f t="shared" si="37"/>
        <v>0</v>
      </c>
      <c r="L40" s="67" t="b">
        <f t="shared" si="37"/>
        <v>0</v>
      </c>
      <c r="M40" s="111" t="b">
        <f t="shared" si="37"/>
        <v>0</v>
      </c>
      <c r="N40" s="111" t="b">
        <f t="shared" si="37"/>
        <v>0</v>
      </c>
      <c r="O40" s="111" t="b">
        <f t="shared" si="37"/>
        <v>0</v>
      </c>
      <c r="P40" s="111" t="b">
        <f t="shared" si="37"/>
        <v>0</v>
      </c>
      <c r="Q40" s="111" t="b">
        <f t="shared" si="37"/>
        <v>0</v>
      </c>
      <c r="R40" s="111" t="b">
        <f t="shared" si="37"/>
        <v>0</v>
      </c>
      <c r="S40" s="111" t="b">
        <f t="shared" si="37"/>
        <v>0</v>
      </c>
      <c r="T40" s="111" t="b">
        <f t="shared" si="37"/>
        <v>0</v>
      </c>
      <c r="U40" s="111" t="b">
        <f t="shared" si="37"/>
        <v>0</v>
      </c>
      <c r="V40" s="111" t="b">
        <f t="shared" si="37"/>
        <v>0</v>
      </c>
      <c r="W40" s="111" t="b">
        <f t="shared" si="37"/>
        <v>0</v>
      </c>
      <c r="X40" s="111" t="b">
        <f t="shared" si="37"/>
        <v>0</v>
      </c>
      <c r="Z40" s="61"/>
      <c r="AA40" s="61"/>
      <c r="AB40" s="61"/>
    </row>
    <row r="41" spans="2:28" s="59" customFormat="1" x14ac:dyDescent="0.2">
      <c r="B41" s="59" t="s">
        <v>47</v>
      </c>
      <c r="C41" s="59" t="s">
        <v>36</v>
      </c>
      <c r="E41" s="67" t="b">
        <f>E34=1</f>
        <v>0</v>
      </c>
      <c r="F41" s="67" t="b">
        <f t="shared" ref="F41:X41" si="38">F34=1</f>
        <v>0</v>
      </c>
      <c r="G41" s="67" t="b">
        <f t="shared" si="38"/>
        <v>0</v>
      </c>
      <c r="H41" s="67" t="b">
        <f t="shared" si="38"/>
        <v>0</v>
      </c>
      <c r="I41" s="67" t="b">
        <f t="shared" si="38"/>
        <v>0</v>
      </c>
      <c r="J41" s="67" t="b">
        <f t="shared" si="38"/>
        <v>0</v>
      </c>
      <c r="K41" s="67" t="b">
        <f t="shared" si="38"/>
        <v>0</v>
      </c>
      <c r="L41" s="67" t="b">
        <f t="shared" si="38"/>
        <v>1</v>
      </c>
      <c r="M41" s="111" t="b">
        <f t="shared" si="38"/>
        <v>0</v>
      </c>
      <c r="N41" s="111" t="b">
        <f t="shared" si="38"/>
        <v>0</v>
      </c>
      <c r="O41" s="111" t="b">
        <f t="shared" si="38"/>
        <v>0</v>
      </c>
      <c r="P41" s="111" t="b">
        <f t="shared" si="38"/>
        <v>0</v>
      </c>
      <c r="Q41" s="111" t="b">
        <f t="shared" si="38"/>
        <v>0</v>
      </c>
      <c r="R41" s="111" t="b">
        <f t="shared" si="38"/>
        <v>0</v>
      </c>
      <c r="S41" s="111" t="b">
        <f t="shared" si="38"/>
        <v>0</v>
      </c>
      <c r="T41" s="111" t="b">
        <f t="shared" si="38"/>
        <v>0</v>
      </c>
      <c r="U41" s="111" t="b">
        <f t="shared" si="38"/>
        <v>0</v>
      </c>
      <c r="V41" s="111" t="b">
        <f t="shared" si="38"/>
        <v>0</v>
      </c>
      <c r="W41" s="111" t="b">
        <f t="shared" si="38"/>
        <v>0</v>
      </c>
      <c r="X41" s="111" t="b">
        <f t="shared" si="38"/>
        <v>0</v>
      </c>
      <c r="Z41" s="61"/>
      <c r="AA41" s="61"/>
      <c r="AB41" s="61"/>
    </row>
    <row r="42" spans="2:28" s="59" customFormat="1" x14ac:dyDescent="0.2">
      <c r="B42" s="59" t="s">
        <v>36</v>
      </c>
      <c r="C42" s="59" t="s">
        <v>36</v>
      </c>
      <c r="E42" s="67" t="b">
        <f>E34=0</f>
        <v>0</v>
      </c>
      <c r="F42" s="67" t="b">
        <f t="shared" ref="F42:X42" si="39">F34=0</f>
        <v>0</v>
      </c>
      <c r="G42" s="67" t="b">
        <f t="shared" si="39"/>
        <v>0</v>
      </c>
      <c r="H42" s="67" t="b">
        <f t="shared" si="39"/>
        <v>0</v>
      </c>
      <c r="I42" s="67" t="b">
        <f t="shared" si="39"/>
        <v>0</v>
      </c>
      <c r="J42" s="67" t="b">
        <f t="shared" si="39"/>
        <v>1</v>
      </c>
      <c r="K42" s="67" t="b">
        <f t="shared" si="39"/>
        <v>0</v>
      </c>
      <c r="L42" s="67" t="b">
        <f t="shared" si="39"/>
        <v>0</v>
      </c>
      <c r="M42" s="111" t="b">
        <f t="shared" si="39"/>
        <v>0</v>
      </c>
      <c r="N42" s="111" t="b">
        <f t="shared" si="39"/>
        <v>0</v>
      </c>
      <c r="O42" s="111" t="b">
        <f t="shared" si="39"/>
        <v>0</v>
      </c>
      <c r="P42" s="111" t="b">
        <f t="shared" si="39"/>
        <v>0</v>
      </c>
      <c r="Q42" s="111" t="b">
        <f t="shared" si="39"/>
        <v>1</v>
      </c>
      <c r="R42" s="111" t="b">
        <f t="shared" si="39"/>
        <v>1</v>
      </c>
      <c r="S42" s="111" t="b">
        <f t="shared" si="39"/>
        <v>1</v>
      </c>
      <c r="T42" s="111" t="b">
        <f t="shared" si="39"/>
        <v>1</v>
      </c>
      <c r="U42" s="111" t="b">
        <f t="shared" si="39"/>
        <v>1</v>
      </c>
      <c r="V42" s="111" t="b">
        <f t="shared" si="39"/>
        <v>1</v>
      </c>
      <c r="W42" s="111" t="b">
        <f t="shared" si="39"/>
        <v>1</v>
      </c>
      <c r="X42" s="111" t="b">
        <f t="shared" si="39"/>
        <v>1</v>
      </c>
      <c r="Z42" s="61"/>
      <c r="AA42" s="61"/>
      <c r="AB42" s="61"/>
    </row>
    <row r="43" spans="2:28" s="59" customFormat="1" x14ac:dyDescent="0.2">
      <c r="B43" s="65"/>
      <c r="Z43" s="61"/>
      <c r="AA43" s="61"/>
      <c r="AB43" s="61"/>
    </row>
    <row r="44" spans="2:28" s="59" customFormat="1" ht="25.5" x14ac:dyDescent="0.2">
      <c r="B44" s="66" t="s">
        <v>96</v>
      </c>
      <c r="C44" s="62" t="s">
        <v>0</v>
      </c>
      <c r="E44" s="68" t="str">
        <f>""</f>
        <v/>
      </c>
      <c r="F44" s="59">
        <f t="shared" ref="F44:X44" si="40">IF(F29=1,F6,"")</f>
        <v>-25</v>
      </c>
      <c r="G44" s="59">
        <f t="shared" si="40"/>
        <v>-25</v>
      </c>
      <c r="H44" s="59">
        <f t="shared" si="40"/>
        <v>-25</v>
      </c>
      <c r="I44" s="59">
        <f t="shared" si="40"/>
        <v>20</v>
      </c>
      <c r="J44" s="59" t="str">
        <f t="shared" si="40"/>
        <v/>
      </c>
      <c r="K44" s="59">
        <f t="shared" si="40"/>
        <v>4.277020603210544</v>
      </c>
      <c r="L44" s="59">
        <f t="shared" si="40"/>
        <v>8</v>
      </c>
      <c r="M44" s="59">
        <f>IF(M29=1,M6,"")</f>
        <v>8</v>
      </c>
      <c r="N44" s="59">
        <f>IF(N29=1,N6,"")</f>
        <v>8</v>
      </c>
      <c r="O44" s="59">
        <f>IF(O29=1,O6,"")</f>
        <v>8</v>
      </c>
      <c r="P44" s="59">
        <f>IF(P29=1,P6,"")</f>
        <v>8</v>
      </c>
      <c r="Q44" s="59" t="str">
        <f t="shared" si="40"/>
        <v/>
      </c>
      <c r="R44" s="59" t="str">
        <f t="shared" ref="R44:W44" si="41">IF(R29=1,R6,"")</f>
        <v/>
      </c>
      <c r="S44" s="59" t="str">
        <f t="shared" si="41"/>
        <v/>
      </c>
      <c r="T44" s="59" t="str">
        <f t="shared" si="41"/>
        <v/>
      </c>
      <c r="U44" s="59" t="str">
        <f t="shared" si="41"/>
        <v/>
      </c>
      <c r="V44" s="59" t="str">
        <f t="shared" si="41"/>
        <v/>
      </c>
      <c r="W44" s="59" t="str">
        <f t="shared" si="41"/>
        <v/>
      </c>
      <c r="X44" s="59" t="str">
        <f t="shared" si="40"/>
        <v/>
      </c>
      <c r="Z44" s="61"/>
      <c r="AA44" s="61"/>
      <c r="AB44" s="61"/>
    </row>
    <row r="45" spans="2:28" s="59" customFormat="1" x14ac:dyDescent="0.2">
      <c r="C45" s="63" t="s">
        <v>1</v>
      </c>
      <c r="E45" s="68" t="str">
        <f>""</f>
        <v/>
      </c>
      <c r="F45" s="68" t="str">
        <f>""</f>
        <v/>
      </c>
      <c r="G45" s="68" t="str">
        <f>""</f>
        <v/>
      </c>
      <c r="H45" s="68" t="str">
        <f>""</f>
        <v/>
      </c>
      <c r="I45" s="68" t="str">
        <f>""</f>
        <v/>
      </c>
      <c r="J45" s="68" t="str">
        <f>""</f>
        <v/>
      </c>
      <c r="K45" s="68" t="str">
        <f>""</f>
        <v/>
      </c>
      <c r="L45" s="68" t="str">
        <f>""</f>
        <v/>
      </c>
      <c r="M45" s="68" t="str">
        <f>""</f>
        <v/>
      </c>
      <c r="N45" s="68" t="str">
        <f>""</f>
        <v/>
      </c>
      <c r="O45" s="68" t="str">
        <f>""</f>
        <v/>
      </c>
      <c r="P45" s="68" t="str">
        <f>""</f>
        <v/>
      </c>
      <c r="Q45" s="68" t="str">
        <f>""</f>
        <v/>
      </c>
      <c r="R45" s="68" t="str">
        <f>""</f>
        <v/>
      </c>
      <c r="S45" s="68" t="str">
        <f>""</f>
        <v/>
      </c>
      <c r="T45" s="68" t="str">
        <f>""</f>
        <v/>
      </c>
      <c r="U45" s="68" t="str">
        <f>""</f>
        <v/>
      </c>
      <c r="V45" s="68" t="str">
        <f>""</f>
        <v/>
      </c>
      <c r="W45" s="68" t="str">
        <f>""</f>
        <v/>
      </c>
      <c r="X45" s="68" t="str">
        <f>""</f>
        <v/>
      </c>
      <c r="Z45" s="61"/>
      <c r="AA45" s="61"/>
      <c r="AB45" s="61"/>
    </row>
    <row r="46" spans="2:28" s="59" customFormat="1" x14ac:dyDescent="0.2">
      <c r="C46" s="62" t="s">
        <v>2</v>
      </c>
      <c r="E46" s="68" t="str">
        <f>""</f>
        <v/>
      </c>
      <c r="F46" s="69">
        <f>E18</f>
        <v>8.3203757830561539E-2</v>
      </c>
      <c r="G46" s="69">
        <f t="shared" ref="G46:X46" si="42">F18</f>
        <v>8.3203757830561539E-2</v>
      </c>
      <c r="H46" s="69">
        <f t="shared" si="42"/>
        <v>8.3203757830561539E-2</v>
      </c>
      <c r="I46" s="69">
        <f t="shared" si="42"/>
        <v>8.3203757830561539E-2</v>
      </c>
      <c r="J46" s="69">
        <f t="shared" si="42"/>
        <v>9.3757233081908904</v>
      </c>
      <c r="K46" s="69">
        <f t="shared" si="42"/>
        <v>5.4957390094007232</v>
      </c>
      <c r="L46" s="69">
        <f t="shared" si="42"/>
        <v>5.4480985171597482E-2</v>
      </c>
      <c r="M46" s="69">
        <f t="shared" si="42"/>
        <v>5.4480985171597482E-2</v>
      </c>
      <c r="N46" s="69">
        <f t="shared" si="42"/>
        <v>5.4476262829484417E-4</v>
      </c>
      <c r="O46" s="69">
        <f>N18</f>
        <v>5.4476215610197468E-6</v>
      </c>
      <c r="P46" s="69">
        <f t="shared" si="42"/>
        <v>5.4476215138005003E-8</v>
      </c>
      <c r="Q46" s="69">
        <f t="shared" si="42"/>
        <v>5.447621513328308E-10</v>
      </c>
      <c r="R46" s="69" t="str">
        <f t="shared" si="42"/>
        <v/>
      </c>
      <c r="S46" s="69" t="str">
        <f t="shared" si="42"/>
        <v/>
      </c>
      <c r="T46" s="69" t="str">
        <f t="shared" si="42"/>
        <v/>
      </c>
      <c r="U46" s="69" t="str">
        <f t="shared" si="42"/>
        <v/>
      </c>
      <c r="V46" s="69" t="str">
        <f t="shared" si="42"/>
        <v/>
      </c>
      <c r="W46" s="69" t="str">
        <f t="shared" si="42"/>
        <v/>
      </c>
      <c r="X46" s="69" t="str">
        <f t="shared" si="42"/>
        <v/>
      </c>
      <c r="Z46" s="61"/>
      <c r="AA46" s="61"/>
      <c r="AB46" s="61"/>
    </row>
    <row r="47" spans="2:28" s="59" customFormat="1" x14ac:dyDescent="0.2">
      <c r="C47" s="62" t="s">
        <v>3</v>
      </c>
      <c r="E47" s="68" t="str">
        <f>IF(E29=1,"",D47+ABS(E13/E35))</f>
        <v/>
      </c>
      <c r="F47" s="68" t="str">
        <f>IF(F29=1,"",E19+ABS(F13/F35))</f>
        <v/>
      </c>
      <c r="G47" s="68" t="str">
        <f t="shared" ref="G47:Q47" si="43">IF(G29=1,"",F19+ABS(G13/G35))</f>
        <v/>
      </c>
      <c r="H47" s="68" t="str">
        <f t="shared" si="43"/>
        <v/>
      </c>
      <c r="I47" s="68" t="str">
        <f t="shared" si="43"/>
        <v/>
      </c>
      <c r="J47" s="68">
        <f t="shared" si="43"/>
        <v>43.997460900850115</v>
      </c>
      <c r="K47" s="68" t="str">
        <f t="shared" si="43"/>
        <v/>
      </c>
      <c r="L47" s="68" t="str">
        <f t="shared" si="43"/>
        <v/>
      </c>
      <c r="M47" s="68" t="str">
        <f t="shared" si="43"/>
        <v/>
      </c>
      <c r="N47" s="68" t="str">
        <f t="shared" si="43"/>
        <v/>
      </c>
      <c r="O47" s="68" t="str">
        <f>IF(O29=1,"",N19+ABS(O13/O35))</f>
        <v/>
      </c>
      <c r="P47" s="68" t="str">
        <f t="shared" si="43"/>
        <v/>
      </c>
      <c r="Q47" s="68" t="e">
        <f t="shared" si="43"/>
        <v>#DIV/0!</v>
      </c>
      <c r="R47" s="68" t="e">
        <f>IF(R29=1,"",Q19+ABS(R13/R35))</f>
        <v>#VALUE!</v>
      </c>
      <c r="S47" s="68" t="e">
        <f>IF(S29=1,"",R19+ABS(S13/S35))</f>
        <v>#VALUE!</v>
      </c>
      <c r="T47" s="68" t="e">
        <f t="shared" ref="T47:U47" si="44">IF(T29=1,"",S19+ABS(T13/T35))</f>
        <v>#VALUE!</v>
      </c>
      <c r="U47" s="68" t="e">
        <f t="shared" si="44"/>
        <v>#VALUE!</v>
      </c>
      <c r="V47" s="68" t="e">
        <f>IF(V29=1,"",U19+ABS(V13/V35))</f>
        <v>#VALUE!</v>
      </c>
      <c r="W47" s="68" t="e">
        <f>IF(W29=1,"",V19+ABS(W13/W35))</f>
        <v>#VALUE!</v>
      </c>
      <c r="X47" s="68" t="e">
        <f t="shared" ref="X47" si="45">IF(X29=1,"",W19+ABS(X13/X35))</f>
        <v>#VALUE!</v>
      </c>
      <c r="Z47" s="61"/>
      <c r="AA47" s="61"/>
      <c r="AB47" s="61"/>
    </row>
    <row r="48" spans="2:28" s="59" customFormat="1" x14ac:dyDescent="0.2">
      <c r="B48" s="59" t="s">
        <v>105</v>
      </c>
      <c r="C48" s="59" t="s">
        <v>36</v>
      </c>
      <c r="E48" s="67" t="b">
        <f>TRUE</f>
        <v>1</v>
      </c>
      <c r="F48" s="67" t="b">
        <f>OR(F30=1,F31=1,F32=1,(F29+F33)=2)</f>
        <v>1</v>
      </c>
      <c r="G48" s="67" t="b">
        <f t="shared" ref="G48:X48" si="46">OR(G30=1,G31=1,G32=1,(G29+G33)=2)</f>
        <v>1</v>
      </c>
      <c r="H48" s="67" t="b">
        <f t="shared" si="46"/>
        <v>1</v>
      </c>
      <c r="I48" s="67" t="b">
        <f t="shared" si="46"/>
        <v>1</v>
      </c>
      <c r="J48" s="67" t="b">
        <f t="shared" si="46"/>
        <v>0</v>
      </c>
      <c r="K48" s="67" t="b">
        <f t="shared" si="46"/>
        <v>1</v>
      </c>
      <c r="L48" s="67" t="b">
        <f t="shared" si="46"/>
        <v>0</v>
      </c>
      <c r="M48" s="111" t="b">
        <f t="shared" si="46"/>
        <v>1</v>
      </c>
      <c r="N48" s="111" t="b">
        <f t="shared" si="46"/>
        <v>1</v>
      </c>
      <c r="O48" s="111" t="b">
        <f t="shared" si="46"/>
        <v>1</v>
      </c>
      <c r="P48" s="111" t="b">
        <f t="shared" si="46"/>
        <v>1</v>
      </c>
      <c r="Q48" s="111" t="b">
        <f t="shared" si="46"/>
        <v>0</v>
      </c>
      <c r="R48" s="111" t="b">
        <f t="shared" si="46"/>
        <v>0</v>
      </c>
      <c r="S48" s="111" t="b">
        <f t="shared" si="46"/>
        <v>0</v>
      </c>
      <c r="T48" s="111" t="b">
        <f t="shared" si="46"/>
        <v>0</v>
      </c>
      <c r="U48" s="111" t="b">
        <f t="shared" si="46"/>
        <v>0</v>
      </c>
      <c r="V48" s="111" t="b">
        <f t="shared" si="46"/>
        <v>0</v>
      </c>
      <c r="W48" s="111" t="b">
        <f t="shared" si="46"/>
        <v>0</v>
      </c>
      <c r="X48" s="111" t="b">
        <f t="shared" si="46"/>
        <v>0</v>
      </c>
      <c r="Z48" s="61"/>
      <c r="AA48" s="61"/>
      <c r="AB48" s="61"/>
    </row>
    <row r="49" spans="2:28" s="59" customFormat="1" x14ac:dyDescent="0.2">
      <c r="B49" s="59" t="s">
        <v>47</v>
      </c>
      <c r="C49" s="59" t="s">
        <v>36</v>
      </c>
      <c r="E49" s="67" t="b">
        <f>FALSE</f>
        <v>0</v>
      </c>
      <c r="F49" s="67" t="b">
        <f>(F29+F33)=0</f>
        <v>0</v>
      </c>
      <c r="G49" s="67" t="b">
        <f t="shared" ref="G49:X49" si="47">(G29+G33)=0</f>
        <v>0</v>
      </c>
      <c r="H49" s="67" t="b">
        <f t="shared" si="47"/>
        <v>0</v>
      </c>
      <c r="I49" s="67" t="b">
        <f t="shared" si="47"/>
        <v>0</v>
      </c>
      <c r="J49" s="67" t="b">
        <f t="shared" si="47"/>
        <v>1</v>
      </c>
      <c r="K49" s="67" t="b">
        <f t="shared" si="47"/>
        <v>0</v>
      </c>
      <c r="L49" s="67" t="b">
        <f t="shared" si="47"/>
        <v>0</v>
      </c>
      <c r="M49" s="111" t="b">
        <f t="shared" si="47"/>
        <v>0</v>
      </c>
      <c r="N49" s="111" t="b">
        <f t="shared" si="47"/>
        <v>0</v>
      </c>
      <c r="O49" s="111" t="b">
        <f t="shared" si="47"/>
        <v>0</v>
      </c>
      <c r="P49" s="111" t="b">
        <f t="shared" si="47"/>
        <v>0</v>
      </c>
      <c r="Q49" s="111" t="b">
        <f t="shared" si="47"/>
        <v>1</v>
      </c>
      <c r="R49" s="111" t="b">
        <f t="shared" si="47"/>
        <v>1</v>
      </c>
      <c r="S49" s="111" t="b">
        <f t="shared" si="47"/>
        <v>1</v>
      </c>
      <c r="T49" s="111" t="b">
        <f t="shared" si="47"/>
        <v>1</v>
      </c>
      <c r="U49" s="111" t="b">
        <f t="shared" si="47"/>
        <v>1</v>
      </c>
      <c r="V49" s="111" t="b">
        <f t="shared" si="47"/>
        <v>1</v>
      </c>
      <c r="W49" s="111" t="b">
        <f t="shared" si="47"/>
        <v>1</v>
      </c>
      <c r="X49" s="111" t="b">
        <f t="shared" si="47"/>
        <v>1</v>
      </c>
      <c r="Z49" s="61"/>
      <c r="AA49" s="61"/>
      <c r="AB49" s="61"/>
    </row>
    <row r="50" spans="2:28" s="59" customFormat="1" x14ac:dyDescent="0.2">
      <c r="B50" s="59" t="s">
        <v>36</v>
      </c>
      <c r="C50" s="59" t="s">
        <v>36</v>
      </c>
      <c r="E50" s="67" t="b">
        <f>FALSE</f>
        <v>0</v>
      </c>
      <c r="F50" s="67" t="b">
        <f>FALSE</f>
        <v>0</v>
      </c>
      <c r="G50" s="67" t="b">
        <f>FALSE</f>
        <v>0</v>
      </c>
      <c r="H50" s="67" t="b">
        <f>FALSE</f>
        <v>0</v>
      </c>
      <c r="I50" s="67" t="b">
        <f>FALSE</f>
        <v>0</v>
      </c>
      <c r="J50" s="67" t="b">
        <f>FALSE</f>
        <v>0</v>
      </c>
      <c r="K50" s="67" t="b">
        <f>FALSE</f>
        <v>0</v>
      </c>
      <c r="L50" s="67" t="b">
        <f>FALSE</f>
        <v>0</v>
      </c>
      <c r="M50" s="111" t="b">
        <f>FALSE</f>
        <v>0</v>
      </c>
      <c r="N50" s="111" t="b">
        <f>FALSE</f>
        <v>0</v>
      </c>
      <c r="O50" s="111" t="b">
        <f>FALSE</f>
        <v>0</v>
      </c>
      <c r="P50" s="111" t="b">
        <f>FALSE</f>
        <v>0</v>
      </c>
      <c r="Q50" s="111" t="b">
        <f>FALSE</f>
        <v>0</v>
      </c>
      <c r="R50" s="111" t="b">
        <f>FALSE</f>
        <v>0</v>
      </c>
      <c r="S50" s="111" t="b">
        <f>FALSE</f>
        <v>0</v>
      </c>
      <c r="T50" s="111" t="b">
        <f>FALSE</f>
        <v>0</v>
      </c>
      <c r="U50" s="111" t="b">
        <f>FALSE</f>
        <v>0</v>
      </c>
      <c r="V50" s="111" t="b">
        <f>FALSE</f>
        <v>0</v>
      </c>
      <c r="W50" s="111" t="b">
        <f>FALSE</f>
        <v>0</v>
      </c>
      <c r="X50" s="111" t="b">
        <f>FALSE</f>
        <v>0</v>
      </c>
      <c r="Z50" s="61"/>
      <c r="AA50" s="61"/>
      <c r="AB50" s="61"/>
    </row>
    <row r="51" spans="2:28" s="59" customFormat="1" x14ac:dyDescent="0.2">
      <c r="B51" s="65"/>
      <c r="E51" s="68"/>
      <c r="Z51" s="61"/>
      <c r="AA51" s="61"/>
      <c r="AB51" s="61"/>
    </row>
    <row r="52" spans="2:28" s="59" customFormat="1" ht="25.5" x14ac:dyDescent="0.2">
      <c r="B52" s="66" t="s">
        <v>97</v>
      </c>
      <c r="C52" s="62" t="s">
        <v>0</v>
      </c>
      <c r="E52" s="68" t="str">
        <f>""</f>
        <v/>
      </c>
      <c r="F52" s="59">
        <f>IF(F29=1,F6,"")</f>
        <v>-25</v>
      </c>
      <c r="G52" s="59">
        <f t="shared" ref="G52:X52" si="48">IF(G29=1,G6,"")</f>
        <v>-25</v>
      </c>
      <c r="H52" s="59">
        <f t="shared" si="48"/>
        <v>-25</v>
      </c>
      <c r="I52" s="59">
        <f t="shared" si="48"/>
        <v>20</v>
      </c>
      <c r="J52" s="59" t="str">
        <f t="shared" si="48"/>
        <v/>
      </c>
      <c r="K52" s="59">
        <f t="shared" si="48"/>
        <v>4.277020603210544</v>
      </c>
      <c r="L52" s="59">
        <f t="shared" si="48"/>
        <v>8</v>
      </c>
      <c r="M52" s="59">
        <f>IF(M29=1,M6,"")</f>
        <v>8</v>
      </c>
      <c r="N52" s="59">
        <f>IF(N29=1,N6,"")</f>
        <v>8</v>
      </c>
      <c r="O52" s="59">
        <f>IF(O29=1,O6,"")</f>
        <v>8</v>
      </c>
      <c r="P52" s="59">
        <f>IF(P29=1,P6,"")</f>
        <v>8</v>
      </c>
      <c r="Q52" s="59" t="str">
        <f t="shared" si="48"/>
        <v/>
      </c>
      <c r="R52" s="59" t="str">
        <f t="shared" ref="R52:W52" si="49">IF(R29=1,R6,"")</f>
        <v/>
      </c>
      <c r="S52" s="59" t="str">
        <f t="shared" si="49"/>
        <v/>
      </c>
      <c r="T52" s="59" t="str">
        <f t="shared" si="49"/>
        <v/>
      </c>
      <c r="U52" s="59" t="str">
        <f t="shared" si="49"/>
        <v/>
      </c>
      <c r="V52" s="59" t="str">
        <f t="shared" si="49"/>
        <v/>
      </c>
      <c r="W52" s="59" t="str">
        <f t="shared" si="49"/>
        <v/>
      </c>
      <c r="X52" s="59" t="str">
        <f t="shared" si="48"/>
        <v/>
      </c>
      <c r="Z52" s="61"/>
      <c r="AA52" s="61"/>
      <c r="AB52" s="61"/>
    </row>
    <row r="53" spans="2:28" s="59" customFormat="1" x14ac:dyDescent="0.2">
      <c r="C53" s="63" t="s">
        <v>1</v>
      </c>
      <c r="E53" s="68" t="str">
        <f>""</f>
        <v/>
      </c>
      <c r="F53" s="59" t="str">
        <f>""</f>
        <v/>
      </c>
      <c r="G53" s="59" t="str">
        <f>""</f>
        <v/>
      </c>
      <c r="H53" s="59" t="str">
        <f>""</f>
        <v/>
      </c>
      <c r="I53" s="59" t="str">
        <f>""</f>
        <v/>
      </c>
      <c r="J53" s="59" t="str">
        <f>""</f>
        <v/>
      </c>
      <c r="K53" s="59" t="str">
        <f>""</f>
        <v/>
      </c>
      <c r="L53" s="59" t="str">
        <f>""</f>
        <v/>
      </c>
      <c r="M53" s="59" t="str">
        <f>""</f>
        <v/>
      </c>
      <c r="N53" s="59" t="str">
        <f>""</f>
        <v/>
      </c>
      <c r="O53" s="59" t="str">
        <f>""</f>
        <v/>
      </c>
      <c r="P53" s="59" t="str">
        <f>""</f>
        <v/>
      </c>
      <c r="Q53" s="59" t="str">
        <f>""</f>
        <v/>
      </c>
      <c r="R53" s="59" t="str">
        <f>""</f>
        <v/>
      </c>
      <c r="S53" s="59" t="str">
        <f>""</f>
        <v/>
      </c>
      <c r="T53" s="59" t="str">
        <f>""</f>
        <v/>
      </c>
      <c r="U53" s="59" t="str">
        <f>""</f>
        <v/>
      </c>
      <c r="V53" s="59" t="str">
        <f>""</f>
        <v/>
      </c>
      <c r="W53" s="59" t="str">
        <f>""</f>
        <v/>
      </c>
      <c r="X53" s="59" t="str">
        <f>""</f>
        <v/>
      </c>
      <c r="Z53" s="61"/>
      <c r="AA53" s="61"/>
      <c r="AB53" s="61"/>
    </row>
    <row r="54" spans="2:28" s="59" customFormat="1" x14ac:dyDescent="0.2">
      <c r="C54" s="62" t="s">
        <v>2</v>
      </c>
      <c r="E54" s="68" t="str">
        <f>""</f>
        <v/>
      </c>
      <c r="F54" s="59">
        <f>IF(F33=1,MIN(E18,E18+(xchladice-E18)*(E19-F55)/(E19-Hchladice)),IF(AND(F29=1,xchladice&gt;=E18),E18,""))</f>
        <v>8.3203757830561539E-2</v>
      </c>
      <c r="G54" s="59">
        <f t="shared" ref="G54:N54" si="50">IF(G33=1,MIN(F18,F18+(xchladice-F18)*(F19-G55)/(F19-Hchladice)),IF(AND(G29=1,xchladice&gt;=F18),F18,""))</f>
        <v>8.3203757830561539E-2</v>
      </c>
      <c r="H54" s="59">
        <f t="shared" si="50"/>
        <v>8.3203757830561539E-2</v>
      </c>
      <c r="I54" s="59">
        <f t="shared" si="50"/>
        <v>8.3203757830561539E-2</v>
      </c>
      <c r="J54" s="59" t="str">
        <f t="shared" si="50"/>
        <v/>
      </c>
      <c r="K54" s="59" t="str">
        <f t="shared" si="50"/>
        <v/>
      </c>
      <c r="L54" s="59">
        <f t="shared" si="50"/>
        <v>5.4480985171597482E-2</v>
      </c>
      <c r="M54" s="59">
        <f t="shared" si="50"/>
        <v>5.4480985171597482E-2</v>
      </c>
      <c r="N54" s="59">
        <f t="shared" si="50"/>
        <v>5.4476262829484417E-4</v>
      </c>
      <c r="O54" s="59">
        <f>IF(O33=1,MIN(N18,N18+(xchladice-N18)*(N19-O55)/(N19-Hchladice)),IF(AND(O29=1,xchladice&gt;=N18),N18,""))</f>
        <v>5.4476215610197468E-6</v>
      </c>
      <c r="P54" s="59">
        <f t="shared" ref="P54" si="51">IF(P33=1,MIN(O18,O18+(xchladice-O18)*(O19-P55)/(O19-Hchladice)),IF(AND(P29=1,xchladice&gt;=O18),O18,""))</f>
        <v>5.4476215138005003E-8</v>
      </c>
      <c r="Q54" s="59" t="str">
        <f t="shared" ref="Q54" si="52">IF(Q33=1,MIN(P18,P18+(xchladice-P18)*(P19-Q55)/(P19-Hchladice)),IF(AND(Q29=1,xchladice&gt;=P18),P18,""))</f>
        <v/>
      </c>
      <c r="R54" s="59" t="str">
        <f t="shared" ref="R54" si="53">IF(R33=1,MIN(Q18,Q18+(xchladice-Q18)*(Q19-R55)/(Q19-Hchladice)),IF(AND(R29=1,xchladice&gt;=Q18),Q18,""))</f>
        <v/>
      </c>
      <c r="S54" s="59" t="str">
        <f t="shared" ref="S54" si="54">IF(S33=1,MIN(R18,R18+(xchladice-R18)*(R19-S55)/(R19-Hchladice)),IF(AND(S29=1,xchladice&gt;=R18),R18,""))</f>
        <v/>
      </c>
      <c r="T54" s="59" t="str">
        <f t="shared" ref="T54" si="55">IF(T33=1,MIN(S18,S18+(xchladice-S18)*(S19-T55)/(S19-Hchladice)),IF(AND(T29=1,xchladice&gt;=S18),S18,""))</f>
        <v/>
      </c>
      <c r="U54" s="59" t="str">
        <f t="shared" ref="U54" si="56">IF(U33=1,MIN(T18,T18+(xchladice-T18)*(T19-U55)/(T19-Hchladice)),IF(AND(U29=1,xchladice&gt;=T18),T18,""))</f>
        <v/>
      </c>
      <c r="V54" s="59" t="str">
        <f t="shared" ref="V54" si="57">IF(V33=1,MIN(U18,U18+(xchladice-U18)*(U19-V55)/(U19-Hchladice)),IF(AND(V29=1,xchladice&gt;=U18),U18,""))</f>
        <v/>
      </c>
      <c r="W54" s="59" t="str">
        <f t="shared" ref="W54" si="58">IF(W33=1,MIN(V18,V18+(xchladice-V18)*(V19-W55)/(V19-Hchladice)),IF(AND(W29=1,xchladice&gt;=V18),V18,""))</f>
        <v/>
      </c>
      <c r="X54" s="59" t="str">
        <f t="shared" ref="X54" si="59">IF(X33=1,MIN(W18,W18+(xchladice-W18)*(W19-X55)/(W19-Hchladice)),IF(AND(X29=1,xchladice&gt;=W18),W18,""))</f>
        <v/>
      </c>
      <c r="Z54" s="61"/>
      <c r="AA54" s="61"/>
      <c r="AB54" s="61"/>
    </row>
    <row r="55" spans="2:28" s="59" customFormat="1" x14ac:dyDescent="0.2">
      <c r="C55" s="62" t="s">
        <v>3</v>
      </c>
      <c r="E55" s="68" t="str">
        <f>""</f>
        <v/>
      </c>
      <c r="F55" s="59" t="str">
        <f>IF(F33=1,E19-ABS(F13/F35),IF(xchladice&lt;E18,E19-(E19-Hchladice)*(F6-E16)/(Tchladice-E16),""))</f>
        <v/>
      </c>
      <c r="G55" s="59" t="str">
        <f t="shared" ref="G55:L55" si="60">IF(G33=1,F19-ABS(G13/G35),IF(xchladice&lt;F18,F19-(F19-Hchladice)*(G6-F16)/(Tchladice-F16),""))</f>
        <v/>
      </c>
      <c r="H55" s="59" t="str">
        <f t="shared" si="60"/>
        <v/>
      </c>
      <c r="I55" s="59" t="str">
        <f t="shared" si="60"/>
        <v/>
      </c>
      <c r="J55" s="59">
        <f t="shared" si="60"/>
        <v>10.594473166786877</v>
      </c>
      <c r="K55" s="59">
        <f t="shared" si="60"/>
        <v>18.108354095243776</v>
      </c>
      <c r="L55" s="59" t="str">
        <f t="shared" si="60"/>
        <v/>
      </c>
      <c r="M55" s="59" t="str">
        <f>IF(M33=1,L19-ABS(M13/M35),IF(xchladice&lt;L18,L19-(L19-Hchladice)*(M6-L16)/(Tchladice-L16),""))</f>
        <v/>
      </c>
      <c r="N55" s="59" t="str">
        <f>IF(N33=1,M19-ABS(N13/N35),IF(xchladice&lt;M18,M19-(M19-Hchladice)*(N6-M16)/(Tchladice-M16),""))</f>
        <v/>
      </c>
      <c r="O55" s="59" t="str">
        <f>IF(O33=1,N19-ABS(O13/O35),IF(xchladice&lt;N18,N19-(N19-Hchladice)*(O6-N16)/(Tchladice-N16),""))</f>
        <v/>
      </c>
      <c r="P55" s="59" t="str">
        <f>IF(P33=1,O19-ABS(P13/P35),IF(xchladice&lt;O18,O19-(O19-Hchladice)*(P6-O16)/(Tchladice-O16),""))</f>
        <v/>
      </c>
      <c r="Q55" s="59" t="str">
        <f t="shared" ref="Q55" si="61">IF(Q33=1,P19-ABS(Q13/Q35),IF(xchladice&lt;P18,P19-(P19-Hchladice)*(Q6-P16)/(Tchladice-P16),""))</f>
        <v/>
      </c>
      <c r="R55" s="59" t="e">
        <f t="shared" ref="R55:W55" si="62">IF(R33=1,Q19-ABS(R13/R35),IF(xchladice&lt;Q18,Q19-(Q19-Hchladice)*(R6-Q16)/(Tchladice-Q16),""))</f>
        <v>#VALUE!</v>
      </c>
      <c r="S55" s="59" t="e">
        <f t="shared" si="62"/>
        <v>#VALUE!</v>
      </c>
      <c r="T55" s="59" t="e">
        <f t="shared" si="62"/>
        <v>#VALUE!</v>
      </c>
      <c r="U55" s="59" t="e">
        <f t="shared" si="62"/>
        <v>#VALUE!</v>
      </c>
      <c r="V55" s="59" t="e">
        <f t="shared" si="62"/>
        <v>#VALUE!</v>
      </c>
      <c r="W55" s="59" t="e">
        <f t="shared" si="62"/>
        <v>#VALUE!</v>
      </c>
      <c r="X55" s="59" t="e">
        <f t="shared" ref="X55" si="63">IF(X33=1,W19-ABS(X13/X35),IF(xchladice&lt;W18,W19-(W19-Hchladice)*(X6-W16)/(Tchladice-W16),""))</f>
        <v>#VALUE!</v>
      </c>
      <c r="Z55" s="61"/>
      <c r="AA55" s="61"/>
      <c r="AB55" s="61"/>
    </row>
    <row r="56" spans="2:28" s="59" customFormat="1" x14ac:dyDescent="0.2">
      <c r="B56" s="59" t="s">
        <v>105</v>
      </c>
      <c r="C56" s="59" t="s">
        <v>36</v>
      </c>
      <c r="E56" s="67" t="b">
        <f>TRUE</f>
        <v>1</v>
      </c>
      <c r="F56" s="67" t="b">
        <f>OR(F30=1,F31=1,F32=1,(F29+F33)=2)</f>
        <v>1</v>
      </c>
      <c r="G56" s="67" t="b">
        <f t="shared" ref="G56:X56" si="64">OR(G30=1,G31=1,G32=1,(G29+G33)=2)</f>
        <v>1</v>
      </c>
      <c r="H56" s="67" t="b">
        <f t="shared" si="64"/>
        <v>1</v>
      </c>
      <c r="I56" s="67" t="b">
        <f t="shared" si="64"/>
        <v>1</v>
      </c>
      <c r="J56" s="67" t="b">
        <f t="shared" si="64"/>
        <v>0</v>
      </c>
      <c r="K56" s="67" t="b">
        <f t="shared" si="64"/>
        <v>1</v>
      </c>
      <c r="L56" s="67" t="b">
        <f t="shared" si="64"/>
        <v>0</v>
      </c>
      <c r="M56" s="111" t="b">
        <f t="shared" si="64"/>
        <v>1</v>
      </c>
      <c r="N56" s="111" t="b">
        <f t="shared" si="64"/>
        <v>1</v>
      </c>
      <c r="O56" s="111" t="b">
        <f t="shared" si="64"/>
        <v>1</v>
      </c>
      <c r="P56" s="111" t="b">
        <f t="shared" si="64"/>
        <v>1</v>
      </c>
      <c r="Q56" s="111" t="b">
        <f t="shared" si="64"/>
        <v>0</v>
      </c>
      <c r="R56" s="111" t="b">
        <f t="shared" si="64"/>
        <v>0</v>
      </c>
      <c r="S56" s="111" t="b">
        <f t="shared" si="64"/>
        <v>0</v>
      </c>
      <c r="T56" s="111" t="b">
        <f t="shared" si="64"/>
        <v>0</v>
      </c>
      <c r="U56" s="111" t="b">
        <f t="shared" si="64"/>
        <v>0</v>
      </c>
      <c r="V56" s="111" t="b">
        <f t="shared" si="64"/>
        <v>0</v>
      </c>
      <c r="W56" s="111" t="b">
        <f t="shared" si="64"/>
        <v>0</v>
      </c>
      <c r="X56" s="111" t="b">
        <f t="shared" si="64"/>
        <v>0</v>
      </c>
      <c r="Z56" s="61"/>
      <c r="AA56" s="61"/>
      <c r="AB56" s="61"/>
    </row>
    <row r="57" spans="2:28" s="59" customFormat="1" x14ac:dyDescent="0.2">
      <c r="B57" s="59" t="s">
        <v>47</v>
      </c>
      <c r="C57" s="59" t="s">
        <v>36</v>
      </c>
      <c r="E57" s="67" t="b">
        <f>FALSE</f>
        <v>0</v>
      </c>
      <c r="F57" s="67" t="b">
        <f>(F29+F33)=0</f>
        <v>0</v>
      </c>
      <c r="G57" s="67" t="b">
        <f t="shared" ref="G57:X57" si="65">(G29+G33)=0</f>
        <v>0</v>
      </c>
      <c r="H57" s="67" t="b">
        <f t="shared" si="65"/>
        <v>0</v>
      </c>
      <c r="I57" s="67" t="b">
        <f t="shared" si="65"/>
        <v>0</v>
      </c>
      <c r="J57" s="67" t="b">
        <f t="shared" si="65"/>
        <v>1</v>
      </c>
      <c r="K57" s="67" t="b">
        <f t="shared" si="65"/>
        <v>0</v>
      </c>
      <c r="L57" s="67" t="b">
        <f t="shared" si="65"/>
        <v>0</v>
      </c>
      <c r="M57" s="111" t="b">
        <f t="shared" si="65"/>
        <v>0</v>
      </c>
      <c r="N57" s="111" t="b">
        <f t="shared" si="65"/>
        <v>0</v>
      </c>
      <c r="O57" s="111" t="b">
        <f t="shared" si="65"/>
        <v>0</v>
      </c>
      <c r="P57" s="111" t="b">
        <f t="shared" si="65"/>
        <v>0</v>
      </c>
      <c r="Q57" s="111" t="b">
        <f t="shared" si="65"/>
        <v>1</v>
      </c>
      <c r="R57" s="111" t="b">
        <f t="shared" si="65"/>
        <v>1</v>
      </c>
      <c r="S57" s="111" t="b">
        <f t="shared" si="65"/>
        <v>1</v>
      </c>
      <c r="T57" s="111" t="b">
        <f t="shared" si="65"/>
        <v>1</v>
      </c>
      <c r="U57" s="111" t="b">
        <f t="shared" si="65"/>
        <v>1</v>
      </c>
      <c r="V57" s="111" t="b">
        <f t="shared" si="65"/>
        <v>1</v>
      </c>
      <c r="W57" s="111" t="b">
        <f t="shared" si="65"/>
        <v>1</v>
      </c>
      <c r="X57" s="111" t="b">
        <f t="shared" si="65"/>
        <v>1</v>
      </c>
      <c r="Z57" s="61"/>
      <c r="AA57" s="61"/>
      <c r="AB57" s="61"/>
    </row>
    <row r="58" spans="2:28" s="59" customFormat="1" x14ac:dyDescent="0.2">
      <c r="B58" s="59" t="s">
        <v>36</v>
      </c>
      <c r="C58" s="59" t="s">
        <v>36</v>
      </c>
      <c r="E58" s="67" t="b">
        <f>FALSE</f>
        <v>0</v>
      </c>
      <c r="F58" s="67" t="b">
        <f>FALSE</f>
        <v>0</v>
      </c>
      <c r="G58" s="67" t="b">
        <f>FALSE</f>
        <v>0</v>
      </c>
      <c r="H58" s="67" t="b">
        <f>FALSE</f>
        <v>0</v>
      </c>
      <c r="I58" s="67" t="b">
        <f>FALSE</f>
        <v>0</v>
      </c>
      <c r="J58" s="67" t="b">
        <f>FALSE</f>
        <v>0</v>
      </c>
      <c r="K58" s="67" t="b">
        <f>FALSE</f>
        <v>0</v>
      </c>
      <c r="L58" s="67" t="b">
        <f>FALSE</f>
        <v>0</v>
      </c>
      <c r="M58" s="111" t="b">
        <f>FALSE</f>
        <v>0</v>
      </c>
      <c r="N58" s="111" t="b">
        <f>FALSE</f>
        <v>0</v>
      </c>
      <c r="O58" s="111" t="b">
        <f>FALSE</f>
        <v>0</v>
      </c>
      <c r="P58" s="111" t="b">
        <f>FALSE</f>
        <v>0</v>
      </c>
      <c r="Q58" s="111" t="b">
        <f>FALSE</f>
        <v>0</v>
      </c>
      <c r="R58" s="111" t="b">
        <f>FALSE</f>
        <v>0</v>
      </c>
      <c r="S58" s="111" t="b">
        <f>FALSE</f>
        <v>0</v>
      </c>
      <c r="T58" s="111" t="b">
        <f>FALSE</f>
        <v>0</v>
      </c>
      <c r="U58" s="111" t="b">
        <f>FALSE</f>
        <v>0</v>
      </c>
      <c r="V58" s="111" t="b">
        <f>FALSE</f>
        <v>0</v>
      </c>
      <c r="W58" s="111" t="b">
        <f>FALSE</f>
        <v>0</v>
      </c>
      <c r="X58" s="111" t="b">
        <f>FALSE</f>
        <v>0</v>
      </c>
      <c r="Z58" s="61"/>
      <c r="AA58" s="61"/>
      <c r="AB58" s="61"/>
    </row>
    <row r="59" spans="2:28" s="59" customFormat="1" x14ac:dyDescent="0.2">
      <c r="B59" s="65"/>
      <c r="E59" s="68"/>
      <c r="Z59" s="61"/>
      <c r="AA59" s="61"/>
      <c r="AB59" s="61"/>
    </row>
    <row r="60" spans="2:28" s="59" customFormat="1" ht="38.25" x14ac:dyDescent="0.2">
      <c r="B60" s="66" t="s">
        <v>102</v>
      </c>
      <c r="C60" s="62" t="s">
        <v>0</v>
      </c>
      <c r="E60" s="68" t="str">
        <f>""</f>
        <v/>
      </c>
      <c r="F60" s="59">
        <f>IF(F29=1,MAX(F6,E21),"")</f>
        <v>-25</v>
      </c>
      <c r="G60" s="59">
        <f t="shared" ref="G60:X60" si="66">IF(G29=1,G6,"")</f>
        <v>-25</v>
      </c>
      <c r="H60" s="59">
        <f t="shared" si="66"/>
        <v>-25</v>
      </c>
      <c r="I60" s="59">
        <f t="shared" si="66"/>
        <v>20</v>
      </c>
      <c r="J60" s="59" t="str">
        <f t="shared" si="66"/>
        <v/>
      </c>
      <c r="K60" s="59">
        <f t="shared" si="66"/>
        <v>4.277020603210544</v>
      </c>
      <c r="L60" s="59">
        <f t="shared" si="66"/>
        <v>8</v>
      </c>
      <c r="M60" s="59">
        <f>IF(M29=1,M6,"")</f>
        <v>8</v>
      </c>
      <c r="N60" s="59">
        <f>IF(N29=1,N6,"")</f>
        <v>8</v>
      </c>
      <c r="O60" s="59">
        <f>IF(O29=1,O6,"")</f>
        <v>8</v>
      </c>
      <c r="P60" s="59">
        <f>IF(P29=1,P6,"")</f>
        <v>8</v>
      </c>
      <c r="Q60" s="59" t="str">
        <f t="shared" si="66"/>
        <v/>
      </c>
      <c r="R60" s="59" t="str">
        <f t="shared" ref="R60:W60" si="67">IF(R29=1,R6,"")</f>
        <v/>
      </c>
      <c r="S60" s="59" t="str">
        <f t="shared" si="67"/>
        <v/>
      </c>
      <c r="T60" s="59" t="str">
        <f t="shared" si="67"/>
        <v/>
      </c>
      <c r="U60" s="59" t="str">
        <f t="shared" si="67"/>
        <v/>
      </c>
      <c r="V60" s="59" t="str">
        <f t="shared" si="67"/>
        <v/>
      </c>
      <c r="W60" s="59" t="str">
        <f t="shared" si="67"/>
        <v/>
      </c>
      <c r="X60" s="59" t="str">
        <f t="shared" si="66"/>
        <v/>
      </c>
      <c r="Z60" s="61"/>
      <c r="AA60" s="61"/>
      <c r="AB60" s="61"/>
    </row>
    <row r="61" spans="2:28" s="59" customFormat="1" x14ac:dyDescent="0.2">
      <c r="C61" s="63" t="s">
        <v>1</v>
      </c>
      <c r="E61" s="68" t="str">
        <f>""</f>
        <v/>
      </c>
      <c r="F61" s="59">
        <f>IF(F30=1,F7/100,"")</f>
        <v>0.2</v>
      </c>
      <c r="G61" s="59">
        <f t="shared" ref="G61:X61" si="68">IF(G30=1,G7/100,"")</f>
        <v>0.2</v>
      </c>
      <c r="H61" s="59">
        <f t="shared" si="68"/>
        <v>0.2</v>
      </c>
      <c r="I61" s="59">
        <f t="shared" si="68"/>
        <v>0.6</v>
      </c>
      <c r="J61" s="59" t="str">
        <f t="shared" si="68"/>
        <v/>
      </c>
      <c r="K61" s="59">
        <f t="shared" si="68"/>
        <v>0.01</v>
      </c>
      <c r="L61" s="59" t="str">
        <f t="shared" si="68"/>
        <v/>
      </c>
      <c r="M61" s="59">
        <f>IF(M30=1,M7/100,"")</f>
        <v>7.7246107631210339E-5</v>
      </c>
      <c r="N61" s="59">
        <f>IF(N30=1,N7/100,"")</f>
        <v>7.7246107631210312E-7</v>
      </c>
      <c r="O61" s="59">
        <f>IF(O30=1,O7/100,"")</f>
        <v>7.7246107631210306E-9</v>
      </c>
      <c r="P61" s="59">
        <f>IF(P30=1,P7/100,"")</f>
        <v>7.7246107631210307E-11</v>
      </c>
      <c r="Q61" s="59" t="str">
        <f t="shared" si="68"/>
        <v/>
      </c>
      <c r="R61" s="59" t="str">
        <f t="shared" ref="R61:W61" si="69">IF(R30=1,R7/100,"")</f>
        <v/>
      </c>
      <c r="S61" s="59" t="str">
        <f t="shared" si="69"/>
        <v/>
      </c>
      <c r="T61" s="59" t="str">
        <f t="shared" si="69"/>
        <v/>
      </c>
      <c r="U61" s="59" t="str">
        <f t="shared" si="69"/>
        <v/>
      </c>
      <c r="V61" s="59" t="str">
        <f t="shared" si="69"/>
        <v/>
      </c>
      <c r="W61" s="59" t="str">
        <f t="shared" si="69"/>
        <v/>
      </c>
      <c r="X61" s="59" t="str">
        <f t="shared" si="68"/>
        <v/>
      </c>
      <c r="Z61" s="61"/>
      <c r="AA61" s="61"/>
      <c r="AB61" s="61"/>
    </row>
    <row r="62" spans="2:28" s="59" customFormat="1" x14ac:dyDescent="0.2">
      <c r="C62" s="62" t="s">
        <v>2</v>
      </c>
      <c r="E62" s="68" t="str">
        <f>""</f>
        <v/>
      </c>
      <c r="F62" s="59" t="str">
        <f>IF(F31=1,F8,"")</f>
        <v/>
      </c>
      <c r="G62" s="59" t="str">
        <f t="shared" ref="G62:X62" si="70">IF(G31=1,G8,"")</f>
        <v/>
      </c>
      <c r="H62" s="59" t="str">
        <f t="shared" si="70"/>
        <v/>
      </c>
      <c r="I62" s="59" t="str">
        <f t="shared" si="70"/>
        <v/>
      </c>
      <c r="J62" s="59" t="str">
        <f t="shared" si="70"/>
        <v/>
      </c>
      <c r="K62" s="59" t="str">
        <f t="shared" si="70"/>
        <v/>
      </c>
      <c r="L62" s="59" t="str">
        <f t="shared" si="70"/>
        <v/>
      </c>
      <c r="M62" s="59" t="str">
        <f>IF(M31=1,M8,"")</f>
        <v/>
      </c>
      <c r="N62" s="59" t="str">
        <f>IF(N31=1,N8,"")</f>
        <v/>
      </c>
      <c r="O62" s="59" t="str">
        <f>IF(O31=1,O8,"")</f>
        <v/>
      </c>
      <c r="P62" s="59" t="str">
        <f>IF(P31=1,P8,"")</f>
        <v/>
      </c>
      <c r="Q62" s="59" t="str">
        <f t="shared" si="70"/>
        <v/>
      </c>
      <c r="R62" s="59" t="str">
        <f t="shared" ref="R62:W62" si="71">IF(R31=1,R8,"")</f>
        <v/>
      </c>
      <c r="S62" s="59" t="str">
        <f t="shared" si="71"/>
        <v/>
      </c>
      <c r="T62" s="59" t="str">
        <f t="shared" si="71"/>
        <v/>
      </c>
      <c r="U62" s="59" t="str">
        <f t="shared" si="71"/>
        <v/>
      </c>
      <c r="V62" s="59" t="str">
        <f t="shared" si="71"/>
        <v/>
      </c>
      <c r="W62" s="59" t="str">
        <f t="shared" si="71"/>
        <v/>
      </c>
      <c r="X62" s="59" t="str">
        <f t="shared" si="70"/>
        <v/>
      </c>
      <c r="Z62" s="61"/>
      <c r="AA62" s="61"/>
      <c r="AB62" s="61"/>
    </row>
    <row r="63" spans="2:28" s="59" customFormat="1" x14ac:dyDescent="0.2">
      <c r="C63" s="62" t="s">
        <v>3</v>
      </c>
      <c r="E63" s="68" t="str">
        <f>""</f>
        <v/>
      </c>
      <c r="F63" s="70">
        <f>E19</f>
        <v>-25.045776376404888</v>
      </c>
      <c r="G63" s="70">
        <f t="shared" ref="G63:X63" si="72">F19</f>
        <v>-25.045776376404888</v>
      </c>
      <c r="H63" s="70">
        <f t="shared" si="72"/>
        <v>-25.045776376404888</v>
      </c>
      <c r="I63" s="70">
        <f t="shared" si="72"/>
        <v>-25.045776376404888</v>
      </c>
      <c r="J63" s="70">
        <f t="shared" si="72"/>
        <v>43.997460900850115</v>
      </c>
      <c r="K63" s="70">
        <f t="shared" si="72"/>
        <v>18.108354095243776</v>
      </c>
      <c r="L63" s="70">
        <f t="shared" si="72"/>
        <v>4.4564811634674903</v>
      </c>
      <c r="M63" s="70">
        <f t="shared" si="72"/>
        <v>8.2170676209735181</v>
      </c>
      <c r="N63" s="70">
        <f t="shared" si="72"/>
        <v>8.0813705574012751</v>
      </c>
      <c r="O63" s="70">
        <f>N19</f>
        <v>8.0800137055621324</v>
      </c>
      <c r="P63" s="70">
        <f t="shared" si="72"/>
        <v>8.0800001370556203</v>
      </c>
      <c r="Q63" s="70">
        <f t="shared" si="72"/>
        <v>8.0800000013705571</v>
      </c>
      <c r="R63" s="70" t="str">
        <f t="shared" si="72"/>
        <v/>
      </c>
      <c r="S63" s="70" t="str">
        <f t="shared" si="72"/>
        <v/>
      </c>
      <c r="T63" s="70" t="str">
        <f t="shared" si="72"/>
        <v/>
      </c>
      <c r="U63" s="70" t="str">
        <f t="shared" si="72"/>
        <v/>
      </c>
      <c r="V63" s="70" t="str">
        <f t="shared" si="72"/>
        <v/>
      </c>
      <c r="W63" s="70" t="str">
        <f t="shared" si="72"/>
        <v/>
      </c>
      <c r="X63" s="70" t="str">
        <f t="shared" si="72"/>
        <v/>
      </c>
      <c r="Z63" s="61"/>
      <c r="AA63" s="61"/>
      <c r="AB63" s="61"/>
    </row>
    <row r="64" spans="2:28" s="59" customFormat="1" x14ac:dyDescent="0.2">
      <c r="B64" s="59" t="s">
        <v>105</v>
      </c>
      <c r="C64" s="59" t="s">
        <v>36</v>
      </c>
      <c r="E64" s="67" t="b">
        <f>TRUE</f>
        <v>1</v>
      </c>
      <c r="F64" s="67" t="b">
        <f>OR(F33=1,F32=1,(F29+F30+F31)&gt;=2)</f>
        <v>1</v>
      </c>
      <c r="G64" s="67" t="b">
        <f t="shared" ref="G64:X64" si="73">OR(G33=1,G32=1,(G29+G30+G31)&gt;=2)</f>
        <v>1</v>
      </c>
      <c r="H64" s="67" t="b">
        <f t="shared" si="73"/>
        <v>1</v>
      </c>
      <c r="I64" s="67" t="b">
        <f t="shared" si="73"/>
        <v>1</v>
      </c>
      <c r="J64" s="67" t="b">
        <f t="shared" si="73"/>
        <v>0</v>
      </c>
      <c r="K64" s="67" t="b">
        <f t="shared" si="73"/>
        <v>1</v>
      </c>
      <c r="L64" s="67" t="b">
        <f t="shared" si="73"/>
        <v>0</v>
      </c>
      <c r="M64" s="111" t="b">
        <f t="shared" si="73"/>
        <v>1</v>
      </c>
      <c r="N64" s="111" t="b">
        <f t="shared" si="73"/>
        <v>1</v>
      </c>
      <c r="O64" s="111" t="b">
        <f t="shared" si="73"/>
        <v>1</v>
      </c>
      <c r="P64" s="111" t="b">
        <f t="shared" si="73"/>
        <v>1</v>
      </c>
      <c r="Q64" s="111" t="b">
        <f t="shared" si="73"/>
        <v>0</v>
      </c>
      <c r="R64" s="111" t="b">
        <f t="shared" si="73"/>
        <v>0</v>
      </c>
      <c r="S64" s="111" t="b">
        <f t="shared" si="73"/>
        <v>0</v>
      </c>
      <c r="T64" s="111" t="b">
        <f t="shared" si="73"/>
        <v>0</v>
      </c>
      <c r="U64" s="111" t="b">
        <f t="shared" si="73"/>
        <v>0</v>
      </c>
      <c r="V64" s="111" t="b">
        <f t="shared" si="73"/>
        <v>0</v>
      </c>
      <c r="W64" s="111" t="b">
        <f t="shared" si="73"/>
        <v>0</v>
      </c>
      <c r="X64" s="111" t="b">
        <f t="shared" si="73"/>
        <v>0</v>
      </c>
      <c r="Z64" s="61"/>
      <c r="AA64" s="61"/>
      <c r="AB64" s="61"/>
    </row>
    <row r="65" spans="2:28" s="59" customFormat="1" x14ac:dyDescent="0.2">
      <c r="B65" s="59" t="s">
        <v>47</v>
      </c>
      <c r="C65" s="59" t="s">
        <v>36</v>
      </c>
      <c r="E65" s="67" t="b">
        <f>FALSE</f>
        <v>0</v>
      </c>
      <c r="F65" s="67" t="b">
        <f>F30+F31+F29=0</f>
        <v>0</v>
      </c>
      <c r="G65" s="67" t="b">
        <f t="shared" ref="G65:X65" si="74">G30+G31+G29=0</f>
        <v>0</v>
      </c>
      <c r="H65" s="67" t="b">
        <f t="shared" si="74"/>
        <v>0</v>
      </c>
      <c r="I65" s="67" t="b">
        <f t="shared" si="74"/>
        <v>0</v>
      </c>
      <c r="J65" s="67" t="b">
        <f t="shared" si="74"/>
        <v>1</v>
      </c>
      <c r="K65" s="67" t="b">
        <f t="shared" si="74"/>
        <v>0</v>
      </c>
      <c r="L65" s="67" t="b">
        <f t="shared" si="74"/>
        <v>0</v>
      </c>
      <c r="M65" s="111" t="b">
        <f t="shared" si="74"/>
        <v>0</v>
      </c>
      <c r="N65" s="111" t="b">
        <f t="shared" si="74"/>
        <v>0</v>
      </c>
      <c r="O65" s="111" t="b">
        <f t="shared" si="74"/>
        <v>0</v>
      </c>
      <c r="P65" s="111" t="b">
        <f t="shared" si="74"/>
        <v>0</v>
      </c>
      <c r="Q65" s="111" t="b">
        <f t="shared" si="74"/>
        <v>1</v>
      </c>
      <c r="R65" s="111" t="b">
        <f t="shared" si="74"/>
        <v>1</v>
      </c>
      <c r="S65" s="111" t="b">
        <f t="shared" si="74"/>
        <v>1</v>
      </c>
      <c r="T65" s="111" t="b">
        <f t="shared" si="74"/>
        <v>1</v>
      </c>
      <c r="U65" s="111" t="b">
        <f t="shared" si="74"/>
        <v>1</v>
      </c>
      <c r="V65" s="111" t="b">
        <f t="shared" si="74"/>
        <v>1</v>
      </c>
      <c r="W65" s="111" t="b">
        <f t="shared" si="74"/>
        <v>1</v>
      </c>
      <c r="X65" s="111" t="b">
        <f t="shared" si="74"/>
        <v>1</v>
      </c>
      <c r="Z65" s="61"/>
      <c r="AA65" s="61"/>
      <c r="AB65" s="61"/>
    </row>
    <row r="66" spans="2:28" s="59" customFormat="1" x14ac:dyDescent="0.2">
      <c r="B66" s="59" t="s">
        <v>36</v>
      </c>
      <c r="C66" s="59" t="s">
        <v>36</v>
      </c>
      <c r="E66" s="67" t="b">
        <f>FALSE</f>
        <v>0</v>
      </c>
      <c r="F66" s="67" t="b">
        <f>FALSE</f>
        <v>0</v>
      </c>
      <c r="G66" s="67" t="b">
        <f>FALSE</f>
        <v>0</v>
      </c>
      <c r="H66" s="67" t="b">
        <f>FALSE</f>
        <v>0</v>
      </c>
      <c r="I66" s="67" t="b">
        <f>FALSE</f>
        <v>0</v>
      </c>
      <c r="J66" s="67" t="b">
        <f>FALSE</f>
        <v>0</v>
      </c>
      <c r="K66" s="67" t="b">
        <f>FALSE</f>
        <v>0</v>
      </c>
      <c r="L66" s="67" t="b">
        <f>FALSE</f>
        <v>0</v>
      </c>
      <c r="M66" s="111" t="b">
        <f>FALSE</f>
        <v>0</v>
      </c>
      <c r="N66" s="111" t="b">
        <f>FALSE</f>
        <v>0</v>
      </c>
      <c r="O66" s="111" t="b">
        <f>FALSE</f>
        <v>0</v>
      </c>
      <c r="P66" s="111" t="b">
        <f>FALSE</f>
        <v>0</v>
      </c>
      <c r="Q66" s="111" t="b">
        <f>FALSE</f>
        <v>0</v>
      </c>
      <c r="R66" s="111" t="b">
        <f>FALSE</f>
        <v>0</v>
      </c>
      <c r="S66" s="111" t="b">
        <f>FALSE</f>
        <v>0</v>
      </c>
      <c r="T66" s="111" t="b">
        <f>FALSE</f>
        <v>0</v>
      </c>
      <c r="U66" s="111" t="b">
        <f>FALSE</f>
        <v>0</v>
      </c>
      <c r="V66" s="111" t="b">
        <f>FALSE</f>
        <v>0</v>
      </c>
      <c r="W66" s="111" t="b">
        <f>FALSE</f>
        <v>0</v>
      </c>
      <c r="X66" s="111" t="b">
        <f>FALSE</f>
        <v>0</v>
      </c>
      <c r="Z66" s="61"/>
      <c r="AA66" s="61"/>
      <c r="AB66" s="61"/>
    </row>
    <row r="67" spans="2:28" s="59" customFormat="1" x14ac:dyDescent="0.2">
      <c r="B67" s="65"/>
      <c r="E67" s="68"/>
      <c r="Z67" s="61"/>
      <c r="AA67" s="61"/>
      <c r="AB67" s="61"/>
    </row>
    <row r="68" spans="2:28" s="59" customFormat="1" ht="25.5" x14ac:dyDescent="0.2">
      <c r="B68" s="66" t="s">
        <v>98</v>
      </c>
      <c r="C68" s="62" t="s">
        <v>0</v>
      </c>
      <c r="E68" s="68" t="str">
        <f>""</f>
        <v/>
      </c>
      <c r="F68" s="70">
        <f>E16</f>
        <v>-25</v>
      </c>
      <c r="G68" s="70">
        <f t="shared" ref="G68:X68" si="75">F16</f>
        <v>-25</v>
      </c>
      <c r="H68" s="70">
        <f t="shared" si="75"/>
        <v>-25</v>
      </c>
      <c r="I68" s="70">
        <f t="shared" si="75"/>
        <v>-25</v>
      </c>
      <c r="J68" s="70">
        <f t="shared" si="75"/>
        <v>20</v>
      </c>
      <c r="K68" s="70">
        <f t="shared" si="75"/>
        <v>4.277020603210544</v>
      </c>
      <c r="L68" s="70">
        <f t="shared" si="75"/>
        <v>4.277020603210544</v>
      </c>
      <c r="M68" s="70">
        <f t="shared" si="75"/>
        <v>8</v>
      </c>
      <c r="N68" s="70">
        <f t="shared" si="75"/>
        <v>8</v>
      </c>
      <c r="O68" s="70">
        <f>N16</f>
        <v>8</v>
      </c>
      <c r="P68" s="70">
        <f t="shared" si="75"/>
        <v>8</v>
      </c>
      <c r="Q68" s="70">
        <f t="shared" si="75"/>
        <v>8</v>
      </c>
      <c r="R68" s="70" t="str">
        <f t="shared" si="75"/>
        <v/>
      </c>
      <c r="S68" s="70" t="str">
        <f t="shared" si="75"/>
        <v/>
      </c>
      <c r="T68" s="70" t="str">
        <f t="shared" si="75"/>
        <v/>
      </c>
      <c r="U68" s="70" t="str">
        <f t="shared" si="75"/>
        <v/>
      </c>
      <c r="V68" s="70" t="str">
        <f t="shared" si="75"/>
        <v/>
      </c>
      <c r="W68" s="70" t="str">
        <f t="shared" si="75"/>
        <v/>
      </c>
      <c r="X68" s="70" t="str">
        <f t="shared" si="75"/>
        <v/>
      </c>
      <c r="Z68" s="61"/>
      <c r="AA68" s="61"/>
      <c r="AB68" s="61"/>
    </row>
    <row r="69" spans="2:28" s="59" customFormat="1" x14ac:dyDescent="0.2">
      <c r="C69" s="63" t="s">
        <v>1</v>
      </c>
      <c r="E69" s="68" t="str">
        <f>""</f>
        <v/>
      </c>
      <c r="F69" s="59">
        <f>IF(F30=1,F7/100,"")</f>
        <v>0.2</v>
      </c>
      <c r="G69" s="59">
        <f t="shared" ref="G69:X69" si="76">IF(G30=1,G7/100,"")</f>
        <v>0.2</v>
      </c>
      <c r="H69" s="59">
        <f t="shared" si="76"/>
        <v>0.2</v>
      </c>
      <c r="I69" s="59">
        <f t="shared" si="76"/>
        <v>0.6</v>
      </c>
      <c r="J69" s="59" t="str">
        <f t="shared" si="76"/>
        <v/>
      </c>
      <c r="K69" s="59">
        <f t="shared" si="76"/>
        <v>0.01</v>
      </c>
      <c r="L69" s="59" t="str">
        <f t="shared" si="76"/>
        <v/>
      </c>
      <c r="M69" s="59">
        <f>IF(M30=1,M7/100,"")</f>
        <v>7.7246107631210339E-5</v>
      </c>
      <c r="N69" s="59">
        <f>IF(N30=1,N7/100,"")</f>
        <v>7.7246107631210312E-7</v>
      </c>
      <c r="O69" s="59">
        <f>IF(O30=1,O7/100,"")</f>
        <v>7.7246107631210306E-9</v>
      </c>
      <c r="P69" s="59">
        <f>IF(P30=1,P7/100,"")</f>
        <v>7.7246107631210307E-11</v>
      </c>
      <c r="Q69" s="59" t="str">
        <f t="shared" si="76"/>
        <v/>
      </c>
      <c r="R69" s="59" t="str">
        <f t="shared" ref="R69:W69" si="77">IF(R30=1,R7/100,"")</f>
        <v/>
      </c>
      <c r="S69" s="59" t="str">
        <f t="shared" si="77"/>
        <v/>
      </c>
      <c r="T69" s="59" t="str">
        <f t="shared" si="77"/>
        <v/>
      </c>
      <c r="U69" s="59" t="str">
        <f t="shared" si="77"/>
        <v/>
      </c>
      <c r="V69" s="59" t="str">
        <f t="shared" si="77"/>
        <v/>
      </c>
      <c r="W69" s="59" t="str">
        <f t="shared" si="77"/>
        <v/>
      </c>
      <c r="X69" s="59" t="str">
        <f t="shared" si="76"/>
        <v/>
      </c>
      <c r="Z69" s="61"/>
      <c r="AA69" s="61"/>
      <c r="AB69" s="61"/>
    </row>
    <row r="70" spans="2:28" s="59" customFormat="1" x14ac:dyDescent="0.2">
      <c r="C70" s="62" t="s">
        <v>2</v>
      </c>
      <c r="E70" s="68" t="str">
        <f>""</f>
        <v/>
      </c>
      <c r="F70" s="59" t="str">
        <f>IF(F31=1,F8,"")</f>
        <v/>
      </c>
      <c r="G70" s="59" t="str">
        <f t="shared" ref="G70:X70" si="78">IF(G31=1,G8,"")</f>
        <v/>
      </c>
      <c r="H70" s="59" t="str">
        <f t="shared" si="78"/>
        <v/>
      </c>
      <c r="I70" s="59" t="str">
        <f t="shared" si="78"/>
        <v/>
      </c>
      <c r="J70" s="59" t="str">
        <f t="shared" si="78"/>
        <v/>
      </c>
      <c r="K70" s="59" t="str">
        <f t="shared" si="78"/>
        <v/>
      </c>
      <c r="L70" s="59" t="str">
        <f t="shared" si="78"/>
        <v/>
      </c>
      <c r="M70" s="59" t="str">
        <f>IF(M31=1,M8,"")</f>
        <v/>
      </c>
      <c r="N70" s="59" t="str">
        <f>IF(N31=1,N8,"")</f>
        <v/>
      </c>
      <c r="O70" s="59" t="str">
        <f>IF(O31=1,O8,"")</f>
        <v/>
      </c>
      <c r="P70" s="59" t="str">
        <f>IF(P31=1,P8,"")</f>
        <v/>
      </c>
      <c r="Q70" s="59" t="str">
        <f t="shared" si="78"/>
        <v/>
      </c>
      <c r="R70" s="59" t="str">
        <f t="shared" ref="R70:W70" si="79">IF(R31=1,R8,"")</f>
        <v/>
      </c>
      <c r="S70" s="59" t="str">
        <f t="shared" si="79"/>
        <v/>
      </c>
      <c r="T70" s="59" t="str">
        <f t="shared" si="79"/>
        <v/>
      </c>
      <c r="U70" s="59" t="str">
        <f t="shared" si="79"/>
        <v/>
      </c>
      <c r="V70" s="59" t="str">
        <f t="shared" si="79"/>
        <v/>
      </c>
      <c r="W70" s="59" t="str">
        <f t="shared" si="79"/>
        <v/>
      </c>
      <c r="X70" s="59" t="str">
        <f t="shared" si="78"/>
        <v/>
      </c>
      <c r="Z70" s="61"/>
      <c r="AA70" s="61"/>
      <c r="AB70" s="61"/>
    </row>
    <row r="71" spans="2:28" s="59" customFormat="1" x14ac:dyDescent="0.2">
      <c r="C71" s="62" t="s">
        <v>3</v>
      </c>
      <c r="E71" s="68" t="str">
        <f>""</f>
        <v/>
      </c>
      <c r="F71" s="59" t="str">
        <f>""</f>
        <v/>
      </c>
      <c r="G71" s="59" t="str">
        <f>""</f>
        <v/>
      </c>
      <c r="H71" s="59" t="str">
        <f>""</f>
        <v/>
      </c>
      <c r="I71" s="59" t="str">
        <f>""</f>
        <v/>
      </c>
      <c r="J71" s="59" t="str">
        <f>""</f>
        <v/>
      </c>
      <c r="K71" s="59" t="str">
        <f>""</f>
        <v/>
      </c>
      <c r="L71" s="59" t="str">
        <f>""</f>
        <v/>
      </c>
      <c r="M71" s="59" t="str">
        <f>""</f>
        <v/>
      </c>
      <c r="N71" s="59" t="str">
        <f>""</f>
        <v/>
      </c>
      <c r="O71" s="59" t="str">
        <f>""</f>
        <v/>
      </c>
      <c r="P71" s="59" t="str">
        <f>""</f>
        <v/>
      </c>
      <c r="Q71" s="59" t="str">
        <f>""</f>
        <v/>
      </c>
      <c r="R71" s="59" t="str">
        <f>""</f>
        <v/>
      </c>
      <c r="S71" s="59" t="str">
        <f>""</f>
        <v/>
      </c>
      <c r="T71" s="59" t="str">
        <f>""</f>
        <v/>
      </c>
      <c r="U71" s="59" t="str">
        <f>""</f>
        <v/>
      </c>
      <c r="V71" s="59" t="str">
        <f>""</f>
        <v/>
      </c>
      <c r="W71" s="59" t="str">
        <f>""</f>
        <v/>
      </c>
      <c r="X71" s="59" t="str">
        <f>""</f>
        <v/>
      </c>
      <c r="Z71" s="61"/>
      <c r="AA71" s="61"/>
      <c r="AB71" s="61"/>
    </row>
    <row r="72" spans="2:28" s="59" customFormat="1" x14ac:dyDescent="0.2">
      <c r="B72" s="59" t="s">
        <v>105</v>
      </c>
      <c r="C72" s="59" t="s">
        <v>36</v>
      </c>
      <c r="E72" s="67" t="b">
        <f>TRUE</f>
        <v>1</v>
      </c>
      <c r="F72" s="67" t="b">
        <f>OR(F29=1,(F30+F31)=2,F32=1,F33=1)</f>
        <v>1</v>
      </c>
      <c r="G72" s="67" t="b">
        <f t="shared" ref="G72:X72" si="80">OR(G29=1,(G30+G31)=2,G32=1,G33=1)</f>
        <v>1</v>
      </c>
      <c r="H72" s="67" t="b">
        <f t="shared" si="80"/>
        <v>1</v>
      </c>
      <c r="I72" s="67" t="b">
        <f t="shared" si="80"/>
        <v>1</v>
      </c>
      <c r="J72" s="67" t="b">
        <f t="shared" si="80"/>
        <v>0</v>
      </c>
      <c r="K72" s="67" t="b">
        <f t="shared" si="80"/>
        <v>1</v>
      </c>
      <c r="L72" s="67" t="b">
        <f t="shared" si="80"/>
        <v>1</v>
      </c>
      <c r="M72" s="111" t="b">
        <f t="shared" si="80"/>
        <v>1</v>
      </c>
      <c r="N72" s="111" t="b">
        <f t="shared" si="80"/>
        <v>1</v>
      </c>
      <c r="O72" s="111" t="b">
        <f t="shared" si="80"/>
        <v>1</v>
      </c>
      <c r="P72" s="111" t="b">
        <f t="shared" si="80"/>
        <v>1</v>
      </c>
      <c r="Q72" s="111" t="b">
        <f t="shared" si="80"/>
        <v>0</v>
      </c>
      <c r="R72" s="111" t="b">
        <f t="shared" si="80"/>
        <v>0</v>
      </c>
      <c r="S72" s="111" t="b">
        <f t="shared" si="80"/>
        <v>0</v>
      </c>
      <c r="T72" s="111" t="b">
        <f t="shared" si="80"/>
        <v>0</v>
      </c>
      <c r="U72" s="111" t="b">
        <f t="shared" si="80"/>
        <v>0</v>
      </c>
      <c r="V72" s="111" t="b">
        <f t="shared" si="80"/>
        <v>0</v>
      </c>
      <c r="W72" s="111" t="b">
        <f t="shared" si="80"/>
        <v>0</v>
      </c>
      <c r="X72" s="111" t="b">
        <f t="shared" si="80"/>
        <v>0</v>
      </c>
      <c r="Z72" s="61"/>
      <c r="AA72" s="61"/>
      <c r="AB72" s="61"/>
    </row>
    <row r="73" spans="2:28" s="59" customFormat="1" x14ac:dyDescent="0.2">
      <c r="B73" s="59" t="s">
        <v>47</v>
      </c>
      <c r="C73" s="59" t="s">
        <v>36</v>
      </c>
      <c r="E73" s="67" t="b">
        <f>FALSE</f>
        <v>0</v>
      </c>
      <c r="F73" s="67" t="b">
        <f>(F30+F31)=0</f>
        <v>0</v>
      </c>
      <c r="G73" s="67" t="b">
        <f t="shared" ref="G73:X73" si="81">(G30+G31)=0</f>
        <v>0</v>
      </c>
      <c r="H73" s="67" t="b">
        <f t="shared" si="81"/>
        <v>0</v>
      </c>
      <c r="I73" s="67" t="b">
        <f t="shared" si="81"/>
        <v>0</v>
      </c>
      <c r="J73" s="67" t="b">
        <f t="shared" si="81"/>
        <v>1</v>
      </c>
      <c r="K73" s="67" t="b">
        <f t="shared" si="81"/>
        <v>0</v>
      </c>
      <c r="L73" s="67" t="b">
        <f t="shared" si="81"/>
        <v>1</v>
      </c>
      <c r="M73" s="111" t="b">
        <f t="shared" si="81"/>
        <v>0</v>
      </c>
      <c r="N73" s="111" t="b">
        <f t="shared" si="81"/>
        <v>0</v>
      </c>
      <c r="O73" s="111" t="b">
        <f t="shared" si="81"/>
        <v>0</v>
      </c>
      <c r="P73" s="111" t="b">
        <f t="shared" si="81"/>
        <v>0</v>
      </c>
      <c r="Q73" s="111" t="b">
        <f t="shared" si="81"/>
        <v>1</v>
      </c>
      <c r="R73" s="111" t="b">
        <f t="shared" si="81"/>
        <v>1</v>
      </c>
      <c r="S73" s="111" t="b">
        <f t="shared" si="81"/>
        <v>1</v>
      </c>
      <c r="T73" s="111" t="b">
        <f t="shared" si="81"/>
        <v>1</v>
      </c>
      <c r="U73" s="111" t="b">
        <f t="shared" si="81"/>
        <v>1</v>
      </c>
      <c r="V73" s="111" t="b">
        <f t="shared" si="81"/>
        <v>1</v>
      </c>
      <c r="W73" s="111" t="b">
        <f t="shared" si="81"/>
        <v>1</v>
      </c>
      <c r="X73" s="111" t="b">
        <f t="shared" si="81"/>
        <v>1</v>
      </c>
      <c r="Z73" s="61"/>
      <c r="AA73" s="61"/>
      <c r="AB73" s="61"/>
    </row>
    <row r="74" spans="2:28" s="59" customFormat="1" x14ac:dyDescent="0.2">
      <c r="B74" s="59" t="s">
        <v>36</v>
      </c>
      <c r="C74" s="59" t="s">
        <v>36</v>
      </c>
      <c r="E74" s="67" t="b">
        <f>FALSE</f>
        <v>0</v>
      </c>
      <c r="F74" s="67" t="b">
        <f>FALSE</f>
        <v>0</v>
      </c>
      <c r="G74" s="67" t="b">
        <f>FALSE</f>
        <v>0</v>
      </c>
      <c r="H74" s="67" t="b">
        <f>FALSE</f>
        <v>0</v>
      </c>
      <c r="I74" s="67" t="b">
        <f>FALSE</f>
        <v>0</v>
      </c>
      <c r="J74" s="67" t="b">
        <f>FALSE</f>
        <v>0</v>
      </c>
      <c r="K74" s="67" t="b">
        <f>FALSE</f>
        <v>0</v>
      </c>
      <c r="L74" s="67" t="b">
        <f>FALSE</f>
        <v>0</v>
      </c>
      <c r="M74" s="111" t="b">
        <f>FALSE</f>
        <v>0</v>
      </c>
      <c r="N74" s="111" t="b">
        <f>FALSE</f>
        <v>0</v>
      </c>
      <c r="O74" s="111" t="b">
        <f>FALSE</f>
        <v>0</v>
      </c>
      <c r="P74" s="111" t="b">
        <f>FALSE</f>
        <v>0</v>
      </c>
      <c r="Q74" s="111" t="b">
        <f>FALSE</f>
        <v>0</v>
      </c>
      <c r="R74" s="111" t="b">
        <f>FALSE</f>
        <v>0</v>
      </c>
      <c r="S74" s="111" t="b">
        <f>FALSE</f>
        <v>0</v>
      </c>
      <c r="T74" s="111" t="b">
        <f>FALSE</f>
        <v>0</v>
      </c>
      <c r="U74" s="111" t="b">
        <f>FALSE</f>
        <v>0</v>
      </c>
      <c r="V74" s="111" t="b">
        <f>FALSE</f>
        <v>0</v>
      </c>
      <c r="W74" s="111" t="b">
        <f>FALSE</f>
        <v>0</v>
      </c>
      <c r="X74" s="111" t="b">
        <f>FALSE</f>
        <v>0</v>
      </c>
      <c r="Z74" s="61"/>
      <c r="AA74" s="61"/>
      <c r="AB74" s="61"/>
    </row>
    <row r="75" spans="2:28" s="59" customFormat="1" x14ac:dyDescent="0.2">
      <c r="E75" s="68"/>
      <c r="Z75" s="61"/>
      <c r="AA75" s="61"/>
      <c r="AB75" s="61"/>
    </row>
    <row r="76" spans="2:28" s="59" customFormat="1" ht="25.5" x14ac:dyDescent="0.2">
      <c r="B76" s="66" t="s">
        <v>99</v>
      </c>
      <c r="C76" s="62" t="s">
        <v>0</v>
      </c>
      <c r="E76" s="68" t="str">
        <f>""</f>
        <v/>
      </c>
      <c r="F76" s="68" t="str">
        <f>""</f>
        <v/>
      </c>
      <c r="G76" s="59" t="str">
        <f>""</f>
        <v/>
      </c>
      <c r="H76" s="59" t="str">
        <f>""</f>
        <v/>
      </c>
      <c r="I76" s="59" t="str">
        <f>""</f>
        <v/>
      </c>
      <c r="J76" s="59" t="str">
        <f>""</f>
        <v/>
      </c>
      <c r="K76" s="59" t="str">
        <f>""</f>
        <v/>
      </c>
      <c r="L76" s="59" t="str">
        <f>""</f>
        <v/>
      </c>
      <c r="M76" s="59" t="str">
        <f>""</f>
        <v/>
      </c>
      <c r="N76" s="59" t="str">
        <f>""</f>
        <v/>
      </c>
      <c r="O76" s="59" t="str">
        <f>""</f>
        <v/>
      </c>
      <c r="P76" s="59" t="str">
        <f>""</f>
        <v/>
      </c>
      <c r="Q76" s="59" t="str">
        <f>""</f>
        <v/>
      </c>
      <c r="R76" s="59" t="str">
        <f>""</f>
        <v/>
      </c>
      <c r="S76" s="59" t="str">
        <f>""</f>
        <v/>
      </c>
      <c r="T76" s="59" t="str">
        <f>""</f>
        <v/>
      </c>
      <c r="U76" s="59" t="str">
        <f>""</f>
        <v/>
      </c>
      <c r="V76" s="59" t="str">
        <f>""</f>
        <v/>
      </c>
      <c r="W76" s="59" t="str">
        <f>""</f>
        <v/>
      </c>
      <c r="X76" s="59" t="str">
        <f>""</f>
        <v/>
      </c>
      <c r="Z76" s="61"/>
      <c r="AA76" s="61"/>
      <c r="AB76" s="61"/>
    </row>
    <row r="77" spans="2:28" s="59" customFormat="1" x14ac:dyDescent="0.2">
      <c r="C77" s="63" t="s">
        <v>1</v>
      </c>
      <c r="E77" s="68" t="str">
        <f>""</f>
        <v/>
      </c>
      <c r="F77" s="68" t="str">
        <f>""</f>
        <v/>
      </c>
      <c r="G77" s="59" t="str">
        <f>""</f>
        <v/>
      </c>
      <c r="H77" s="59" t="str">
        <f>""</f>
        <v/>
      </c>
      <c r="I77" s="59" t="str">
        <f>""</f>
        <v/>
      </c>
      <c r="J77" s="59" t="str">
        <f>""</f>
        <v/>
      </c>
      <c r="K77" s="59" t="str">
        <f>""</f>
        <v/>
      </c>
      <c r="L77" s="59" t="str">
        <f>""</f>
        <v/>
      </c>
      <c r="M77" s="59" t="str">
        <f>""</f>
        <v/>
      </c>
      <c r="N77" s="59" t="str">
        <f>""</f>
        <v/>
      </c>
      <c r="O77" s="59" t="str">
        <f>""</f>
        <v/>
      </c>
      <c r="P77" s="59" t="str">
        <f>""</f>
        <v/>
      </c>
      <c r="Q77" s="59" t="str">
        <f>""</f>
        <v/>
      </c>
      <c r="R77" s="59" t="str">
        <f>""</f>
        <v/>
      </c>
      <c r="S77" s="59" t="str">
        <f>""</f>
        <v/>
      </c>
      <c r="T77" s="59" t="str">
        <f>""</f>
        <v/>
      </c>
      <c r="U77" s="59" t="str">
        <f>""</f>
        <v/>
      </c>
      <c r="V77" s="59" t="str">
        <f>""</f>
        <v/>
      </c>
      <c r="W77" s="59" t="str">
        <f>""</f>
        <v/>
      </c>
      <c r="X77" s="59" t="str">
        <f>""</f>
        <v/>
      </c>
      <c r="Z77" s="61"/>
      <c r="AA77" s="61"/>
      <c r="AB77" s="61"/>
    </row>
    <row r="78" spans="2:28" s="59" customFormat="1" x14ac:dyDescent="0.2">
      <c r="C78" s="62" t="s">
        <v>2</v>
      </c>
      <c r="E78" s="68" t="str">
        <f>""</f>
        <v/>
      </c>
      <c r="F78" s="68" t="str">
        <f>""</f>
        <v/>
      </c>
      <c r="G78" s="67">
        <f>(E18*E35+F35*F18)/(E35+F35)</f>
        <v>8.3203757830561539E-2</v>
      </c>
      <c r="H78" s="67">
        <f t="shared" ref="H78:X78" si="82">(F18*F35+G35*G18)/(F35+G35)</f>
        <v>8.3203757830561539E-2</v>
      </c>
      <c r="I78" s="67">
        <f t="shared" si="82"/>
        <v>8.3203757830561539E-2</v>
      </c>
      <c r="J78" s="67">
        <f t="shared" si="82"/>
        <v>5.8910284768057668</v>
      </c>
      <c r="K78" s="67">
        <f t="shared" si="82"/>
        <v>6.9880406627815574</v>
      </c>
      <c r="L78" s="67">
        <f t="shared" si="82"/>
        <v>2.7751099972861604</v>
      </c>
      <c r="M78" s="111">
        <f t="shared" si="82"/>
        <v>5.4480985171597475E-2</v>
      </c>
      <c r="N78" s="111">
        <f t="shared" si="82"/>
        <v>2.7512873899946159E-2</v>
      </c>
      <c r="O78" s="111">
        <f>(M18*M35+N35*N18)/(M35+N35)</f>
        <v>2.7510512492793192E-4</v>
      </c>
      <c r="P78" s="111">
        <f>(N18*N35+O35*O18)/(N35+O35)</f>
        <v>2.751048888078876E-6</v>
      </c>
      <c r="Q78" s="111">
        <f t="shared" si="82"/>
        <v>2.7510488644668917E-8</v>
      </c>
      <c r="R78" s="111" t="e">
        <f t="shared" si="82"/>
        <v>#VALUE!</v>
      </c>
      <c r="S78" s="111" t="e">
        <f t="shared" si="82"/>
        <v>#VALUE!</v>
      </c>
      <c r="T78" s="111" t="e">
        <f t="shared" si="82"/>
        <v>#VALUE!</v>
      </c>
      <c r="U78" s="111" t="e">
        <f t="shared" si="82"/>
        <v>#VALUE!</v>
      </c>
      <c r="V78" s="111" t="e">
        <f t="shared" si="82"/>
        <v>#VALUE!</v>
      </c>
      <c r="W78" s="111" t="e">
        <f t="shared" si="82"/>
        <v>#VALUE!</v>
      </c>
      <c r="X78" s="111" t="e">
        <f t="shared" si="82"/>
        <v>#VALUE!</v>
      </c>
      <c r="Z78" s="61"/>
      <c r="AA78" s="61"/>
      <c r="AB78" s="61"/>
    </row>
    <row r="79" spans="2:28" s="59" customFormat="1" x14ac:dyDescent="0.2">
      <c r="C79" s="62" t="s">
        <v>3</v>
      </c>
      <c r="E79" s="68" t="str">
        <f>""</f>
        <v/>
      </c>
      <c r="F79" s="68" t="str">
        <f>""</f>
        <v/>
      </c>
      <c r="G79" s="67">
        <f>(E19*E35+F35*F19)/(E35+F35)</f>
        <v>-25.045776376404888</v>
      </c>
      <c r="H79" s="67">
        <f t="shared" ref="H79:X79" si="83">(F19*F35+G35*G19)/(F35+G35)</f>
        <v>-25.045776376404888</v>
      </c>
      <c r="I79" s="67">
        <f t="shared" si="83"/>
        <v>-25.045776376404888</v>
      </c>
      <c r="J79" s="67">
        <f t="shared" si="83"/>
        <v>18.106246921879489</v>
      </c>
      <c r="K79" s="67">
        <f t="shared" si="83"/>
        <v>28.065702866630833</v>
      </c>
      <c r="L79" s="67">
        <f t="shared" si="83"/>
        <v>11.282417629355633</v>
      </c>
      <c r="M79" s="111">
        <f t="shared" si="83"/>
        <v>6.3367743922205033</v>
      </c>
      <c r="N79" s="111">
        <f t="shared" si="83"/>
        <v>8.1492190891873975</v>
      </c>
      <c r="O79" s="111">
        <f>(M19*M35+N35*N19)/(M35+N35)</f>
        <v>8.0806921314817046</v>
      </c>
      <c r="P79" s="111">
        <f>(N19*N35+O35*O19)/(N35+O35)</f>
        <v>8.0800069213088754</v>
      </c>
      <c r="Q79" s="111">
        <f t="shared" si="83"/>
        <v>8.0800000692130887</v>
      </c>
      <c r="R79" s="111" t="e">
        <f t="shared" si="83"/>
        <v>#VALUE!</v>
      </c>
      <c r="S79" s="111" t="e">
        <f t="shared" si="83"/>
        <v>#VALUE!</v>
      </c>
      <c r="T79" s="111" t="e">
        <f t="shared" si="83"/>
        <v>#VALUE!</v>
      </c>
      <c r="U79" s="111" t="e">
        <f t="shared" si="83"/>
        <v>#VALUE!</v>
      </c>
      <c r="V79" s="111" t="e">
        <f t="shared" si="83"/>
        <v>#VALUE!</v>
      </c>
      <c r="W79" s="111" t="e">
        <f t="shared" si="83"/>
        <v>#VALUE!</v>
      </c>
      <c r="X79" s="111" t="e">
        <f t="shared" si="83"/>
        <v>#VALUE!</v>
      </c>
      <c r="Z79" s="61"/>
      <c r="AA79" s="61"/>
      <c r="AB79" s="61"/>
    </row>
    <row r="80" spans="2:28" s="59" customFormat="1" x14ac:dyDescent="0.2">
      <c r="B80" s="59" t="s">
        <v>105</v>
      </c>
      <c r="C80" s="59" t="s">
        <v>36</v>
      </c>
      <c r="E80" s="67" t="b">
        <f>TRUE</f>
        <v>1</v>
      </c>
      <c r="F80" s="67" t="b">
        <f>TRUE</f>
        <v>1</v>
      </c>
      <c r="G80" s="67" t="b">
        <f>(G34+G33)&gt;=1</f>
        <v>1</v>
      </c>
      <c r="H80" s="67" t="b">
        <f t="shared" ref="H80:X80" si="84">(H34+H33)&gt;=1</f>
        <v>1</v>
      </c>
      <c r="I80" s="67" t="b">
        <f t="shared" si="84"/>
        <v>1</v>
      </c>
      <c r="J80" s="67" t="b">
        <f t="shared" si="84"/>
        <v>0</v>
      </c>
      <c r="K80" s="67" t="b">
        <f t="shared" si="84"/>
        <v>1</v>
      </c>
      <c r="L80" s="67" t="b">
        <f t="shared" si="84"/>
        <v>1</v>
      </c>
      <c r="M80" s="111" t="b">
        <f t="shared" si="84"/>
        <v>1</v>
      </c>
      <c r="N80" s="111" t="b">
        <f t="shared" si="84"/>
        <v>1</v>
      </c>
      <c r="O80" s="111" t="b">
        <f t="shared" si="84"/>
        <v>1</v>
      </c>
      <c r="P80" s="111" t="b">
        <f t="shared" si="84"/>
        <v>1</v>
      </c>
      <c r="Q80" s="111" t="b">
        <f t="shared" si="84"/>
        <v>0</v>
      </c>
      <c r="R80" s="111" t="b">
        <f t="shared" si="84"/>
        <v>0</v>
      </c>
      <c r="S80" s="111" t="b">
        <f t="shared" si="84"/>
        <v>0</v>
      </c>
      <c r="T80" s="111" t="b">
        <f t="shared" si="84"/>
        <v>0</v>
      </c>
      <c r="U80" s="111" t="b">
        <f t="shared" si="84"/>
        <v>0</v>
      </c>
      <c r="V80" s="111" t="b">
        <f t="shared" si="84"/>
        <v>0</v>
      </c>
      <c r="W80" s="111" t="b">
        <f t="shared" si="84"/>
        <v>0</v>
      </c>
      <c r="X80" s="111" t="b">
        <f t="shared" si="84"/>
        <v>0</v>
      </c>
      <c r="Z80" s="61"/>
      <c r="AA80" s="61"/>
      <c r="AB80" s="61"/>
    </row>
    <row r="81" spans="2:28" s="59" customFormat="1" x14ac:dyDescent="0.2">
      <c r="B81" s="59" t="s">
        <v>47</v>
      </c>
      <c r="C81" s="59" t="s">
        <v>36</v>
      </c>
      <c r="E81" s="67" t="b">
        <f>FALSE</f>
        <v>0</v>
      </c>
      <c r="F81" s="67" t="b">
        <f>FALSE</f>
        <v>0</v>
      </c>
      <c r="G81" s="67" t="b">
        <f>FALSE</f>
        <v>0</v>
      </c>
      <c r="H81" s="67" t="b">
        <f>FALSE</f>
        <v>0</v>
      </c>
      <c r="I81" s="67" t="b">
        <f>FALSE</f>
        <v>0</v>
      </c>
      <c r="J81" s="67" t="b">
        <f>FALSE</f>
        <v>0</v>
      </c>
      <c r="K81" s="67" t="b">
        <f>FALSE</f>
        <v>0</v>
      </c>
      <c r="L81" s="67" t="b">
        <f>FALSE</f>
        <v>0</v>
      </c>
      <c r="M81" s="111" t="b">
        <f>FALSE</f>
        <v>0</v>
      </c>
      <c r="N81" s="111" t="b">
        <f>FALSE</f>
        <v>0</v>
      </c>
      <c r="O81" s="111" t="b">
        <f>FALSE</f>
        <v>0</v>
      </c>
      <c r="P81" s="111" t="b">
        <f>FALSE</f>
        <v>0</v>
      </c>
      <c r="Q81" s="111" t="b">
        <f>FALSE</f>
        <v>0</v>
      </c>
      <c r="R81" s="111" t="b">
        <f>FALSE</f>
        <v>0</v>
      </c>
      <c r="S81" s="111" t="b">
        <f>FALSE</f>
        <v>0</v>
      </c>
      <c r="T81" s="111" t="b">
        <f>FALSE</f>
        <v>0</v>
      </c>
      <c r="U81" s="111" t="b">
        <f>FALSE</f>
        <v>0</v>
      </c>
      <c r="V81" s="111" t="b">
        <f>FALSE</f>
        <v>0</v>
      </c>
      <c r="W81" s="111" t="b">
        <f>FALSE</f>
        <v>0</v>
      </c>
      <c r="X81" s="111" t="b">
        <f>FALSE</f>
        <v>0</v>
      </c>
      <c r="Z81" s="61"/>
      <c r="AA81" s="61"/>
      <c r="AB81" s="61"/>
    </row>
    <row r="82" spans="2:28" s="59" customFormat="1" x14ac:dyDescent="0.2">
      <c r="B82" s="59" t="s">
        <v>36</v>
      </c>
      <c r="C82" s="59" t="s">
        <v>36</v>
      </c>
      <c r="E82" s="67" t="b">
        <f>FALSE</f>
        <v>0</v>
      </c>
      <c r="F82" s="67" t="b">
        <f>FALSE</f>
        <v>0</v>
      </c>
      <c r="G82" s="67" t="b">
        <f>FALSE</f>
        <v>0</v>
      </c>
      <c r="H82" s="67" t="b">
        <f>FALSE</f>
        <v>0</v>
      </c>
      <c r="I82" s="67" t="b">
        <f>FALSE</f>
        <v>0</v>
      </c>
      <c r="J82" s="67" t="b">
        <f>FALSE</f>
        <v>0</v>
      </c>
      <c r="K82" s="67" t="b">
        <f>FALSE</f>
        <v>0</v>
      </c>
      <c r="L82" s="67" t="b">
        <f>FALSE</f>
        <v>0</v>
      </c>
      <c r="M82" s="111" t="b">
        <f>FALSE</f>
        <v>0</v>
      </c>
      <c r="N82" s="111" t="b">
        <f>FALSE</f>
        <v>0</v>
      </c>
      <c r="O82" s="111" t="b">
        <f>FALSE</f>
        <v>0</v>
      </c>
      <c r="P82" s="111" t="b">
        <f>FALSE</f>
        <v>0</v>
      </c>
      <c r="Q82" s="111" t="b">
        <f>FALSE</f>
        <v>0</v>
      </c>
      <c r="R82" s="111" t="b">
        <f>FALSE</f>
        <v>0</v>
      </c>
      <c r="S82" s="111" t="b">
        <f>FALSE</f>
        <v>0</v>
      </c>
      <c r="T82" s="111" t="b">
        <f>FALSE</f>
        <v>0</v>
      </c>
      <c r="U82" s="111" t="b">
        <f>FALSE</f>
        <v>0</v>
      </c>
      <c r="V82" s="111" t="b">
        <f>FALSE</f>
        <v>0</v>
      </c>
      <c r="W82" s="111" t="b">
        <f>FALSE</f>
        <v>0</v>
      </c>
      <c r="X82" s="111" t="b">
        <f>FALSE</f>
        <v>0</v>
      </c>
      <c r="Z82" s="61"/>
      <c r="AA82" s="61"/>
      <c r="AB82" s="61"/>
    </row>
    <row r="83" spans="2:28" s="59" customFormat="1" x14ac:dyDescent="0.2">
      <c r="E83" s="68"/>
      <c r="Z83" s="61"/>
      <c r="AA83" s="61"/>
      <c r="AB83" s="61"/>
    </row>
    <row r="84" spans="2:28" s="59" customFormat="1" ht="25.5" x14ac:dyDescent="0.2">
      <c r="B84" s="66" t="s">
        <v>100</v>
      </c>
      <c r="C84" s="62" t="s">
        <v>0</v>
      </c>
      <c r="E84" s="59">
        <f>IF(E29=1,E6,"")</f>
        <v>-25</v>
      </c>
      <c r="F84" s="59">
        <f t="shared" ref="F84:X84" si="85">IF(F29=1,F6,"")</f>
        <v>-25</v>
      </c>
      <c r="G84" s="59">
        <f t="shared" si="85"/>
        <v>-25</v>
      </c>
      <c r="H84" s="59">
        <f t="shared" si="85"/>
        <v>-25</v>
      </c>
      <c r="I84" s="59">
        <f t="shared" si="85"/>
        <v>20</v>
      </c>
      <c r="J84" s="59" t="str">
        <f t="shared" si="85"/>
        <v/>
      </c>
      <c r="K84" s="59">
        <f t="shared" si="85"/>
        <v>4.277020603210544</v>
      </c>
      <c r="L84" s="59">
        <f t="shared" si="85"/>
        <v>8</v>
      </c>
      <c r="M84" s="59">
        <f>IF(M29=1,M6,"")</f>
        <v>8</v>
      </c>
      <c r="N84" s="59">
        <f>IF(N29=1,N6,"")</f>
        <v>8</v>
      </c>
      <c r="O84" s="59">
        <f>IF(O29=1,O6,"")</f>
        <v>8</v>
      </c>
      <c r="P84" s="59">
        <f>IF(P29=1,P6,"")</f>
        <v>8</v>
      </c>
      <c r="Q84" s="59" t="str">
        <f t="shared" si="85"/>
        <v/>
      </c>
      <c r="R84" s="59" t="str">
        <f t="shared" ref="R84:W84" si="86">IF(R29=1,R6,"")</f>
        <v/>
      </c>
      <c r="S84" s="59" t="str">
        <f t="shared" si="86"/>
        <v/>
      </c>
      <c r="T84" s="59" t="str">
        <f t="shared" si="86"/>
        <v/>
      </c>
      <c r="U84" s="59" t="str">
        <f t="shared" si="86"/>
        <v/>
      </c>
      <c r="V84" s="59" t="str">
        <f t="shared" si="86"/>
        <v/>
      </c>
      <c r="W84" s="59" t="str">
        <f t="shared" si="86"/>
        <v/>
      </c>
      <c r="X84" s="59" t="str">
        <f t="shared" si="85"/>
        <v/>
      </c>
      <c r="Z84" s="61"/>
      <c r="AA84" s="61"/>
      <c r="AB84" s="61"/>
    </row>
    <row r="85" spans="2:28" s="59" customFormat="1" x14ac:dyDescent="0.2">
      <c r="C85" s="63" t="s">
        <v>1</v>
      </c>
      <c r="E85" s="59">
        <f>IF(E30=1,E7/100,"")</f>
        <v>0.2</v>
      </c>
      <c r="F85" s="59">
        <f t="shared" ref="F85:X85" si="87">IF(F30=1,F7/100,"")</f>
        <v>0.2</v>
      </c>
      <c r="G85" s="59">
        <f t="shared" si="87"/>
        <v>0.2</v>
      </c>
      <c r="H85" s="59">
        <f t="shared" si="87"/>
        <v>0.2</v>
      </c>
      <c r="I85" s="59">
        <f t="shared" si="87"/>
        <v>0.6</v>
      </c>
      <c r="J85" s="59" t="str">
        <f t="shared" si="87"/>
        <v/>
      </c>
      <c r="K85" s="59">
        <f t="shared" si="87"/>
        <v>0.01</v>
      </c>
      <c r="L85" s="59" t="str">
        <f t="shared" si="87"/>
        <v/>
      </c>
      <c r="M85" s="59">
        <f>IF(M30=1,M7/100,"")</f>
        <v>7.7246107631210339E-5</v>
      </c>
      <c r="N85" s="59">
        <f>IF(N30=1,N7/100,"")</f>
        <v>7.7246107631210312E-7</v>
      </c>
      <c r="O85" s="59">
        <f>IF(O30=1,O7/100,"")</f>
        <v>7.7246107631210306E-9</v>
      </c>
      <c r="P85" s="59">
        <f>IF(P30=1,P7/100,"")</f>
        <v>7.7246107631210307E-11</v>
      </c>
      <c r="Q85" s="59" t="str">
        <f t="shared" si="87"/>
        <v/>
      </c>
      <c r="R85" s="59" t="str">
        <f t="shared" ref="R85:W85" si="88">IF(R30=1,R7/100,"")</f>
        <v/>
      </c>
      <c r="S85" s="59" t="str">
        <f t="shared" si="88"/>
        <v/>
      </c>
      <c r="T85" s="59" t="str">
        <f t="shared" si="88"/>
        <v/>
      </c>
      <c r="U85" s="59" t="str">
        <f t="shared" si="88"/>
        <v/>
      </c>
      <c r="V85" s="59" t="str">
        <f t="shared" si="88"/>
        <v/>
      </c>
      <c r="W85" s="59" t="str">
        <f t="shared" si="88"/>
        <v/>
      </c>
      <c r="X85" s="59" t="str">
        <f t="shared" si="87"/>
        <v/>
      </c>
      <c r="Z85" s="61"/>
      <c r="AA85" s="61"/>
      <c r="AB85" s="61"/>
    </row>
    <row r="86" spans="2:28" s="59" customFormat="1" x14ac:dyDescent="0.2">
      <c r="C86" s="62" t="s">
        <v>2</v>
      </c>
      <c r="E86" s="59" t="str">
        <f>IF(E31=1,E8,"")</f>
        <v/>
      </c>
      <c r="F86" s="59" t="str">
        <f t="shared" ref="F86:X87" si="89">IF(F31=1,F8,"")</f>
        <v/>
      </c>
      <c r="G86" s="59" t="str">
        <f t="shared" si="89"/>
        <v/>
      </c>
      <c r="H86" s="59" t="str">
        <f t="shared" si="89"/>
        <v/>
      </c>
      <c r="I86" s="59" t="str">
        <f t="shared" si="89"/>
        <v/>
      </c>
      <c r="J86" s="59" t="str">
        <f t="shared" si="89"/>
        <v/>
      </c>
      <c r="K86" s="59" t="str">
        <f t="shared" si="89"/>
        <v/>
      </c>
      <c r="L86" s="59" t="str">
        <f t="shared" si="89"/>
        <v/>
      </c>
      <c r="M86" s="59" t="str">
        <f t="shared" ref="M86:P87" si="90">IF(M31=1,M8,"")</f>
        <v/>
      </c>
      <c r="N86" s="59" t="str">
        <f t="shared" si="90"/>
        <v/>
      </c>
      <c r="O86" s="59" t="str">
        <f t="shared" si="90"/>
        <v/>
      </c>
      <c r="P86" s="59" t="str">
        <f t="shared" si="90"/>
        <v/>
      </c>
      <c r="Q86" s="59" t="str">
        <f t="shared" si="89"/>
        <v/>
      </c>
      <c r="R86" s="59" t="str">
        <f t="shared" ref="R86:W87" si="91">IF(R31=1,R8,"")</f>
        <v/>
      </c>
      <c r="S86" s="59" t="str">
        <f t="shared" si="91"/>
        <v/>
      </c>
      <c r="T86" s="59" t="str">
        <f t="shared" si="91"/>
        <v/>
      </c>
      <c r="U86" s="59" t="str">
        <f t="shared" si="91"/>
        <v/>
      </c>
      <c r="V86" s="59" t="str">
        <f t="shared" si="91"/>
        <v/>
      </c>
      <c r="W86" s="59" t="str">
        <f t="shared" si="91"/>
        <v/>
      </c>
      <c r="X86" s="59" t="str">
        <f t="shared" si="89"/>
        <v/>
      </c>
      <c r="Z86" s="61"/>
      <c r="AA86" s="61"/>
      <c r="AB86" s="61"/>
    </row>
    <row r="87" spans="2:28" s="59" customFormat="1" x14ac:dyDescent="0.2">
      <c r="C87" s="62" t="s">
        <v>3</v>
      </c>
      <c r="E87" s="59" t="str">
        <f>IF(E32=1,E9,"")</f>
        <v/>
      </c>
      <c r="F87" s="59" t="str">
        <f t="shared" si="89"/>
        <v/>
      </c>
      <c r="G87" s="59" t="str">
        <f t="shared" si="89"/>
        <v/>
      </c>
      <c r="H87" s="59" t="str">
        <f t="shared" si="89"/>
        <v/>
      </c>
      <c r="I87" s="59" t="str">
        <f t="shared" si="89"/>
        <v/>
      </c>
      <c r="J87" s="59" t="str">
        <f t="shared" si="89"/>
        <v/>
      </c>
      <c r="K87" s="59" t="str">
        <f t="shared" si="89"/>
        <v/>
      </c>
      <c r="L87" s="59" t="str">
        <f t="shared" si="89"/>
        <v/>
      </c>
      <c r="M87" s="59" t="str">
        <f t="shared" si="90"/>
        <v/>
      </c>
      <c r="N87" s="59" t="str">
        <f t="shared" si="90"/>
        <v/>
      </c>
      <c r="O87" s="59" t="str">
        <f t="shared" si="90"/>
        <v/>
      </c>
      <c r="P87" s="59" t="str">
        <f t="shared" si="90"/>
        <v/>
      </c>
      <c r="Q87" s="59" t="str">
        <f t="shared" si="89"/>
        <v/>
      </c>
      <c r="R87" s="59" t="str">
        <f t="shared" si="91"/>
        <v/>
      </c>
      <c r="S87" s="59" t="str">
        <f t="shared" si="91"/>
        <v/>
      </c>
      <c r="T87" s="59" t="str">
        <f t="shared" si="91"/>
        <v/>
      </c>
      <c r="U87" s="59" t="str">
        <f t="shared" si="91"/>
        <v/>
      </c>
      <c r="V87" s="59" t="str">
        <f t="shared" si="91"/>
        <v/>
      </c>
      <c r="W87" s="59" t="str">
        <f t="shared" si="91"/>
        <v/>
      </c>
      <c r="X87" s="59" t="str">
        <f t="shared" si="89"/>
        <v/>
      </c>
      <c r="Z87" s="61"/>
      <c r="AA87" s="61"/>
      <c r="AB87" s="61"/>
    </row>
    <row r="88" spans="2:28" s="59" customFormat="1" x14ac:dyDescent="0.2">
      <c r="B88" s="59" t="s">
        <v>105</v>
      </c>
      <c r="C88" s="59" t="s">
        <v>36</v>
      </c>
      <c r="E88" s="67" t="b">
        <f>TRUE</f>
        <v>1</v>
      </c>
      <c r="F88" s="67" t="b">
        <f t="shared" ref="F88:X88" si="92">OR(F34&gt;2,F33=1)</f>
        <v>0</v>
      </c>
      <c r="G88" s="67" t="b">
        <f t="shared" si="92"/>
        <v>0</v>
      </c>
      <c r="H88" s="67" t="b">
        <f t="shared" si="92"/>
        <v>0</v>
      </c>
      <c r="I88" s="67" t="b">
        <f t="shared" si="92"/>
        <v>0</v>
      </c>
      <c r="J88" s="67" t="b">
        <f t="shared" si="92"/>
        <v>0</v>
      </c>
      <c r="K88" s="67" t="b">
        <f t="shared" si="92"/>
        <v>0</v>
      </c>
      <c r="L88" s="67" t="b">
        <f t="shared" si="92"/>
        <v>0</v>
      </c>
      <c r="M88" s="111" t="b">
        <f t="shared" si="92"/>
        <v>0</v>
      </c>
      <c r="N88" s="111" t="b">
        <f t="shared" si="92"/>
        <v>0</v>
      </c>
      <c r="O88" s="111" t="b">
        <f t="shared" si="92"/>
        <v>0</v>
      </c>
      <c r="P88" s="111" t="b">
        <f t="shared" si="92"/>
        <v>0</v>
      </c>
      <c r="Q88" s="111" t="b">
        <f t="shared" si="92"/>
        <v>0</v>
      </c>
      <c r="R88" s="111" t="b">
        <f t="shared" si="92"/>
        <v>0</v>
      </c>
      <c r="S88" s="111" t="b">
        <f t="shared" si="92"/>
        <v>0</v>
      </c>
      <c r="T88" s="111" t="b">
        <f t="shared" si="92"/>
        <v>0</v>
      </c>
      <c r="U88" s="111" t="b">
        <f t="shared" si="92"/>
        <v>0</v>
      </c>
      <c r="V88" s="111" t="b">
        <f t="shared" si="92"/>
        <v>0</v>
      </c>
      <c r="W88" s="111" t="b">
        <f t="shared" si="92"/>
        <v>0</v>
      </c>
      <c r="X88" s="111" t="b">
        <f t="shared" si="92"/>
        <v>0</v>
      </c>
      <c r="Z88" s="61"/>
      <c r="AA88" s="61"/>
      <c r="AB88" s="61"/>
    </row>
    <row r="89" spans="2:28" s="59" customFormat="1" x14ac:dyDescent="0.2">
      <c r="B89" s="59" t="s">
        <v>47</v>
      </c>
      <c r="C89" s="59" t="s">
        <v>36</v>
      </c>
      <c r="E89" s="67" t="b">
        <f>FALSE</f>
        <v>0</v>
      </c>
      <c r="F89" s="67" t="b">
        <f t="shared" ref="F89:X89" si="93">F34=1</f>
        <v>0</v>
      </c>
      <c r="G89" s="67" t="b">
        <f t="shared" si="93"/>
        <v>0</v>
      </c>
      <c r="H89" s="67" t="b">
        <f t="shared" si="93"/>
        <v>0</v>
      </c>
      <c r="I89" s="67" t="b">
        <f t="shared" si="93"/>
        <v>0</v>
      </c>
      <c r="J89" s="67" t="b">
        <f t="shared" si="93"/>
        <v>0</v>
      </c>
      <c r="K89" s="67" t="b">
        <f t="shared" si="93"/>
        <v>0</v>
      </c>
      <c r="L89" s="67" t="b">
        <f t="shared" si="93"/>
        <v>1</v>
      </c>
      <c r="M89" s="111" t="b">
        <f t="shared" si="93"/>
        <v>0</v>
      </c>
      <c r="N89" s="111" t="b">
        <f t="shared" si="93"/>
        <v>0</v>
      </c>
      <c r="O89" s="111" t="b">
        <f t="shared" si="93"/>
        <v>0</v>
      </c>
      <c r="P89" s="111" t="b">
        <f t="shared" si="93"/>
        <v>0</v>
      </c>
      <c r="Q89" s="111" t="b">
        <f t="shared" si="93"/>
        <v>0</v>
      </c>
      <c r="R89" s="111" t="b">
        <f t="shared" si="93"/>
        <v>0</v>
      </c>
      <c r="S89" s="111" t="b">
        <f t="shared" si="93"/>
        <v>0</v>
      </c>
      <c r="T89" s="111" t="b">
        <f t="shared" si="93"/>
        <v>0</v>
      </c>
      <c r="U89" s="111" t="b">
        <f t="shared" si="93"/>
        <v>0</v>
      </c>
      <c r="V89" s="111" t="b">
        <f t="shared" si="93"/>
        <v>0</v>
      </c>
      <c r="W89" s="111" t="b">
        <f t="shared" si="93"/>
        <v>0</v>
      </c>
      <c r="X89" s="111" t="b">
        <f t="shared" si="93"/>
        <v>0</v>
      </c>
      <c r="Z89" s="61"/>
      <c r="AA89" s="61"/>
      <c r="AB89" s="61"/>
    </row>
    <row r="90" spans="2:28" s="59" customFormat="1" x14ac:dyDescent="0.2">
      <c r="B90" s="59" t="s">
        <v>36</v>
      </c>
      <c r="C90" s="59" t="s">
        <v>36</v>
      </c>
      <c r="E90" s="67" t="b">
        <f>FALSE</f>
        <v>0</v>
      </c>
      <c r="F90" s="67" t="b">
        <f t="shared" ref="F90:X90" si="94">F34=0</f>
        <v>0</v>
      </c>
      <c r="G90" s="67" t="b">
        <f t="shared" si="94"/>
        <v>0</v>
      </c>
      <c r="H90" s="67" t="b">
        <f t="shared" si="94"/>
        <v>0</v>
      </c>
      <c r="I90" s="67" t="b">
        <f t="shared" si="94"/>
        <v>0</v>
      </c>
      <c r="J90" s="67" t="b">
        <f t="shared" si="94"/>
        <v>1</v>
      </c>
      <c r="K90" s="67" t="b">
        <f t="shared" si="94"/>
        <v>0</v>
      </c>
      <c r="L90" s="67" t="b">
        <f t="shared" si="94"/>
        <v>0</v>
      </c>
      <c r="M90" s="111" t="b">
        <f t="shared" si="94"/>
        <v>0</v>
      </c>
      <c r="N90" s="111" t="b">
        <f t="shared" si="94"/>
        <v>0</v>
      </c>
      <c r="O90" s="111" t="b">
        <f t="shared" si="94"/>
        <v>0</v>
      </c>
      <c r="P90" s="111" t="b">
        <f t="shared" si="94"/>
        <v>0</v>
      </c>
      <c r="Q90" s="111" t="b">
        <f t="shared" si="94"/>
        <v>1</v>
      </c>
      <c r="R90" s="111" t="b">
        <f t="shared" si="94"/>
        <v>1</v>
      </c>
      <c r="S90" s="111" t="b">
        <f t="shared" si="94"/>
        <v>1</v>
      </c>
      <c r="T90" s="111" t="b">
        <f t="shared" si="94"/>
        <v>1</v>
      </c>
      <c r="U90" s="111" t="b">
        <f t="shared" si="94"/>
        <v>1</v>
      </c>
      <c r="V90" s="111" t="b">
        <f t="shared" si="94"/>
        <v>1</v>
      </c>
      <c r="W90" s="111" t="b">
        <f t="shared" si="94"/>
        <v>1</v>
      </c>
      <c r="X90" s="111" t="b">
        <f t="shared" si="94"/>
        <v>1</v>
      </c>
      <c r="Z90" s="61"/>
      <c r="AA90" s="61"/>
      <c r="AB90" s="61"/>
    </row>
    <row r="91" spans="2:28" s="59" customFormat="1" x14ac:dyDescent="0.2">
      <c r="E91" s="68"/>
      <c r="Z91" s="61"/>
      <c r="AA91" s="61"/>
      <c r="AB91" s="61"/>
    </row>
    <row r="92" spans="2:28" s="59" customFormat="1" ht="25.5" x14ac:dyDescent="0.2">
      <c r="B92" s="71" t="s">
        <v>106</v>
      </c>
      <c r="C92" s="62" t="s">
        <v>0</v>
      </c>
      <c r="E92" s="59">
        <f>IF(E28&gt;6,"",CHOOSE(E28+1,E36,E44,E52,E60,E68,E76,E84))</f>
        <v>-25</v>
      </c>
      <c r="F92" s="59">
        <f t="shared" ref="F92:X92" si="95">IF(F28&gt;6,"",CHOOSE(F28+1,F36,F44,F52,F60,F68,F76,F84))</f>
        <v>-25</v>
      </c>
      <c r="G92" s="59">
        <f t="shared" si="95"/>
        <v>-25</v>
      </c>
      <c r="H92" s="59">
        <f t="shared" si="95"/>
        <v>-25</v>
      </c>
      <c r="I92" s="59">
        <f t="shared" si="95"/>
        <v>20</v>
      </c>
      <c r="J92" s="59" t="str">
        <f t="shared" si="95"/>
        <v/>
      </c>
      <c r="K92" s="59">
        <f t="shared" si="95"/>
        <v>4.277020603210544</v>
      </c>
      <c r="L92" s="59">
        <f t="shared" si="95"/>
        <v>8</v>
      </c>
      <c r="M92" s="59">
        <f t="shared" si="95"/>
        <v>8</v>
      </c>
      <c r="N92" s="59">
        <f t="shared" si="95"/>
        <v>8</v>
      </c>
      <c r="O92" s="59">
        <f t="shared" si="95"/>
        <v>8</v>
      </c>
      <c r="P92" s="59">
        <f t="shared" si="95"/>
        <v>8</v>
      </c>
      <c r="Q92" s="59" t="str">
        <f t="shared" si="95"/>
        <v/>
      </c>
      <c r="R92" s="59" t="str">
        <f t="shared" si="95"/>
        <v/>
      </c>
      <c r="S92" s="59" t="str">
        <f t="shared" si="95"/>
        <v/>
      </c>
      <c r="T92" s="59" t="str">
        <f t="shared" si="95"/>
        <v/>
      </c>
      <c r="U92" s="59" t="str">
        <f t="shared" si="95"/>
        <v/>
      </c>
      <c r="V92" s="59" t="str">
        <f t="shared" si="95"/>
        <v/>
      </c>
      <c r="W92" s="59" t="str">
        <f t="shared" si="95"/>
        <v/>
      </c>
      <c r="X92" s="59" t="str">
        <f t="shared" si="95"/>
        <v/>
      </c>
      <c r="Z92" s="61"/>
      <c r="AA92" s="61"/>
      <c r="AB92" s="61"/>
    </row>
    <row r="93" spans="2:28" s="59" customFormat="1" x14ac:dyDescent="0.2">
      <c r="C93" s="63" t="s">
        <v>1</v>
      </c>
      <c r="E93" s="59">
        <f>IF(E28&gt;6,"",CHOOSE(E28+1,E37,E45,E53,E61,E69,E77,E85))</f>
        <v>0.2</v>
      </c>
      <c r="F93" s="59">
        <f t="shared" ref="F93:X93" si="96">IF(F28&gt;6,"",CHOOSE(F28+1,F37,F45,F53,F61,F69,F77,F85))</f>
        <v>0.2</v>
      </c>
      <c r="G93" s="59">
        <f t="shared" si="96"/>
        <v>0.2</v>
      </c>
      <c r="H93" s="59">
        <f t="shared" si="96"/>
        <v>0.2</v>
      </c>
      <c r="I93" s="59">
        <f t="shared" si="96"/>
        <v>0.6</v>
      </c>
      <c r="J93" s="59" t="str">
        <f t="shared" si="96"/>
        <v/>
      </c>
      <c r="K93" s="59">
        <f t="shared" si="96"/>
        <v>0.01</v>
      </c>
      <c r="L93" s="59" t="str">
        <f t="shared" si="96"/>
        <v/>
      </c>
      <c r="M93" s="59">
        <f t="shared" si="96"/>
        <v>7.7246107631210339E-5</v>
      </c>
      <c r="N93" s="59">
        <f t="shared" si="96"/>
        <v>7.7246107631210312E-7</v>
      </c>
      <c r="O93" s="59">
        <f t="shared" si="96"/>
        <v>7.7246107631210306E-9</v>
      </c>
      <c r="P93" s="59">
        <f t="shared" si="96"/>
        <v>7.7246107631210307E-11</v>
      </c>
      <c r="Q93" s="59" t="str">
        <f t="shared" si="96"/>
        <v/>
      </c>
      <c r="R93" s="59" t="str">
        <f t="shared" si="96"/>
        <v/>
      </c>
      <c r="S93" s="59" t="str">
        <f t="shared" si="96"/>
        <v/>
      </c>
      <c r="T93" s="59" t="str">
        <f t="shared" si="96"/>
        <v/>
      </c>
      <c r="U93" s="59" t="str">
        <f t="shared" si="96"/>
        <v/>
      </c>
      <c r="V93" s="59" t="str">
        <f t="shared" si="96"/>
        <v/>
      </c>
      <c r="W93" s="59" t="str">
        <f t="shared" si="96"/>
        <v/>
      </c>
      <c r="X93" s="59" t="str">
        <f t="shared" si="96"/>
        <v/>
      </c>
      <c r="Z93" s="61"/>
      <c r="AA93" s="61"/>
      <c r="AB93" s="61"/>
    </row>
    <row r="94" spans="2:28" s="59" customFormat="1" x14ac:dyDescent="0.2">
      <c r="C94" s="62" t="s">
        <v>2</v>
      </c>
      <c r="E94" s="59" t="str">
        <f>IF(E28&gt;6,"",CHOOSE(E28+1,E38,E46,E54,E62,E70,E78,E86))</f>
        <v/>
      </c>
      <c r="F94" s="59" t="str">
        <f t="shared" ref="F94:X94" si="97">IF(F28&gt;6,"",CHOOSE(F28+1,F38,F46,F54,F62,F70,F78,F86))</f>
        <v/>
      </c>
      <c r="G94" s="59" t="str">
        <f t="shared" si="97"/>
        <v/>
      </c>
      <c r="H94" s="59" t="str">
        <f t="shared" si="97"/>
        <v/>
      </c>
      <c r="I94" s="59" t="str">
        <f t="shared" si="97"/>
        <v/>
      </c>
      <c r="J94" s="59">
        <f t="shared" si="97"/>
        <v>5.8910284768057668</v>
      </c>
      <c r="K94" s="59" t="str">
        <f t="shared" si="97"/>
        <v/>
      </c>
      <c r="L94" s="59">
        <f t="shared" si="97"/>
        <v>5.4480985171597482E-2</v>
      </c>
      <c r="M94" s="59" t="str">
        <f t="shared" si="97"/>
        <v/>
      </c>
      <c r="N94" s="59" t="str">
        <f t="shared" si="97"/>
        <v/>
      </c>
      <c r="O94" s="59" t="str">
        <f t="shared" si="97"/>
        <v/>
      </c>
      <c r="P94" s="59" t="str">
        <f t="shared" si="97"/>
        <v/>
      </c>
      <c r="Q94" s="59" t="str">
        <f t="shared" si="97"/>
        <v/>
      </c>
      <c r="R94" s="59" t="str">
        <f t="shared" si="97"/>
        <v/>
      </c>
      <c r="S94" s="59" t="str">
        <f t="shared" si="97"/>
        <v/>
      </c>
      <c r="T94" s="59" t="str">
        <f t="shared" si="97"/>
        <v/>
      </c>
      <c r="U94" s="59" t="str">
        <f t="shared" si="97"/>
        <v/>
      </c>
      <c r="V94" s="59" t="str">
        <f t="shared" si="97"/>
        <v/>
      </c>
      <c r="W94" s="59" t="str">
        <f t="shared" si="97"/>
        <v/>
      </c>
      <c r="X94" s="59" t="str">
        <f t="shared" si="97"/>
        <v/>
      </c>
      <c r="Z94" s="61"/>
      <c r="AA94" s="61"/>
      <c r="AB94" s="61"/>
    </row>
    <row r="95" spans="2:28" s="59" customFormat="1" x14ac:dyDescent="0.2">
      <c r="C95" s="62" t="s">
        <v>3</v>
      </c>
      <c r="E95" s="59" t="str">
        <f>IF(E28&gt;6,"",CHOOSE(E28+1,E39,E47,E55,E63,E71,E79,E87))</f>
        <v/>
      </c>
      <c r="F95" s="59" t="str">
        <f t="shared" ref="F95:X95" si="98">IF(F28&gt;6,"",CHOOSE(F28+1,F39,F47,F55,F63,F71,F79,F87))</f>
        <v/>
      </c>
      <c r="G95" s="59" t="str">
        <f t="shared" si="98"/>
        <v/>
      </c>
      <c r="H95" s="59" t="str">
        <f t="shared" si="98"/>
        <v/>
      </c>
      <c r="I95" s="59" t="str">
        <f t="shared" si="98"/>
        <v/>
      </c>
      <c r="J95" s="59">
        <f t="shared" si="98"/>
        <v>18.106246921879489</v>
      </c>
      <c r="K95" s="59" t="str">
        <f t="shared" si="98"/>
        <v/>
      </c>
      <c r="L95" s="59" t="str">
        <f t="shared" si="98"/>
        <v/>
      </c>
      <c r="M95" s="59" t="str">
        <f t="shared" si="98"/>
        <v/>
      </c>
      <c r="N95" s="59" t="str">
        <f t="shared" si="98"/>
        <v/>
      </c>
      <c r="O95" s="59" t="str">
        <f t="shared" si="98"/>
        <v/>
      </c>
      <c r="P95" s="59" t="str">
        <f t="shared" si="98"/>
        <v/>
      </c>
      <c r="Q95" s="59" t="str">
        <f t="shared" si="98"/>
        <v/>
      </c>
      <c r="R95" s="59" t="str">
        <f t="shared" si="98"/>
        <v/>
      </c>
      <c r="S95" s="59" t="str">
        <f t="shared" si="98"/>
        <v/>
      </c>
      <c r="T95" s="59" t="str">
        <f t="shared" si="98"/>
        <v/>
      </c>
      <c r="U95" s="59" t="str">
        <f t="shared" si="98"/>
        <v/>
      </c>
      <c r="V95" s="59" t="str">
        <f t="shared" si="98"/>
        <v/>
      </c>
      <c r="W95" s="59" t="str">
        <f t="shared" si="98"/>
        <v/>
      </c>
      <c r="X95" s="59" t="str">
        <f t="shared" si="98"/>
        <v/>
      </c>
      <c r="Z95" s="61"/>
      <c r="AA95" s="61"/>
      <c r="AB95" s="61"/>
    </row>
    <row r="96" spans="2:28" s="59" customFormat="1" x14ac:dyDescent="0.2">
      <c r="B96" s="59" t="s">
        <v>105</v>
      </c>
      <c r="C96" s="59" t="s">
        <v>36</v>
      </c>
      <c r="E96" s="67" t="b">
        <f>IF(OR(E28&gt;6,AND(E11&lt;&gt;"",E12&lt;&gt;"")),TRUE,CHOOSE(E28+1,E40,E48,E56,E64,E72,E80,E88))</f>
        <v>0</v>
      </c>
      <c r="F96" s="67" t="b">
        <f t="shared" ref="F96:X96" si="99">IF(OR(F28&gt;6,AND(F11&lt;&gt;"",F12&lt;&gt;"")),TRUE,CHOOSE(F28+1,F40,F48,F56,F64,F72,F80,F88))</f>
        <v>0</v>
      </c>
      <c r="G96" s="67" t="b">
        <f t="shared" si="99"/>
        <v>0</v>
      </c>
      <c r="H96" s="67" t="b">
        <f t="shared" si="99"/>
        <v>0</v>
      </c>
      <c r="I96" s="67" t="b">
        <f t="shared" si="99"/>
        <v>0</v>
      </c>
      <c r="J96" s="67" t="b">
        <f t="shared" si="99"/>
        <v>0</v>
      </c>
      <c r="K96" s="67" t="b">
        <f t="shared" si="99"/>
        <v>0</v>
      </c>
      <c r="L96" s="67" t="b">
        <f t="shared" si="99"/>
        <v>0</v>
      </c>
      <c r="M96" s="111" t="b">
        <f>IF(OR(M28&gt;6,AND(M11&lt;&gt;"",M12&lt;&gt;"")),TRUE,CHOOSE(M28+1,M40,M48,M56,M64,M72,M80,M88))</f>
        <v>0</v>
      </c>
      <c r="N96" s="111" t="b">
        <f>IF(OR(N28&gt;6,AND(N11&lt;&gt;"",N12&lt;&gt;"")),TRUE,CHOOSE(N28+1,N40,N48,N56,N64,N72,N80,N88))</f>
        <v>0</v>
      </c>
      <c r="O96" s="111" t="b">
        <f>IF(OR(O28&gt;6,AND(O11&lt;&gt;"",O12&lt;&gt;"")),TRUE,CHOOSE(O28+1,O40,O48,O56,O64,O72,O80,O88))</f>
        <v>0</v>
      </c>
      <c r="P96" s="111" t="b">
        <f>IF(OR(P28&gt;6,AND(P11&lt;&gt;"",P12&lt;&gt;"")),TRUE,CHOOSE(P28+1,P40,P48,P56,P64,P72,P80,P88))</f>
        <v>0</v>
      </c>
      <c r="Q96" s="111" t="b">
        <f t="shared" si="99"/>
        <v>0</v>
      </c>
      <c r="R96" s="111" t="b">
        <f t="shared" ref="R96:W96" si="100">IF(OR(R28&gt;6,AND(R11&lt;&gt;"",R12&lt;&gt;"")),TRUE,CHOOSE(R28+1,R40,R48,R56,R64,R72,R80,R88))</f>
        <v>0</v>
      </c>
      <c r="S96" s="111" t="b">
        <f t="shared" si="100"/>
        <v>0</v>
      </c>
      <c r="T96" s="111" t="b">
        <f t="shared" si="100"/>
        <v>0</v>
      </c>
      <c r="U96" s="111" t="b">
        <f t="shared" si="100"/>
        <v>0</v>
      </c>
      <c r="V96" s="111" t="b">
        <f t="shared" si="100"/>
        <v>0</v>
      </c>
      <c r="W96" s="111" t="b">
        <f t="shared" si="100"/>
        <v>0</v>
      </c>
      <c r="X96" s="111" t="b">
        <f t="shared" si="99"/>
        <v>0</v>
      </c>
      <c r="Z96" s="61"/>
      <c r="AA96" s="61"/>
      <c r="AB96" s="61"/>
    </row>
    <row r="97" spans="2:28" s="59" customFormat="1" x14ac:dyDescent="0.2">
      <c r="B97" s="59" t="s">
        <v>47</v>
      </c>
      <c r="C97" s="59" t="s">
        <v>36</v>
      </c>
      <c r="E97" s="67" t="b">
        <f>IF(E28&gt;6,TRUE,CHOOSE(E28+1,E41,E49,E57,E65,E73,E81,E89))</f>
        <v>0</v>
      </c>
      <c r="F97" s="67" t="b">
        <f t="shared" ref="F97:X97" si="101">IF(F28&gt;6,TRUE,CHOOSE(F28+1,F41,F49,F57,F65,F73,F81,F89))</f>
        <v>0</v>
      </c>
      <c r="G97" s="67" t="b">
        <f t="shared" si="101"/>
        <v>0</v>
      </c>
      <c r="H97" s="67" t="b">
        <f t="shared" si="101"/>
        <v>0</v>
      </c>
      <c r="I97" s="67" t="b">
        <f t="shared" si="101"/>
        <v>0</v>
      </c>
      <c r="J97" s="67" t="b">
        <f t="shared" si="101"/>
        <v>0</v>
      </c>
      <c r="K97" s="67" t="b">
        <f t="shared" si="101"/>
        <v>0</v>
      </c>
      <c r="L97" s="67" t="b">
        <f t="shared" si="101"/>
        <v>0</v>
      </c>
      <c r="M97" s="111" t="b">
        <f t="shared" si="101"/>
        <v>0</v>
      </c>
      <c r="N97" s="111" t="b">
        <f t="shared" si="101"/>
        <v>0</v>
      </c>
      <c r="O97" s="111" t="b">
        <f t="shared" si="101"/>
        <v>0</v>
      </c>
      <c r="P97" s="111" t="b">
        <f t="shared" si="101"/>
        <v>0</v>
      </c>
      <c r="Q97" s="111" t="b">
        <f t="shared" si="101"/>
        <v>0</v>
      </c>
      <c r="R97" s="111" t="b">
        <f t="shared" si="101"/>
        <v>0</v>
      </c>
      <c r="S97" s="111" t="b">
        <f t="shared" si="101"/>
        <v>0</v>
      </c>
      <c r="T97" s="111" t="b">
        <f t="shared" si="101"/>
        <v>0</v>
      </c>
      <c r="U97" s="111" t="b">
        <f t="shared" si="101"/>
        <v>0</v>
      </c>
      <c r="V97" s="111" t="b">
        <f t="shared" si="101"/>
        <v>0</v>
      </c>
      <c r="W97" s="111" t="b">
        <f t="shared" si="101"/>
        <v>0</v>
      </c>
      <c r="X97" s="111" t="b">
        <f t="shared" si="101"/>
        <v>0</v>
      </c>
      <c r="Z97" s="61"/>
      <c r="AA97" s="61"/>
      <c r="AB97" s="61"/>
    </row>
    <row r="98" spans="2:28" s="59" customFormat="1" x14ac:dyDescent="0.2">
      <c r="B98" s="59" t="s">
        <v>36</v>
      </c>
      <c r="C98" s="59" t="s">
        <v>36</v>
      </c>
      <c r="E98" s="67" t="b">
        <f>IF(E28&gt;6,TRUE,CHOOSE(E28+1,E42,E50,E58,E66,E74,E82,E90))</f>
        <v>0</v>
      </c>
      <c r="F98" s="67" t="b">
        <f t="shared" ref="F98:X98" si="102">IF(F28&gt;6,TRUE,CHOOSE(F28+1,F42,F50,F58,F66,F74,F82,F90))</f>
        <v>0</v>
      </c>
      <c r="G98" s="67" t="b">
        <f t="shared" si="102"/>
        <v>0</v>
      </c>
      <c r="H98" s="67" t="b">
        <f t="shared" si="102"/>
        <v>0</v>
      </c>
      <c r="I98" s="67" t="b">
        <f t="shared" si="102"/>
        <v>0</v>
      </c>
      <c r="J98" s="67" t="b">
        <f t="shared" si="102"/>
        <v>0</v>
      </c>
      <c r="K98" s="67" t="b">
        <f t="shared" si="102"/>
        <v>0</v>
      </c>
      <c r="L98" s="67" t="b">
        <f t="shared" si="102"/>
        <v>0</v>
      </c>
      <c r="M98" s="111" t="b">
        <f t="shared" si="102"/>
        <v>0</v>
      </c>
      <c r="N98" s="111" t="b">
        <f t="shared" si="102"/>
        <v>0</v>
      </c>
      <c r="O98" s="111" t="b">
        <f t="shared" si="102"/>
        <v>0</v>
      </c>
      <c r="P98" s="111" t="b">
        <f t="shared" si="102"/>
        <v>0</v>
      </c>
      <c r="Q98" s="111" t="b">
        <f t="shared" si="102"/>
        <v>1</v>
      </c>
      <c r="R98" s="111" t="b">
        <f t="shared" si="102"/>
        <v>1</v>
      </c>
      <c r="S98" s="111" t="b">
        <f t="shared" si="102"/>
        <v>1</v>
      </c>
      <c r="T98" s="111" t="b">
        <f t="shared" si="102"/>
        <v>1</v>
      </c>
      <c r="U98" s="111" t="b">
        <f t="shared" si="102"/>
        <v>1</v>
      </c>
      <c r="V98" s="111" t="b">
        <f t="shared" si="102"/>
        <v>1</v>
      </c>
      <c r="W98" s="111" t="b">
        <f t="shared" si="102"/>
        <v>1</v>
      </c>
      <c r="X98" s="111" t="b">
        <f t="shared" si="102"/>
        <v>1</v>
      </c>
      <c r="Z98" s="61"/>
      <c r="AA98" s="61"/>
      <c r="AB98" s="61"/>
    </row>
    <row r="99" spans="2:28" s="59" customFormat="1" x14ac:dyDescent="0.2">
      <c r="Z99" s="61"/>
      <c r="AA99" s="61"/>
      <c r="AB99" s="61"/>
    </row>
    <row r="100" spans="2:28" s="59" customFormat="1" x14ac:dyDescent="0.2">
      <c r="B100" s="72" t="s">
        <v>114</v>
      </c>
      <c r="C100" s="65"/>
      <c r="Z100" s="61"/>
      <c r="AA100" s="61"/>
      <c r="AB100" s="61"/>
    </row>
    <row r="101" spans="2:28" s="59" customFormat="1" x14ac:dyDescent="0.2">
      <c r="C101" s="65"/>
      <c r="Z101" s="61"/>
      <c r="AA101" s="61"/>
      <c r="AB101" s="61"/>
    </row>
    <row r="102" spans="2:28" s="59" customFormat="1" x14ac:dyDescent="0.2">
      <c r="B102" s="73" t="s">
        <v>108</v>
      </c>
      <c r="C102" s="65" t="s">
        <v>0</v>
      </c>
      <c r="E102" s="59">
        <f>IF(AND(E$92&lt;&gt;"",E$94&lt;&gt;""),E$92,0)</f>
        <v>0</v>
      </c>
      <c r="F102" s="59">
        <f t="shared" ref="F102:X102" si="103">IF(AND(F$92&lt;&gt;"",F$94&lt;&gt;""),F$92,0)</f>
        <v>0</v>
      </c>
      <c r="G102" s="59">
        <f t="shared" si="103"/>
        <v>0</v>
      </c>
      <c r="H102" s="59">
        <f t="shared" si="103"/>
        <v>0</v>
      </c>
      <c r="I102" s="59">
        <f t="shared" si="103"/>
        <v>0</v>
      </c>
      <c r="J102" s="59">
        <f t="shared" si="103"/>
        <v>0</v>
      </c>
      <c r="K102" s="59">
        <f t="shared" si="103"/>
        <v>0</v>
      </c>
      <c r="L102" s="59">
        <f t="shared" si="103"/>
        <v>8</v>
      </c>
      <c r="M102" s="59">
        <f t="shared" si="103"/>
        <v>0</v>
      </c>
      <c r="N102" s="59">
        <f t="shared" si="103"/>
        <v>0</v>
      </c>
      <c r="O102" s="59">
        <f t="shared" si="103"/>
        <v>0</v>
      </c>
      <c r="P102" s="59">
        <f t="shared" si="103"/>
        <v>0</v>
      </c>
      <c r="Q102" s="59">
        <f t="shared" si="103"/>
        <v>0</v>
      </c>
      <c r="R102" s="59">
        <f t="shared" si="103"/>
        <v>0</v>
      </c>
      <c r="S102" s="59">
        <f t="shared" si="103"/>
        <v>0</v>
      </c>
      <c r="T102" s="59">
        <f t="shared" si="103"/>
        <v>0</v>
      </c>
      <c r="U102" s="59">
        <f t="shared" si="103"/>
        <v>0</v>
      </c>
      <c r="V102" s="59">
        <f t="shared" si="103"/>
        <v>0</v>
      </c>
      <c r="W102" s="59">
        <f t="shared" si="103"/>
        <v>0</v>
      </c>
      <c r="X102" s="59">
        <f t="shared" si="103"/>
        <v>0</v>
      </c>
      <c r="Z102" s="61"/>
      <c r="AA102" s="61"/>
      <c r="AB102" s="61"/>
    </row>
    <row r="103" spans="2:28" s="59" customFormat="1" x14ac:dyDescent="0.2">
      <c r="C103" s="65" t="s">
        <v>2</v>
      </c>
      <c r="E103" s="59">
        <f>IF(AND(E$92&lt;&gt;"",E$94&lt;&gt;""),E$94,0)</f>
        <v>0</v>
      </c>
      <c r="F103" s="59">
        <f t="shared" ref="F103:X103" si="104">IF(AND(F$92&lt;&gt;"",F$94&lt;&gt;""),F$94,0)</f>
        <v>0</v>
      </c>
      <c r="G103" s="59">
        <f t="shared" si="104"/>
        <v>0</v>
      </c>
      <c r="H103" s="59">
        <f t="shared" si="104"/>
        <v>0</v>
      </c>
      <c r="I103" s="59">
        <f t="shared" si="104"/>
        <v>0</v>
      </c>
      <c r="J103" s="59">
        <f t="shared" si="104"/>
        <v>0</v>
      </c>
      <c r="K103" s="59">
        <f t="shared" si="104"/>
        <v>0</v>
      </c>
      <c r="L103" s="59">
        <f t="shared" si="104"/>
        <v>5.4480985171597482E-2</v>
      </c>
      <c r="M103" s="59">
        <f t="shared" si="104"/>
        <v>0</v>
      </c>
      <c r="N103" s="59">
        <f t="shared" si="104"/>
        <v>0</v>
      </c>
      <c r="O103" s="59">
        <f t="shared" si="104"/>
        <v>0</v>
      </c>
      <c r="P103" s="59">
        <f t="shared" si="104"/>
        <v>0</v>
      </c>
      <c r="Q103" s="59">
        <f t="shared" si="104"/>
        <v>0</v>
      </c>
      <c r="R103" s="59">
        <f t="shared" si="104"/>
        <v>0</v>
      </c>
      <c r="S103" s="59">
        <f t="shared" si="104"/>
        <v>0</v>
      </c>
      <c r="T103" s="59">
        <f t="shared" si="104"/>
        <v>0</v>
      </c>
      <c r="U103" s="59">
        <f t="shared" si="104"/>
        <v>0</v>
      </c>
      <c r="V103" s="59">
        <f t="shared" si="104"/>
        <v>0</v>
      </c>
      <c r="W103" s="59">
        <f t="shared" si="104"/>
        <v>0</v>
      </c>
      <c r="X103" s="59">
        <f t="shared" si="104"/>
        <v>0</v>
      </c>
      <c r="Z103" s="61"/>
      <c r="AA103" s="61"/>
      <c r="AB103" s="61"/>
    </row>
    <row r="104" spans="2:28" s="59" customFormat="1" ht="25.5" x14ac:dyDescent="0.2">
      <c r="B104" s="64" t="s">
        <v>115</v>
      </c>
      <c r="C104" s="65" t="s">
        <v>31</v>
      </c>
      <c r="E104" s="74">
        <f>IF(E102&lt;-50,#N/A,IF(E102&lt;0,EXP((1738.4+28.74*E102)/(271+E102)),IF(E102&lt;=100,EXP((1500.3+23.5*E102)/(234+E102)),#N/A)))</f>
        <v>608.82962187913188</v>
      </c>
      <c r="F104" s="74">
        <f t="shared" ref="F104:X104" si="105">IF(F102&lt;-50,#N/A,IF(F102&lt;0,EXP((1738.4+28.74*F102)/(271+F102)),IF(F102&lt;=100,EXP((1500.3+23.5*F102)/(234+F102)),#N/A)))</f>
        <v>608.82962187913188</v>
      </c>
      <c r="G104" s="74">
        <f t="shared" si="105"/>
        <v>608.82962187913188</v>
      </c>
      <c r="H104" s="74">
        <f t="shared" si="105"/>
        <v>608.82962187913188</v>
      </c>
      <c r="I104" s="74">
        <f t="shared" si="105"/>
        <v>608.82962187913188</v>
      </c>
      <c r="J104" s="74">
        <f t="shared" si="105"/>
        <v>608.82962187913188</v>
      </c>
      <c r="K104" s="74">
        <f t="shared" si="105"/>
        <v>608.82962187913188</v>
      </c>
      <c r="L104" s="74">
        <f t="shared" si="105"/>
        <v>1071.1051886578423</v>
      </c>
      <c r="M104" s="70">
        <f t="shared" si="105"/>
        <v>608.82962187913188</v>
      </c>
      <c r="N104" s="70">
        <f t="shared" si="105"/>
        <v>608.82962187913188</v>
      </c>
      <c r="O104" s="70">
        <f t="shared" si="105"/>
        <v>608.82962187913188</v>
      </c>
      <c r="P104" s="70">
        <f t="shared" si="105"/>
        <v>608.82962187913188</v>
      </c>
      <c r="Q104" s="70">
        <f t="shared" si="105"/>
        <v>608.82962187913188</v>
      </c>
      <c r="R104" s="70">
        <f t="shared" si="105"/>
        <v>608.82962187913188</v>
      </c>
      <c r="S104" s="70">
        <f t="shared" si="105"/>
        <v>608.82962187913188</v>
      </c>
      <c r="T104" s="70">
        <f t="shared" si="105"/>
        <v>608.82962187913188</v>
      </c>
      <c r="U104" s="70">
        <f t="shared" si="105"/>
        <v>608.82962187913188</v>
      </c>
      <c r="V104" s="70">
        <f t="shared" si="105"/>
        <v>608.82962187913188</v>
      </c>
      <c r="W104" s="70">
        <f t="shared" si="105"/>
        <v>608.82962187913188</v>
      </c>
      <c r="X104" s="70">
        <f t="shared" si="105"/>
        <v>608.82962187913188</v>
      </c>
      <c r="Z104" s="61"/>
      <c r="AA104" s="61"/>
      <c r="AB104" s="61"/>
    </row>
    <row r="105" spans="2:28" s="59" customFormat="1" ht="25.5" x14ac:dyDescent="0.2">
      <c r="B105" s="64" t="s">
        <v>115</v>
      </c>
      <c r="C105" s="65" t="s">
        <v>2</v>
      </c>
      <c r="E105" s="59">
        <f>0.6222*MaxVlhkost*E104/(Tlak_vzduchu-MaxVlhkost*E104/1000)</f>
        <v>4.0346050561264439</v>
      </c>
      <c r="F105" s="59">
        <f t="shared" ref="F105:N105" si="106">0.6222*MaxVlhkost*F104/(Tlak_vzduchu-MaxVlhkost*F104/1000)</f>
        <v>4.0346050561264439</v>
      </c>
      <c r="G105" s="59">
        <f t="shared" si="106"/>
        <v>4.0346050561264439</v>
      </c>
      <c r="H105" s="59">
        <f t="shared" si="106"/>
        <v>4.0346050561264439</v>
      </c>
      <c r="I105" s="59">
        <f t="shared" si="106"/>
        <v>4.0346050561264439</v>
      </c>
      <c r="J105" s="59">
        <f t="shared" si="106"/>
        <v>4.0346050561264439</v>
      </c>
      <c r="K105" s="59">
        <f t="shared" si="106"/>
        <v>4.0346050561264439</v>
      </c>
      <c r="L105" s="59">
        <f t="shared" si="106"/>
        <v>7.1331428005076241</v>
      </c>
      <c r="M105" s="59">
        <f t="shared" si="106"/>
        <v>4.0346050561264439</v>
      </c>
      <c r="N105" s="59">
        <f t="shared" si="106"/>
        <v>4.0346050561264439</v>
      </c>
      <c r="O105" s="59">
        <f t="shared" ref="O105:X105" si="107">0.6222*MaxVlhkost*O104/(Tlak_vzduchu-MaxVlhkost*O104/1000)</f>
        <v>4.0346050561264439</v>
      </c>
      <c r="P105" s="59">
        <f t="shared" si="107"/>
        <v>4.0346050561264439</v>
      </c>
      <c r="Q105" s="59">
        <f t="shared" si="107"/>
        <v>4.0346050561264439</v>
      </c>
      <c r="R105" s="59">
        <f t="shared" si="107"/>
        <v>4.0346050561264439</v>
      </c>
      <c r="S105" s="59">
        <f t="shared" si="107"/>
        <v>4.0346050561264439</v>
      </c>
      <c r="T105" s="59">
        <f t="shared" si="107"/>
        <v>4.0346050561264439</v>
      </c>
      <c r="U105" s="59">
        <f t="shared" si="107"/>
        <v>4.0346050561264439</v>
      </c>
      <c r="V105" s="59">
        <f t="shared" si="107"/>
        <v>4.0346050561264439</v>
      </c>
      <c r="W105" s="59">
        <f t="shared" si="107"/>
        <v>4.0346050561264439</v>
      </c>
      <c r="X105" s="59">
        <f t="shared" si="107"/>
        <v>4.0346050561264439</v>
      </c>
      <c r="Z105" s="61"/>
      <c r="AA105" s="61"/>
      <c r="AB105" s="61"/>
    </row>
    <row r="106" spans="2:28" s="59" customFormat="1" x14ac:dyDescent="0.2">
      <c r="B106" s="75" t="s">
        <v>70</v>
      </c>
      <c r="C106" s="65" t="s">
        <v>33</v>
      </c>
      <c r="E106" s="59">
        <f>E102</f>
        <v>0</v>
      </c>
      <c r="F106" s="59">
        <f t="shared" ref="F106:X106" si="108">F102</f>
        <v>0</v>
      </c>
      <c r="G106" s="59">
        <f t="shared" si="108"/>
        <v>0</v>
      </c>
      <c r="H106" s="59">
        <f t="shared" si="108"/>
        <v>0</v>
      </c>
      <c r="I106" s="59">
        <f t="shared" si="108"/>
        <v>0</v>
      </c>
      <c r="J106" s="59">
        <f t="shared" si="108"/>
        <v>0</v>
      </c>
      <c r="K106" s="59">
        <f t="shared" si="108"/>
        <v>0</v>
      </c>
      <c r="L106" s="59">
        <f t="shared" si="108"/>
        <v>8</v>
      </c>
      <c r="M106" s="59">
        <f t="shared" si="108"/>
        <v>0</v>
      </c>
      <c r="N106" s="59">
        <f t="shared" si="108"/>
        <v>0</v>
      </c>
      <c r="O106" s="59">
        <f t="shared" si="108"/>
        <v>0</v>
      </c>
      <c r="P106" s="59">
        <f t="shared" si="108"/>
        <v>0</v>
      </c>
      <c r="Q106" s="59">
        <f t="shared" si="108"/>
        <v>0</v>
      </c>
      <c r="R106" s="59">
        <f t="shared" si="108"/>
        <v>0</v>
      </c>
      <c r="S106" s="59">
        <f t="shared" si="108"/>
        <v>0</v>
      </c>
      <c r="T106" s="59">
        <f t="shared" si="108"/>
        <v>0</v>
      </c>
      <c r="U106" s="59">
        <f t="shared" si="108"/>
        <v>0</v>
      </c>
      <c r="V106" s="59">
        <f t="shared" si="108"/>
        <v>0</v>
      </c>
      <c r="W106" s="59">
        <f t="shared" si="108"/>
        <v>0</v>
      </c>
      <c r="X106" s="59">
        <f t="shared" si="108"/>
        <v>0</v>
      </c>
      <c r="Z106" s="61"/>
      <c r="AA106" s="61"/>
      <c r="AB106" s="61"/>
    </row>
    <row r="107" spans="2:28" s="59" customFormat="1" x14ac:dyDescent="0.2">
      <c r="C107" s="65" t="s">
        <v>34</v>
      </c>
      <c r="E107" s="59">
        <f>MIN(E103,E105)</f>
        <v>0</v>
      </c>
      <c r="F107" s="59">
        <f t="shared" ref="F107:X107" si="109">MIN(F103,F105)</f>
        <v>0</v>
      </c>
      <c r="G107" s="59">
        <f t="shared" si="109"/>
        <v>0</v>
      </c>
      <c r="H107" s="59">
        <f t="shared" si="109"/>
        <v>0</v>
      </c>
      <c r="I107" s="59">
        <f t="shared" si="109"/>
        <v>0</v>
      </c>
      <c r="J107" s="59">
        <f t="shared" si="109"/>
        <v>0</v>
      </c>
      <c r="K107" s="59">
        <f t="shared" si="109"/>
        <v>0</v>
      </c>
      <c r="L107" s="59">
        <f t="shared" si="109"/>
        <v>5.4480985171597482E-2</v>
      </c>
      <c r="M107" s="59">
        <f t="shared" si="109"/>
        <v>0</v>
      </c>
      <c r="N107" s="59">
        <f t="shared" si="109"/>
        <v>0</v>
      </c>
      <c r="O107" s="59">
        <f t="shared" si="109"/>
        <v>0</v>
      </c>
      <c r="P107" s="59">
        <f t="shared" si="109"/>
        <v>0</v>
      </c>
      <c r="Q107" s="59">
        <f t="shared" si="109"/>
        <v>0</v>
      </c>
      <c r="R107" s="59">
        <f t="shared" si="109"/>
        <v>0</v>
      </c>
      <c r="S107" s="59">
        <f t="shared" si="109"/>
        <v>0</v>
      </c>
      <c r="T107" s="59">
        <f t="shared" si="109"/>
        <v>0</v>
      </c>
      <c r="U107" s="59">
        <f t="shared" si="109"/>
        <v>0</v>
      </c>
      <c r="V107" s="59">
        <f t="shared" si="109"/>
        <v>0</v>
      </c>
      <c r="W107" s="59">
        <f t="shared" si="109"/>
        <v>0</v>
      </c>
      <c r="X107" s="59">
        <f t="shared" si="109"/>
        <v>0</v>
      </c>
      <c r="Z107" s="61"/>
      <c r="AA107" s="61"/>
      <c r="AB107" s="61"/>
    </row>
    <row r="108" spans="2:28" s="59" customFormat="1" x14ac:dyDescent="0.2">
      <c r="C108" s="65"/>
      <c r="Z108" s="61"/>
      <c r="AA108" s="61"/>
      <c r="AB108" s="61"/>
    </row>
    <row r="109" spans="2:28" s="59" customFormat="1" x14ac:dyDescent="0.2">
      <c r="B109" s="73" t="s">
        <v>109</v>
      </c>
      <c r="C109" s="65" t="s">
        <v>0</v>
      </c>
      <c r="E109" s="59">
        <f>IF(AND(E$92&lt;&gt;"",E$95&lt;&gt;""),E$92,0)</f>
        <v>0</v>
      </c>
      <c r="F109" s="59">
        <f t="shared" ref="F109:X109" si="110">IF(AND(F$92&lt;&gt;"",F$95&lt;&gt;""),F$92,0)</f>
        <v>0</v>
      </c>
      <c r="G109" s="59">
        <f t="shared" si="110"/>
        <v>0</v>
      </c>
      <c r="H109" s="59">
        <f t="shared" si="110"/>
        <v>0</v>
      </c>
      <c r="I109" s="59">
        <f t="shared" si="110"/>
        <v>0</v>
      </c>
      <c r="J109" s="59">
        <f t="shared" si="110"/>
        <v>0</v>
      </c>
      <c r="K109" s="59">
        <f t="shared" si="110"/>
        <v>0</v>
      </c>
      <c r="L109" s="59">
        <f t="shared" si="110"/>
        <v>0</v>
      </c>
      <c r="M109" s="59">
        <f t="shared" si="110"/>
        <v>0</v>
      </c>
      <c r="N109" s="59">
        <f t="shared" si="110"/>
        <v>0</v>
      </c>
      <c r="O109" s="59">
        <f t="shared" si="110"/>
        <v>0</v>
      </c>
      <c r="P109" s="59">
        <f t="shared" si="110"/>
        <v>0</v>
      </c>
      <c r="Q109" s="59">
        <f t="shared" si="110"/>
        <v>0</v>
      </c>
      <c r="R109" s="59">
        <f t="shared" si="110"/>
        <v>0</v>
      </c>
      <c r="S109" s="59">
        <f t="shared" si="110"/>
        <v>0</v>
      </c>
      <c r="T109" s="59">
        <f t="shared" si="110"/>
        <v>0</v>
      </c>
      <c r="U109" s="59">
        <f t="shared" si="110"/>
        <v>0</v>
      </c>
      <c r="V109" s="59">
        <f t="shared" si="110"/>
        <v>0</v>
      </c>
      <c r="W109" s="59">
        <f t="shared" si="110"/>
        <v>0</v>
      </c>
      <c r="X109" s="59">
        <f t="shared" si="110"/>
        <v>0</v>
      </c>
      <c r="Z109" s="61"/>
      <c r="AA109" s="61"/>
      <c r="AB109" s="61"/>
    </row>
    <row r="110" spans="2:28" s="59" customFormat="1" x14ac:dyDescent="0.2">
      <c r="C110" s="65" t="s">
        <v>3</v>
      </c>
      <c r="E110" s="59">
        <f>IF(AND(E$92&lt;&gt;"",E$95&lt;&gt;""),E$95,0)</f>
        <v>0</v>
      </c>
      <c r="F110" s="59">
        <f t="shared" ref="F110:X110" si="111">IF(AND(F$92&lt;&gt;"",F$95&lt;&gt;""),F$95,0)</f>
        <v>0</v>
      </c>
      <c r="G110" s="59">
        <f t="shared" si="111"/>
        <v>0</v>
      </c>
      <c r="H110" s="59">
        <f t="shared" si="111"/>
        <v>0</v>
      </c>
      <c r="I110" s="59">
        <f t="shared" si="111"/>
        <v>0</v>
      </c>
      <c r="J110" s="59">
        <f t="shared" si="111"/>
        <v>0</v>
      </c>
      <c r="K110" s="59">
        <f t="shared" si="111"/>
        <v>0</v>
      </c>
      <c r="L110" s="59">
        <f t="shared" si="111"/>
        <v>0</v>
      </c>
      <c r="M110" s="59">
        <f t="shared" si="111"/>
        <v>0</v>
      </c>
      <c r="N110" s="59">
        <f t="shared" si="111"/>
        <v>0</v>
      </c>
      <c r="O110" s="59">
        <f t="shared" si="111"/>
        <v>0</v>
      </c>
      <c r="P110" s="59">
        <f t="shared" si="111"/>
        <v>0</v>
      </c>
      <c r="Q110" s="59">
        <f t="shared" si="111"/>
        <v>0</v>
      </c>
      <c r="R110" s="59">
        <f t="shared" si="111"/>
        <v>0</v>
      </c>
      <c r="S110" s="59">
        <f t="shared" si="111"/>
        <v>0</v>
      </c>
      <c r="T110" s="59">
        <f t="shared" si="111"/>
        <v>0</v>
      </c>
      <c r="U110" s="59">
        <f t="shared" si="111"/>
        <v>0</v>
      </c>
      <c r="V110" s="59">
        <f t="shared" si="111"/>
        <v>0</v>
      </c>
      <c r="W110" s="59">
        <f t="shared" si="111"/>
        <v>0</v>
      </c>
      <c r="X110" s="59">
        <f t="shared" si="111"/>
        <v>0</v>
      </c>
      <c r="Z110" s="61"/>
      <c r="AA110" s="61"/>
      <c r="AB110" s="61"/>
    </row>
    <row r="111" spans="2:28" s="59" customFormat="1" ht="25.5" x14ac:dyDescent="0.2">
      <c r="B111" s="64" t="s">
        <v>115</v>
      </c>
      <c r="C111" s="65" t="s">
        <v>31</v>
      </c>
      <c r="E111" s="74">
        <f>IF(E109&lt;-50,#N/A,IF(E109&lt;0,EXP((1738.4+28.74*E109)/(271+E109)),IF(E109&lt;=100,EXP((1500.3+23.5*E109)/(234+E109)),#N/A)))</f>
        <v>608.82962187913188</v>
      </c>
      <c r="F111" s="74">
        <f t="shared" ref="F111:X111" si="112">IF(F109&lt;-50,#N/A,IF(F109&lt;0,EXP((1738.4+28.74*F109)/(271+F109)),IF(F109&lt;=100,EXP((1500.3+23.5*F109)/(234+F109)),#N/A)))</f>
        <v>608.82962187913188</v>
      </c>
      <c r="G111" s="74">
        <f t="shared" si="112"/>
        <v>608.82962187913188</v>
      </c>
      <c r="H111" s="74">
        <f t="shared" si="112"/>
        <v>608.82962187913188</v>
      </c>
      <c r="I111" s="74">
        <f t="shared" si="112"/>
        <v>608.82962187913188</v>
      </c>
      <c r="J111" s="74">
        <f t="shared" si="112"/>
        <v>608.82962187913188</v>
      </c>
      <c r="K111" s="74">
        <f t="shared" si="112"/>
        <v>608.82962187913188</v>
      </c>
      <c r="L111" s="74">
        <f t="shared" si="112"/>
        <v>608.82962187913188</v>
      </c>
      <c r="M111" s="70">
        <f t="shared" si="112"/>
        <v>608.82962187913188</v>
      </c>
      <c r="N111" s="70">
        <f t="shared" si="112"/>
        <v>608.82962187913188</v>
      </c>
      <c r="O111" s="70">
        <f t="shared" si="112"/>
        <v>608.82962187913188</v>
      </c>
      <c r="P111" s="70">
        <f t="shared" si="112"/>
        <v>608.82962187913188</v>
      </c>
      <c r="Q111" s="70">
        <f t="shared" si="112"/>
        <v>608.82962187913188</v>
      </c>
      <c r="R111" s="70">
        <f t="shared" si="112"/>
        <v>608.82962187913188</v>
      </c>
      <c r="S111" s="70">
        <f t="shared" si="112"/>
        <v>608.82962187913188</v>
      </c>
      <c r="T111" s="70">
        <f t="shared" si="112"/>
        <v>608.82962187913188</v>
      </c>
      <c r="U111" s="70">
        <f t="shared" si="112"/>
        <v>608.82962187913188</v>
      </c>
      <c r="V111" s="70">
        <f t="shared" si="112"/>
        <v>608.82962187913188</v>
      </c>
      <c r="W111" s="70">
        <f t="shared" si="112"/>
        <v>608.82962187913188</v>
      </c>
      <c r="X111" s="70">
        <f t="shared" si="112"/>
        <v>608.82962187913188</v>
      </c>
      <c r="Z111" s="61"/>
      <c r="AA111" s="61"/>
      <c r="AB111" s="61"/>
    </row>
    <row r="112" spans="2:28" s="59" customFormat="1" ht="25.5" x14ac:dyDescent="0.2">
      <c r="B112" s="64" t="s">
        <v>115</v>
      </c>
      <c r="C112" s="65" t="s">
        <v>2</v>
      </c>
      <c r="E112" s="59">
        <f>0.6222*MaxVlhkost*E111/(Tlak_vzduchu-MaxVlhkost*E111/1000)</f>
        <v>4.0346050561264439</v>
      </c>
      <c r="F112" s="59">
        <f t="shared" ref="F112:N112" si="113">0.6222*MaxVlhkost*F111/(Tlak_vzduchu-MaxVlhkost*F111/1000)</f>
        <v>4.0346050561264439</v>
      </c>
      <c r="G112" s="59">
        <f t="shared" si="113"/>
        <v>4.0346050561264439</v>
      </c>
      <c r="H112" s="59">
        <f t="shared" si="113"/>
        <v>4.0346050561264439</v>
      </c>
      <c r="I112" s="59">
        <f t="shared" si="113"/>
        <v>4.0346050561264439</v>
      </c>
      <c r="J112" s="59">
        <f t="shared" si="113"/>
        <v>4.0346050561264439</v>
      </c>
      <c r="K112" s="59">
        <f t="shared" si="113"/>
        <v>4.0346050561264439</v>
      </c>
      <c r="L112" s="59">
        <f t="shared" si="113"/>
        <v>4.0346050561264439</v>
      </c>
      <c r="M112" s="59">
        <f t="shared" si="113"/>
        <v>4.0346050561264439</v>
      </c>
      <c r="N112" s="59">
        <f t="shared" si="113"/>
        <v>4.0346050561264439</v>
      </c>
      <c r="O112" s="59">
        <f t="shared" ref="O112:X112" si="114">0.6222*MaxVlhkost*O111/(Tlak_vzduchu-MaxVlhkost*O111/1000)</f>
        <v>4.0346050561264439</v>
      </c>
      <c r="P112" s="59">
        <f t="shared" si="114"/>
        <v>4.0346050561264439</v>
      </c>
      <c r="Q112" s="59">
        <f t="shared" si="114"/>
        <v>4.0346050561264439</v>
      </c>
      <c r="R112" s="59">
        <f t="shared" si="114"/>
        <v>4.0346050561264439</v>
      </c>
      <c r="S112" s="59">
        <f t="shared" si="114"/>
        <v>4.0346050561264439</v>
      </c>
      <c r="T112" s="59">
        <f t="shared" si="114"/>
        <v>4.0346050561264439</v>
      </c>
      <c r="U112" s="59">
        <f t="shared" si="114"/>
        <v>4.0346050561264439</v>
      </c>
      <c r="V112" s="59">
        <f t="shared" si="114"/>
        <v>4.0346050561264439</v>
      </c>
      <c r="W112" s="59">
        <f t="shared" si="114"/>
        <v>4.0346050561264439</v>
      </c>
      <c r="X112" s="59">
        <f t="shared" si="114"/>
        <v>4.0346050561264439</v>
      </c>
      <c r="Z112" s="61"/>
      <c r="AA112" s="61"/>
      <c r="AB112" s="61"/>
    </row>
    <row r="113" spans="2:28" s="59" customFormat="1" ht="38.25" x14ac:dyDescent="0.2">
      <c r="B113" s="64" t="s">
        <v>117</v>
      </c>
      <c r="C113" s="65" t="s">
        <v>2</v>
      </c>
      <c r="E113" s="59">
        <f>(E110-1.01*E109)/(2501+1.86*E109)*1000</f>
        <v>0</v>
      </c>
      <c r="F113" s="59">
        <f t="shared" ref="F113:X113" si="115">(F110-1.01*F109)/(2501+1.86*F109)*1000</f>
        <v>0</v>
      </c>
      <c r="G113" s="59">
        <f t="shared" si="115"/>
        <v>0</v>
      </c>
      <c r="H113" s="59">
        <f t="shared" si="115"/>
        <v>0</v>
      </c>
      <c r="I113" s="59">
        <f t="shared" si="115"/>
        <v>0</v>
      </c>
      <c r="J113" s="59">
        <f t="shared" si="115"/>
        <v>0</v>
      </c>
      <c r="K113" s="59">
        <f t="shared" si="115"/>
        <v>0</v>
      </c>
      <c r="L113" s="59">
        <f t="shared" si="115"/>
        <v>0</v>
      </c>
      <c r="M113" s="59">
        <f t="shared" si="115"/>
        <v>0</v>
      </c>
      <c r="N113" s="59">
        <f t="shared" si="115"/>
        <v>0</v>
      </c>
      <c r="O113" s="59">
        <f t="shared" si="115"/>
        <v>0</v>
      </c>
      <c r="P113" s="59">
        <f t="shared" si="115"/>
        <v>0</v>
      </c>
      <c r="Q113" s="59">
        <f t="shared" si="115"/>
        <v>0</v>
      </c>
      <c r="R113" s="59">
        <f t="shared" si="115"/>
        <v>0</v>
      </c>
      <c r="S113" s="59">
        <f t="shared" si="115"/>
        <v>0</v>
      </c>
      <c r="T113" s="59">
        <f t="shared" si="115"/>
        <v>0</v>
      </c>
      <c r="U113" s="59">
        <f t="shared" si="115"/>
        <v>0</v>
      </c>
      <c r="V113" s="59">
        <f t="shared" si="115"/>
        <v>0</v>
      </c>
      <c r="W113" s="59">
        <f t="shared" si="115"/>
        <v>0</v>
      </c>
      <c r="X113" s="59">
        <f t="shared" si="115"/>
        <v>0</v>
      </c>
      <c r="Z113" s="61"/>
      <c r="AA113" s="61"/>
      <c r="AB113" s="61"/>
    </row>
    <row r="114" spans="2:28" s="59" customFormat="1" x14ac:dyDescent="0.2">
      <c r="B114" s="76" t="s">
        <v>70</v>
      </c>
      <c r="C114" s="65" t="s">
        <v>33</v>
      </c>
      <c r="E114" s="59">
        <f>E109</f>
        <v>0</v>
      </c>
      <c r="F114" s="59">
        <f t="shared" ref="F114:X114" si="116">F109</f>
        <v>0</v>
      </c>
      <c r="G114" s="59">
        <f t="shared" si="116"/>
        <v>0</v>
      </c>
      <c r="H114" s="59">
        <f t="shared" si="116"/>
        <v>0</v>
      </c>
      <c r="I114" s="59">
        <f t="shared" si="116"/>
        <v>0</v>
      </c>
      <c r="J114" s="59">
        <f t="shared" si="116"/>
        <v>0</v>
      </c>
      <c r="K114" s="59">
        <f t="shared" si="116"/>
        <v>0</v>
      </c>
      <c r="L114" s="59">
        <f t="shared" si="116"/>
        <v>0</v>
      </c>
      <c r="M114" s="59">
        <f t="shared" si="116"/>
        <v>0</v>
      </c>
      <c r="N114" s="59">
        <f t="shared" si="116"/>
        <v>0</v>
      </c>
      <c r="O114" s="59">
        <f t="shared" si="116"/>
        <v>0</v>
      </c>
      <c r="P114" s="59">
        <f t="shared" si="116"/>
        <v>0</v>
      </c>
      <c r="Q114" s="59">
        <f t="shared" si="116"/>
        <v>0</v>
      </c>
      <c r="R114" s="59">
        <f t="shared" si="116"/>
        <v>0</v>
      </c>
      <c r="S114" s="59">
        <f t="shared" si="116"/>
        <v>0</v>
      </c>
      <c r="T114" s="59">
        <f t="shared" si="116"/>
        <v>0</v>
      </c>
      <c r="U114" s="59">
        <f t="shared" si="116"/>
        <v>0</v>
      </c>
      <c r="V114" s="59">
        <f t="shared" si="116"/>
        <v>0</v>
      </c>
      <c r="W114" s="59">
        <f t="shared" si="116"/>
        <v>0</v>
      </c>
      <c r="X114" s="59">
        <f t="shared" si="116"/>
        <v>0</v>
      </c>
      <c r="Z114" s="61"/>
      <c r="AA114" s="61"/>
      <c r="AB114" s="61"/>
    </row>
    <row r="115" spans="2:28" s="59" customFormat="1" x14ac:dyDescent="0.2">
      <c r="C115" s="65" t="s">
        <v>34</v>
      </c>
      <c r="E115" s="59">
        <f>MIN(E112,E113)</f>
        <v>0</v>
      </c>
      <c r="F115" s="59">
        <f t="shared" ref="F115:X115" si="117">MIN(F112,F113)</f>
        <v>0</v>
      </c>
      <c r="G115" s="59">
        <f t="shared" si="117"/>
        <v>0</v>
      </c>
      <c r="H115" s="59">
        <f t="shared" si="117"/>
        <v>0</v>
      </c>
      <c r="I115" s="59">
        <f t="shared" si="117"/>
        <v>0</v>
      </c>
      <c r="J115" s="59">
        <f t="shared" si="117"/>
        <v>0</v>
      </c>
      <c r="K115" s="59">
        <f t="shared" si="117"/>
        <v>0</v>
      </c>
      <c r="L115" s="59">
        <f t="shared" si="117"/>
        <v>0</v>
      </c>
      <c r="M115" s="59">
        <f t="shared" si="117"/>
        <v>0</v>
      </c>
      <c r="N115" s="59">
        <f t="shared" si="117"/>
        <v>0</v>
      </c>
      <c r="O115" s="59">
        <f t="shared" si="117"/>
        <v>0</v>
      </c>
      <c r="P115" s="59">
        <f t="shared" si="117"/>
        <v>0</v>
      </c>
      <c r="Q115" s="59">
        <f t="shared" si="117"/>
        <v>0</v>
      </c>
      <c r="R115" s="59">
        <f t="shared" si="117"/>
        <v>0</v>
      </c>
      <c r="S115" s="59">
        <f t="shared" si="117"/>
        <v>0</v>
      </c>
      <c r="T115" s="59">
        <f t="shared" si="117"/>
        <v>0</v>
      </c>
      <c r="U115" s="59">
        <f t="shared" si="117"/>
        <v>0</v>
      </c>
      <c r="V115" s="59">
        <f t="shared" si="117"/>
        <v>0</v>
      </c>
      <c r="W115" s="59">
        <f t="shared" si="117"/>
        <v>0</v>
      </c>
      <c r="X115" s="59">
        <f t="shared" si="117"/>
        <v>0</v>
      </c>
      <c r="Z115" s="61"/>
      <c r="AA115" s="61"/>
      <c r="AB115" s="61"/>
    </row>
    <row r="116" spans="2:28" s="59" customFormat="1" x14ac:dyDescent="0.2">
      <c r="C116" s="65"/>
      <c r="Z116" s="61"/>
      <c r="AA116" s="61"/>
      <c r="AB116" s="61"/>
    </row>
    <row r="117" spans="2:28" s="59" customFormat="1" x14ac:dyDescent="0.2">
      <c r="B117" s="73" t="s">
        <v>110</v>
      </c>
      <c r="C117" s="65" t="s">
        <v>0</v>
      </c>
      <c r="E117" s="59">
        <f>IF(AND(E$92&lt;&gt;"",E$93&lt;&gt;""),E$92,0)</f>
        <v>-25</v>
      </c>
      <c r="F117" s="59">
        <f t="shared" ref="F117:X117" si="118">IF(AND(F$92&lt;&gt;"",F$93&lt;&gt;""),F$92,0)</f>
        <v>-25</v>
      </c>
      <c r="G117" s="59">
        <f t="shared" si="118"/>
        <v>-25</v>
      </c>
      <c r="H117" s="59">
        <f t="shared" si="118"/>
        <v>-25</v>
      </c>
      <c r="I117" s="59">
        <f t="shared" si="118"/>
        <v>20</v>
      </c>
      <c r="J117" s="59">
        <f t="shared" si="118"/>
        <v>0</v>
      </c>
      <c r="K117" s="59">
        <f t="shared" si="118"/>
        <v>4.277020603210544</v>
      </c>
      <c r="L117" s="59">
        <f t="shared" si="118"/>
        <v>0</v>
      </c>
      <c r="M117" s="59">
        <f t="shared" si="118"/>
        <v>8</v>
      </c>
      <c r="N117" s="59">
        <f t="shared" si="118"/>
        <v>8</v>
      </c>
      <c r="O117" s="59">
        <f t="shared" si="118"/>
        <v>8</v>
      </c>
      <c r="P117" s="59">
        <f t="shared" si="118"/>
        <v>8</v>
      </c>
      <c r="Q117" s="59">
        <f t="shared" si="118"/>
        <v>0</v>
      </c>
      <c r="R117" s="59">
        <f t="shared" si="118"/>
        <v>0</v>
      </c>
      <c r="S117" s="59">
        <f t="shared" si="118"/>
        <v>0</v>
      </c>
      <c r="T117" s="59">
        <f t="shared" si="118"/>
        <v>0</v>
      </c>
      <c r="U117" s="59">
        <f t="shared" si="118"/>
        <v>0</v>
      </c>
      <c r="V117" s="59">
        <f t="shared" si="118"/>
        <v>0</v>
      </c>
      <c r="W117" s="59">
        <f t="shared" si="118"/>
        <v>0</v>
      </c>
      <c r="X117" s="59">
        <f t="shared" si="118"/>
        <v>0</v>
      </c>
      <c r="Z117" s="61"/>
      <c r="AA117" s="61"/>
      <c r="AB117" s="61"/>
    </row>
    <row r="118" spans="2:28" s="59" customFormat="1" ht="12" customHeight="1" x14ac:dyDescent="0.2">
      <c r="C118" s="65" t="s">
        <v>32</v>
      </c>
      <c r="E118" s="59">
        <f>IF(AND(E$92&lt;&gt;"",E$93&lt;&gt;""),MIN(E$93,MaxVlhkost),0)</f>
        <v>0.2</v>
      </c>
      <c r="F118" s="59">
        <f t="shared" ref="F118:X118" si="119">IF(AND(F$92&lt;&gt;"",F$93&lt;&gt;""),MIN(F$93,MaxVlhkost),0)</f>
        <v>0.2</v>
      </c>
      <c r="G118" s="59">
        <f t="shared" si="119"/>
        <v>0.2</v>
      </c>
      <c r="H118" s="59">
        <f t="shared" si="119"/>
        <v>0.2</v>
      </c>
      <c r="I118" s="59">
        <f t="shared" si="119"/>
        <v>0.6</v>
      </c>
      <c r="J118" s="59">
        <f t="shared" si="119"/>
        <v>0</v>
      </c>
      <c r="K118" s="59">
        <f t="shared" si="119"/>
        <v>0.01</v>
      </c>
      <c r="L118" s="59">
        <f t="shared" si="119"/>
        <v>0</v>
      </c>
      <c r="M118" s="59">
        <f t="shared" si="119"/>
        <v>7.7246107631210339E-5</v>
      </c>
      <c r="N118" s="59">
        <f t="shared" si="119"/>
        <v>7.7246107631210312E-7</v>
      </c>
      <c r="O118" s="59">
        <f t="shared" si="119"/>
        <v>7.7246107631210306E-9</v>
      </c>
      <c r="P118" s="59">
        <f t="shared" si="119"/>
        <v>7.7246107631210307E-11</v>
      </c>
      <c r="Q118" s="59">
        <f t="shared" si="119"/>
        <v>0</v>
      </c>
      <c r="R118" s="59">
        <f t="shared" si="119"/>
        <v>0</v>
      </c>
      <c r="S118" s="59">
        <f t="shared" si="119"/>
        <v>0</v>
      </c>
      <c r="T118" s="59">
        <f t="shared" si="119"/>
        <v>0</v>
      </c>
      <c r="U118" s="59">
        <f t="shared" si="119"/>
        <v>0</v>
      </c>
      <c r="V118" s="59">
        <f t="shared" si="119"/>
        <v>0</v>
      </c>
      <c r="W118" s="59">
        <f t="shared" si="119"/>
        <v>0</v>
      </c>
      <c r="X118" s="59">
        <f t="shared" si="119"/>
        <v>0</v>
      </c>
      <c r="Z118" s="61"/>
      <c r="AA118" s="61"/>
      <c r="AB118" s="61"/>
    </row>
    <row r="119" spans="2:28" s="59" customFormat="1" ht="12" customHeight="1" x14ac:dyDescent="0.2">
      <c r="C119" s="65" t="s">
        <v>31</v>
      </c>
      <c r="E119" s="74">
        <f>IF(E117&lt;-50,#N/A,IF(E117&lt;0,EXP((1738.4+28.74*E117)/(271+E117)),IF(E117&lt;=100,EXP((1500.3+23.5*E117)/(234+E117)),#N/A)))</f>
        <v>63.176661908168398</v>
      </c>
      <c r="F119" s="74">
        <f t="shared" ref="F119:X119" si="120">IF(F117&lt;-50,#N/A,IF(F117&lt;0,EXP((1738.4+28.74*F117)/(271+F117)),IF(F117&lt;=100,EXP((1500.3+23.5*F117)/(234+F117)),#N/A)))</f>
        <v>63.176661908168398</v>
      </c>
      <c r="G119" s="74">
        <f t="shared" si="120"/>
        <v>63.176661908168398</v>
      </c>
      <c r="H119" s="74">
        <f t="shared" si="120"/>
        <v>63.176661908168398</v>
      </c>
      <c r="I119" s="74">
        <f t="shared" si="120"/>
        <v>2338.0829353370973</v>
      </c>
      <c r="J119" s="74">
        <f t="shared" si="120"/>
        <v>608.82962187913188</v>
      </c>
      <c r="K119" s="74">
        <f t="shared" si="120"/>
        <v>827.38706687411548</v>
      </c>
      <c r="L119" s="74">
        <f t="shared" si="120"/>
        <v>608.82962187913188</v>
      </c>
      <c r="M119" s="70">
        <f t="shared" si="120"/>
        <v>1071.1051886578423</v>
      </c>
      <c r="N119" s="70">
        <f t="shared" si="120"/>
        <v>1071.1051886578423</v>
      </c>
      <c r="O119" s="70">
        <f t="shared" si="120"/>
        <v>1071.1051886578423</v>
      </c>
      <c r="P119" s="70">
        <f t="shared" si="120"/>
        <v>1071.1051886578423</v>
      </c>
      <c r="Q119" s="70">
        <f t="shared" si="120"/>
        <v>608.82962187913188</v>
      </c>
      <c r="R119" s="70">
        <f t="shared" si="120"/>
        <v>608.82962187913188</v>
      </c>
      <c r="S119" s="70">
        <f t="shared" si="120"/>
        <v>608.82962187913188</v>
      </c>
      <c r="T119" s="70">
        <f t="shared" si="120"/>
        <v>608.82962187913188</v>
      </c>
      <c r="U119" s="70">
        <f t="shared" si="120"/>
        <v>608.82962187913188</v>
      </c>
      <c r="V119" s="70">
        <f t="shared" si="120"/>
        <v>608.82962187913188</v>
      </c>
      <c r="W119" s="70">
        <f t="shared" si="120"/>
        <v>608.82962187913188</v>
      </c>
      <c r="X119" s="70">
        <f t="shared" si="120"/>
        <v>608.82962187913188</v>
      </c>
      <c r="Z119" s="61"/>
      <c r="AA119" s="61"/>
      <c r="AB119" s="61"/>
    </row>
    <row r="120" spans="2:28" s="59" customFormat="1" ht="12" customHeight="1" x14ac:dyDescent="0.2">
      <c r="B120" s="76" t="s">
        <v>70</v>
      </c>
      <c r="C120" s="65" t="s">
        <v>33</v>
      </c>
      <c r="E120" s="74">
        <f>E117</f>
        <v>-25</v>
      </c>
      <c r="F120" s="74">
        <f t="shared" ref="F120:X120" si="121">F117</f>
        <v>-25</v>
      </c>
      <c r="G120" s="74">
        <f t="shared" si="121"/>
        <v>-25</v>
      </c>
      <c r="H120" s="74">
        <f t="shared" si="121"/>
        <v>-25</v>
      </c>
      <c r="I120" s="74">
        <f t="shared" si="121"/>
        <v>20</v>
      </c>
      <c r="J120" s="74">
        <f t="shared" si="121"/>
        <v>0</v>
      </c>
      <c r="K120" s="74">
        <f t="shared" si="121"/>
        <v>4.277020603210544</v>
      </c>
      <c r="L120" s="74">
        <f t="shared" si="121"/>
        <v>0</v>
      </c>
      <c r="M120" s="70">
        <f t="shared" si="121"/>
        <v>8</v>
      </c>
      <c r="N120" s="70">
        <f t="shared" si="121"/>
        <v>8</v>
      </c>
      <c r="O120" s="70">
        <f t="shared" si="121"/>
        <v>8</v>
      </c>
      <c r="P120" s="70">
        <f t="shared" si="121"/>
        <v>8</v>
      </c>
      <c r="Q120" s="70">
        <f t="shared" si="121"/>
        <v>0</v>
      </c>
      <c r="R120" s="70">
        <f t="shared" si="121"/>
        <v>0</v>
      </c>
      <c r="S120" s="70">
        <f t="shared" si="121"/>
        <v>0</v>
      </c>
      <c r="T120" s="70">
        <f t="shared" si="121"/>
        <v>0</v>
      </c>
      <c r="U120" s="70">
        <f t="shared" si="121"/>
        <v>0</v>
      </c>
      <c r="V120" s="70">
        <f t="shared" si="121"/>
        <v>0</v>
      </c>
      <c r="W120" s="70">
        <f t="shared" si="121"/>
        <v>0</v>
      </c>
      <c r="X120" s="70">
        <f t="shared" si="121"/>
        <v>0</v>
      </c>
      <c r="Z120" s="61"/>
      <c r="AA120" s="61"/>
      <c r="AB120" s="61"/>
    </row>
    <row r="121" spans="2:28" s="59" customFormat="1" ht="12" customHeight="1" x14ac:dyDescent="0.2">
      <c r="C121" s="65" t="s">
        <v>34</v>
      </c>
      <c r="E121" s="59">
        <f>0.6222*E118*E119/(Tlak_vzduchu-E118*E119/1000)</f>
        <v>8.3203757830561539E-2</v>
      </c>
      <c r="F121" s="59">
        <f t="shared" ref="F121:N121" si="122">0.6222*F118*F119/(Tlak_vzduchu-F118*F119/1000)</f>
        <v>8.3203757830561539E-2</v>
      </c>
      <c r="G121" s="59">
        <f t="shared" si="122"/>
        <v>8.3203757830561539E-2</v>
      </c>
      <c r="H121" s="59">
        <f t="shared" si="122"/>
        <v>8.3203757830561539E-2</v>
      </c>
      <c r="I121" s="59">
        <f t="shared" si="122"/>
        <v>9.3757233081908904</v>
      </c>
      <c r="J121" s="59">
        <f t="shared" si="122"/>
        <v>0</v>
      </c>
      <c r="K121" s="59">
        <f t="shared" si="122"/>
        <v>5.4480985171597482E-2</v>
      </c>
      <c r="L121" s="59">
        <f t="shared" si="122"/>
        <v>0</v>
      </c>
      <c r="M121" s="59">
        <f t="shared" si="122"/>
        <v>5.4476262829484417E-4</v>
      </c>
      <c r="N121" s="59">
        <f t="shared" si="122"/>
        <v>5.4476215610197468E-6</v>
      </c>
      <c r="O121" s="59">
        <f t="shared" ref="O121:X121" si="123">0.6222*O118*O119/(Tlak_vzduchu-O118*O119/1000)</f>
        <v>5.4476215138005003E-8</v>
      </c>
      <c r="P121" s="59">
        <f t="shared" si="123"/>
        <v>5.447621513328308E-10</v>
      </c>
      <c r="Q121" s="59">
        <f t="shared" si="123"/>
        <v>0</v>
      </c>
      <c r="R121" s="59">
        <f t="shared" si="123"/>
        <v>0</v>
      </c>
      <c r="S121" s="59">
        <f t="shared" si="123"/>
        <v>0</v>
      </c>
      <c r="T121" s="59">
        <f t="shared" si="123"/>
        <v>0</v>
      </c>
      <c r="U121" s="59">
        <f t="shared" si="123"/>
        <v>0</v>
      </c>
      <c r="V121" s="59">
        <f t="shared" si="123"/>
        <v>0</v>
      </c>
      <c r="W121" s="59">
        <f t="shared" si="123"/>
        <v>0</v>
      </c>
      <c r="X121" s="59">
        <f t="shared" si="123"/>
        <v>0</v>
      </c>
      <c r="Z121" s="61"/>
      <c r="AA121" s="61"/>
      <c r="AB121" s="61"/>
    </row>
    <row r="122" spans="2:28" s="59" customFormat="1" x14ac:dyDescent="0.2">
      <c r="C122" s="65"/>
      <c r="Z122" s="61"/>
      <c r="AA122" s="61"/>
      <c r="AB122" s="61"/>
    </row>
    <row r="123" spans="2:28" s="59" customFormat="1" x14ac:dyDescent="0.2">
      <c r="B123" s="73" t="s">
        <v>111</v>
      </c>
      <c r="C123" s="65" t="s">
        <v>3</v>
      </c>
      <c r="E123" s="59">
        <f>IF(AND(E$94&lt;&gt;"",E$95&lt;&gt;""),E$95,0)</f>
        <v>0</v>
      </c>
      <c r="F123" s="59">
        <f t="shared" ref="F123:X123" si="124">IF(AND(F$94&lt;&gt;"",F$95&lt;&gt;""),F$95,0)</f>
        <v>0</v>
      </c>
      <c r="G123" s="59">
        <f t="shared" si="124"/>
        <v>0</v>
      </c>
      <c r="H123" s="59">
        <f t="shared" si="124"/>
        <v>0</v>
      </c>
      <c r="I123" s="59">
        <f t="shared" si="124"/>
        <v>0</v>
      </c>
      <c r="J123" s="59">
        <f t="shared" si="124"/>
        <v>18.106246921879489</v>
      </c>
      <c r="K123" s="59">
        <f t="shared" si="124"/>
        <v>0</v>
      </c>
      <c r="L123" s="59">
        <f t="shared" si="124"/>
        <v>0</v>
      </c>
      <c r="M123" s="59">
        <f t="shared" si="124"/>
        <v>0</v>
      </c>
      <c r="N123" s="59">
        <f t="shared" si="124"/>
        <v>0</v>
      </c>
      <c r="O123" s="59">
        <f t="shared" si="124"/>
        <v>0</v>
      </c>
      <c r="P123" s="59">
        <f t="shared" si="124"/>
        <v>0</v>
      </c>
      <c r="Q123" s="59">
        <f t="shared" si="124"/>
        <v>0</v>
      </c>
      <c r="R123" s="59">
        <f t="shared" si="124"/>
        <v>0</v>
      </c>
      <c r="S123" s="59">
        <f t="shared" si="124"/>
        <v>0</v>
      </c>
      <c r="T123" s="59">
        <f t="shared" si="124"/>
        <v>0</v>
      </c>
      <c r="U123" s="59">
        <f t="shared" si="124"/>
        <v>0</v>
      </c>
      <c r="V123" s="59">
        <f t="shared" si="124"/>
        <v>0</v>
      </c>
      <c r="W123" s="59">
        <f t="shared" si="124"/>
        <v>0</v>
      </c>
      <c r="X123" s="59">
        <f t="shared" si="124"/>
        <v>0</v>
      </c>
      <c r="Z123" s="61"/>
      <c r="AA123" s="61"/>
      <c r="AB123" s="61"/>
    </row>
    <row r="124" spans="2:28" s="59" customFormat="1" x14ac:dyDescent="0.2">
      <c r="C124" s="65" t="s">
        <v>2</v>
      </c>
      <c r="E124" s="59">
        <f>IF(AND(E$94&lt;&gt;"",E$95&lt;&gt;""),E$94,0)</f>
        <v>0</v>
      </c>
      <c r="F124" s="59">
        <f t="shared" ref="F124:X124" si="125">IF(AND(F$94&lt;&gt;"",F$95&lt;&gt;""),F$94,0)</f>
        <v>0</v>
      </c>
      <c r="G124" s="59">
        <f t="shared" si="125"/>
        <v>0</v>
      </c>
      <c r="H124" s="59">
        <f t="shared" si="125"/>
        <v>0</v>
      </c>
      <c r="I124" s="59">
        <f t="shared" si="125"/>
        <v>0</v>
      </c>
      <c r="J124" s="59">
        <f t="shared" si="125"/>
        <v>5.8910284768057668</v>
      </c>
      <c r="K124" s="59">
        <f t="shared" si="125"/>
        <v>0</v>
      </c>
      <c r="L124" s="59">
        <f t="shared" si="125"/>
        <v>0</v>
      </c>
      <c r="M124" s="59">
        <f t="shared" si="125"/>
        <v>0</v>
      </c>
      <c r="N124" s="59">
        <f t="shared" si="125"/>
        <v>0</v>
      </c>
      <c r="O124" s="59">
        <f t="shared" si="125"/>
        <v>0</v>
      </c>
      <c r="P124" s="59">
        <f t="shared" si="125"/>
        <v>0</v>
      </c>
      <c r="Q124" s="59">
        <f t="shared" si="125"/>
        <v>0</v>
      </c>
      <c r="R124" s="59">
        <f t="shared" si="125"/>
        <v>0</v>
      </c>
      <c r="S124" s="59">
        <f t="shared" si="125"/>
        <v>0</v>
      </c>
      <c r="T124" s="59">
        <f t="shared" si="125"/>
        <v>0</v>
      </c>
      <c r="U124" s="59">
        <f t="shared" si="125"/>
        <v>0</v>
      </c>
      <c r="V124" s="59">
        <f t="shared" si="125"/>
        <v>0</v>
      </c>
      <c r="W124" s="59">
        <f t="shared" si="125"/>
        <v>0</v>
      </c>
      <c r="X124" s="59">
        <f t="shared" si="125"/>
        <v>0</v>
      </c>
      <c r="Z124" s="61"/>
      <c r="AA124" s="61"/>
      <c r="AB124" s="61"/>
    </row>
    <row r="125" spans="2:28" s="59" customFormat="1" x14ac:dyDescent="0.2">
      <c r="C125" s="65" t="s">
        <v>40</v>
      </c>
      <c r="E125" s="59">
        <f>(E123-2501*E124/1000)/(1.01+1.86*E124/1000)</f>
        <v>0</v>
      </c>
      <c r="F125" s="59">
        <f t="shared" ref="F125:X125" si="126">(F123-2501*F124/1000)/(1.01+1.86*F124/1000)</f>
        <v>0</v>
      </c>
      <c r="G125" s="59">
        <f t="shared" si="126"/>
        <v>0</v>
      </c>
      <c r="H125" s="59">
        <f t="shared" si="126"/>
        <v>0</v>
      </c>
      <c r="I125" s="59">
        <f t="shared" si="126"/>
        <v>0</v>
      </c>
      <c r="J125" s="59">
        <f t="shared" si="126"/>
        <v>3.3035511461170657</v>
      </c>
      <c r="K125" s="59">
        <f t="shared" si="126"/>
        <v>0</v>
      </c>
      <c r="L125" s="59">
        <f t="shared" si="126"/>
        <v>0</v>
      </c>
      <c r="M125" s="59">
        <f t="shared" si="126"/>
        <v>0</v>
      </c>
      <c r="N125" s="59">
        <f t="shared" si="126"/>
        <v>0</v>
      </c>
      <c r="O125" s="59">
        <f t="shared" si="126"/>
        <v>0</v>
      </c>
      <c r="P125" s="59">
        <f t="shared" si="126"/>
        <v>0</v>
      </c>
      <c r="Q125" s="59">
        <f t="shared" si="126"/>
        <v>0</v>
      </c>
      <c r="R125" s="59">
        <f t="shared" si="126"/>
        <v>0</v>
      </c>
      <c r="S125" s="59">
        <f t="shared" si="126"/>
        <v>0</v>
      </c>
      <c r="T125" s="59">
        <f t="shared" si="126"/>
        <v>0</v>
      </c>
      <c r="U125" s="59">
        <f t="shared" si="126"/>
        <v>0</v>
      </c>
      <c r="V125" s="59">
        <f t="shared" si="126"/>
        <v>0</v>
      </c>
      <c r="W125" s="59">
        <f t="shared" si="126"/>
        <v>0</v>
      </c>
      <c r="X125" s="59">
        <f t="shared" si="126"/>
        <v>0</v>
      </c>
      <c r="Z125" s="61"/>
      <c r="AA125" s="61"/>
      <c r="AB125" s="61"/>
    </row>
    <row r="126" spans="2:28" s="59" customFormat="1" x14ac:dyDescent="0.2">
      <c r="C126" s="72" t="s">
        <v>41</v>
      </c>
      <c r="E126" s="59">
        <v>-5.7813300875029912</v>
      </c>
      <c r="F126" s="59">
        <v>-5.7816951496861826</v>
      </c>
      <c r="G126" s="59">
        <v>-5.7812250242057521</v>
      </c>
      <c r="H126" s="59">
        <v>-5.7813328973617555</v>
      </c>
      <c r="I126" s="59">
        <v>-6.0023688391712238</v>
      </c>
      <c r="J126" s="59">
        <v>4.277020603210544</v>
      </c>
      <c r="K126" s="59">
        <v>-6.0023222237988856</v>
      </c>
      <c r="L126" s="59">
        <v>-5.7817005781944255</v>
      </c>
      <c r="M126" s="59">
        <v>-5.7813297151605854</v>
      </c>
      <c r="N126" s="59">
        <v>-5.7813300875029912</v>
      </c>
      <c r="O126" s="59">
        <v>-5.7813300875029912</v>
      </c>
      <c r="P126" s="59">
        <v>-5.7813300875029912</v>
      </c>
      <c r="Q126" s="59">
        <v>-5.7813300875029912</v>
      </c>
      <c r="R126" s="59">
        <v>-5.7813300875029912</v>
      </c>
      <c r="S126" s="59">
        <v>-5.7813300875029912</v>
      </c>
      <c r="T126" s="59">
        <v>-5.7813300875029912</v>
      </c>
      <c r="U126" s="59">
        <v>-5.7813300875029912</v>
      </c>
      <c r="V126" s="59">
        <v>-5.7813300875029912</v>
      </c>
      <c r="W126" s="59">
        <v>-5.7813300875029912</v>
      </c>
      <c r="X126" s="59">
        <v>-5.7813300875029912</v>
      </c>
      <c r="Z126" s="61"/>
      <c r="AA126" s="61"/>
      <c r="AB126" s="61"/>
    </row>
    <row r="127" spans="2:28" s="59" customFormat="1" x14ac:dyDescent="0.2">
      <c r="C127" s="72" t="s">
        <v>31</v>
      </c>
      <c r="E127" s="74">
        <f>IF(E126&lt;-50,#N/A,IF(E126&lt;0,EXP((1738.4+28.74*E126)/(271+E126)),IF(E126&lt;=100,EXP((1500.3+23.5*E126)/(234+E126)),#N/A)))</f>
        <v>375.44301312156364</v>
      </c>
      <c r="F127" s="74">
        <f t="shared" ref="F127:X127" si="127">IF(F126&lt;-50,#N/A,IF(F126&lt;0,EXP((1738.4+28.74*F126)/(271+F126)),IF(F126&lt;=100,EXP((1500.3+23.5*F126)/(234+F126)),#N/A)))</f>
        <v>375.43122453079735</v>
      </c>
      <c r="G127" s="74">
        <f t="shared" si="127"/>
        <v>375.44640588892963</v>
      </c>
      <c r="H127" s="74">
        <f t="shared" si="127"/>
        <v>375.44292238429398</v>
      </c>
      <c r="I127" s="74">
        <f t="shared" si="127"/>
        <v>368.36670865255269</v>
      </c>
      <c r="J127" s="74">
        <f t="shared" si="127"/>
        <v>827.38706687411548</v>
      </c>
      <c r="K127" s="74">
        <f t="shared" si="127"/>
        <v>368.36818807351386</v>
      </c>
      <c r="L127" s="74">
        <f t="shared" si="127"/>
        <v>375.43104923591659</v>
      </c>
      <c r="M127" s="70">
        <f t="shared" si="127"/>
        <v>375.44302514542028</v>
      </c>
      <c r="N127" s="70">
        <f t="shared" si="127"/>
        <v>375.44301312156364</v>
      </c>
      <c r="O127" s="70">
        <f t="shared" si="127"/>
        <v>375.44301312156364</v>
      </c>
      <c r="P127" s="70">
        <f t="shared" si="127"/>
        <v>375.44301312156364</v>
      </c>
      <c r="Q127" s="70">
        <f t="shared" si="127"/>
        <v>375.44301312156364</v>
      </c>
      <c r="R127" s="70">
        <f t="shared" si="127"/>
        <v>375.44301312156364</v>
      </c>
      <c r="S127" s="70">
        <f t="shared" si="127"/>
        <v>375.44301312156364</v>
      </c>
      <c r="T127" s="70">
        <f t="shared" si="127"/>
        <v>375.44301312156364</v>
      </c>
      <c r="U127" s="70">
        <f t="shared" si="127"/>
        <v>375.44301312156364</v>
      </c>
      <c r="V127" s="70">
        <f t="shared" si="127"/>
        <v>375.44301312156364</v>
      </c>
      <c r="W127" s="70">
        <f t="shared" si="127"/>
        <v>375.44301312156364</v>
      </c>
      <c r="X127" s="70">
        <f t="shared" si="127"/>
        <v>375.44301312156364</v>
      </c>
      <c r="Z127" s="61"/>
      <c r="AA127" s="61"/>
      <c r="AB127" s="61"/>
    </row>
    <row r="128" spans="2:28" s="59" customFormat="1" x14ac:dyDescent="0.2">
      <c r="C128" s="72" t="s">
        <v>37</v>
      </c>
      <c r="E128" s="59">
        <f>0.6222*MaxVlhkost*E127/(Tlak_vzduchu-MaxVlhkost*E127/1000)</f>
        <v>2.4818246188059332</v>
      </c>
      <c r="F128" s="59">
        <f t="shared" ref="F128:N128" si="128">0.6222*MaxVlhkost*F127/(Tlak_vzduchu-MaxVlhkost*F127/1000)</f>
        <v>2.48174638080192</v>
      </c>
      <c r="G128" s="59">
        <f t="shared" si="128"/>
        <v>2.4818471357797485</v>
      </c>
      <c r="H128" s="59">
        <f t="shared" si="128"/>
        <v>2.4818240166047123</v>
      </c>
      <c r="I128" s="59">
        <f t="shared" si="128"/>
        <v>2.4348644351493056</v>
      </c>
      <c r="J128" s="59">
        <f t="shared" si="128"/>
        <v>5.4957390094007232</v>
      </c>
      <c r="K128" s="59">
        <f t="shared" si="128"/>
        <v>2.434874252230915</v>
      </c>
      <c r="L128" s="59">
        <f t="shared" si="128"/>
        <v>2.481745217412664</v>
      </c>
      <c r="M128" s="59">
        <f t="shared" si="128"/>
        <v>2.4818246986053492</v>
      </c>
      <c r="N128" s="59">
        <f t="shared" si="128"/>
        <v>2.4818246188059332</v>
      </c>
      <c r="O128" s="59">
        <f t="shared" ref="O128:X128" si="129">0.6222*MaxVlhkost*O127/(Tlak_vzduchu-MaxVlhkost*O127/1000)</f>
        <v>2.4818246188059332</v>
      </c>
      <c r="P128" s="59">
        <f t="shared" si="129"/>
        <v>2.4818246188059332</v>
      </c>
      <c r="Q128" s="59">
        <f t="shared" si="129"/>
        <v>2.4818246188059332</v>
      </c>
      <c r="R128" s="59">
        <f t="shared" si="129"/>
        <v>2.4818246188059332</v>
      </c>
      <c r="S128" s="59">
        <f t="shared" si="129"/>
        <v>2.4818246188059332</v>
      </c>
      <c r="T128" s="59">
        <f t="shared" si="129"/>
        <v>2.4818246188059332</v>
      </c>
      <c r="U128" s="59">
        <f t="shared" si="129"/>
        <v>2.4818246188059332</v>
      </c>
      <c r="V128" s="59">
        <f t="shared" si="129"/>
        <v>2.4818246188059332</v>
      </c>
      <c r="W128" s="59">
        <f t="shared" si="129"/>
        <v>2.4818246188059332</v>
      </c>
      <c r="X128" s="59">
        <f t="shared" si="129"/>
        <v>2.4818246188059332</v>
      </c>
      <c r="Z128" s="61"/>
      <c r="AA128" s="61"/>
      <c r="AB128" s="61"/>
    </row>
    <row r="129" spans="2:28" s="59" customFormat="1" x14ac:dyDescent="0.2">
      <c r="C129" s="72" t="s">
        <v>38</v>
      </c>
      <c r="E129" s="59">
        <f>(E123-1.01*E126)/(2501+1.86*E126)*1000</f>
        <v>2.3448051662213847</v>
      </c>
      <c r="F129" s="59">
        <f t="shared" ref="F129:X129" si="130">(F123-1.01*F126)/(2501+1.86*F126)*1000</f>
        <v>2.3449538683807138</v>
      </c>
      <c r="G129" s="59">
        <f t="shared" si="130"/>
        <v>2.3447623704063183</v>
      </c>
      <c r="H129" s="59">
        <f t="shared" si="130"/>
        <v>2.3448063107714696</v>
      </c>
      <c r="I129" s="59">
        <f t="shared" si="130"/>
        <v>2.4348565593132174</v>
      </c>
      <c r="J129" s="59">
        <f t="shared" si="130"/>
        <v>5.4948991485234524</v>
      </c>
      <c r="K129" s="59">
        <f t="shared" si="130"/>
        <v>2.4348375650319185</v>
      </c>
      <c r="L129" s="59">
        <f t="shared" si="130"/>
        <v>2.3449560795961135</v>
      </c>
      <c r="M129" s="59">
        <f t="shared" si="130"/>
        <v>2.3448050145537866</v>
      </c>
      <c r="N129" s="59">
        <f t="shared" si="130"/>
        <v>2.3448051662213847</v>
      </c>
      <c r="O129" s="59">
        <f t="shared" si="130"/>
        <v>2.3448051662213847</v>
      </c>
      <c r="P129" s="59">
        <f t="shared" si="130"/>
        <v>2.3448051662213847</v>
      </c>
      <c r="Q129" s="59">
        <f t="shared" si="130"/>
        <v>2.3448051662213847</v>
      </c>
      <c r="R129" s="59">
        <f t="shared" si="130"/>
        <v>2.3448051662213847</v>
      </c>
      <c r="S129" s="59">
        <f t="shared" si="130"/>
        <v>2.3448051662213847</v>
      </c>
      <c r="T129" s="59">
        <f t="shared" si="130"/>
        <v>2.3448051662213847</v>
      </c>
      <c r="U129" s="59">
        <f t="shared" si="130"/>
        <v>2.3448051662213847</v>
      </c>
      <c r="V129" s="59">
        <f t="shared" si="130"/>
        <v>2.3448051662213847</v>
      </c>
      <c r="W129" s="59">
        <f t="shared" si="130"/>
        <v>2.3448051662213847</v>
      </c>
      <c r="X129" s="59">
        <f t="shared" si="130"/>
        <v>2.3448051662213847</v>
      </c>
      <c r="Z129" s="61"/>
      <c r="AA129" s="61"/>
      <c r="AB129" s="61"/>
    </row>
    <row r="130" spans="2:28" s="59" customFormat="1" x14ac:dyDescent="0.2">
      <c r="C130" s="73" t="s">
        <v>39</v>
      </c>
      <c r="E130" s="59">
        <f>E128-E129</f>
        <v>0.13701945258454851</v>
      </c>
      <c r="F130" s="59">
        <f t="shared" ref="F130:X130" si="131">F128-F129</f>
        <v>0.13679251242120616</v>
      </c>
      <c r="G130" s="59">
        <f t="shared" si="131"/>
        <v>0.13708476537343017</v>
      </c>
      <c r="H130" s="59">
        <f t="shared" si="131"/>
        <v>0.13701770583324269</v>
      </c>
      <c r="I130" s="59">
        <f t="shared" si="131"/>
        <v>7.8758360881892031E-6</v>
      </c>
      <c r="J130" s="59">
        <f t="shared" si="131"/>
        <v>8.3986087727083714E-4</v>
      </c>
      <c r="K130" s="59">
        <f t="shared" si="131"/>
        <v>3.6687198996521175E-5</v>
      </c>
      <c r="L130" s="59">
        <f t="shared" si="131"/>
        <v>0.13678913781655044</v>
      </c>
      <c r="M130" s="59">
        <f t="shared" si="131"/>
        <v>0.13701968405156251</v>
      </c>
      <c r="N130" s="59">
        <f t="shared" si="131"/>
        <v>0.13701945258454851</v>
      </c>
      <c r="O130" s="59">
        <f t="shared" si="131"/>
        <v>0.13701945258454851</v>
      </c>
      <c r="P130" s="59">
        <f t="shared" si="131"/>
        <v>0.13701945258454851</v>
      </c>
      <c r="Q130" s="59">
        <f t="shared" si="131"/>
        <v>0.13701945258454851</v>
      </c>
      <c r="R130" s="59">
        <f t="shared" si="131"/>
        <v>0.13701945258454851</v>
      </c>
      <c r="S130" s="59">
        <f t="shared" si="131"/>
        <v>0.13701945258454851</v>
      </c>
      <c r="T130" s="59">
        <f t="shared" si="131"/>
        <v>0.13701945258454851</v>
      </c>
      <c r="U130" s="59">
        <f t="shared" si="131"/>
        <v>0.13701945258454851</v>
      </c>
      <c r="V130" s="59">
        <f t="shared" si="131"/>
        <v>0.13701945258454851</v>
      </c>
      <c r="W130" s="59">
        <f t="shared" si="131"/>
        <v>0.13701945258454851</v>
      </c>
      <c r="X130" s="59">
        <f t="shared" si="131"/>
        <v>0.13701945258454851</v>
      </c>
      <c r="Z130" s="61"/>
      <c r="AA130" s="61"/>
      <c r="AB130" s="61"/>
    </row>
    <row r="131" spans="2:28" s="59" customFormat="1" x14ac:dyDescent="0.2">
      <c r="B131" s="76" t="s">
        <v>70</v>
      </c>
      <c r="C131" s="65" t="s">
        <v>33</v>
      </c>
      <c r="E131" s="59">
        <f>IF(AND(E123=0,E124=0),0,IF(E125&gt;E126,E125,E126))</f>
        <v>0</v>
      </c>
      <c r="F131" s="59">
        <f t="shared" ref="F131:X131" si="132">IF(AND(F123=0,F124=0),0,IF(F125&gt;F126,F125,F126))</f>
        <v>0</v>
      </c>
      <c r="G131" s="59">
        <f t="shared" si="132"/>
        <v>0</v>
      </c>
      <c r="H131" s="59">
        <f t="shared" si="132"/>
        <v>0</v>
      </c>
      <c r="I131" s="59">
        <f t="shared" si="132"/>
        <v>0</v>
      </c>
      <c r="J131" s="59">
        <f t="shared" si="132"/>
        <v>4.277020603210544</v>
      </c>
      <c r="K131" s="59">
        <f t="shared" si="132"/>
        <v>0</v>
      </c>
      <c r="L131" s="59">
        <f t="shared" si="132"/>
        <v>0</v>
      </c>
      <c r="M131" s="59">
        <f t="shared" si="132"/>
        <v>0</v>
      </c>
      <c r="N131" s="59">
        <f t="shared" si="132"/>
        <v>0</v>
      </c>
      <c r="O131" s="59">
        <f t="shared" si="132"/>
        <v>0</v>
      </c>
      <c r="P131" s="59">
        <f t="shared" si="132"/>
        <v>0</v>
      </c>
      <c r="Q131" s="59">
        <f t="shared" si="132"/>
        <v>0</v>
      </c>
      <c r="R131" s="59">
        <f t="shared" si="132"/>
        <v>0</v>
      </c>
      <c r="S131" s="59">
        <f t="shared" si="132"/>
        <v>0</v>
      </c>
      <c r="T131" s="59">
        <f t="shared" si="132"/>
        <v>0</v>
      </c>
      <c r="U131" s="59">
        <f t="shared" si="132"/>
        <v>0</v>
      </c>
      <c r="V131" s="59">
        <f t="shared" si="132"/>
        <v>0</v>
      </c>
      <c r="W131" s="59">
        <f t="shared" si="132"/>
        <v>0</v>
      </c>
      <c r="X131" s="59">
        <f t="shared" si="132"/>
        <v>0</v>
      </c>
      <c r="Z131" s="61"/>
      <c r="AA131" s="61"/>
      <c r="AB131" s="61"/>
    </row>
    <row r="132" spans="2:28" s="59" customFormat="1" x14ac:dyDescent="0.2">
      <c r="C132" s="65" t="s">
        <v>34</v>
      </c>
      <c r="E132" s="59">
        <f>IF(AND(E123=0,E124=0),0,IF(E125&gt;E126,E124,E128))</f>
        <v>0</v>
      </c>
      <c r="F132" s="59">
        <f t="shared" ref="F132:X132" si="133">IF(AND(F123=0,F124=0),0,IF(F125&gt;F126,F124,F128))</f>
        <v>0</v>
      </c>
      <c r="G132" s="59">
        <f t="shared" si="133"/>
        <v>0</v>
      </c>
      <c r="H132" s="59">
        <f t="shared" si="133"/>
        <v>0</v>
      </c>
      <c r="I132" s="59">
        <f t="shared" si="133"/>
        <v>0</v>
      </c>
      <c r="J132" s="59">
        <f t="shared" si="133"/>
        <v>5.4957390094007232</v>
      </c>
      <c r="K132" s="59">
        <f t="shared" si="133"/>
        <v>0</v>
      </c>
      <c r="L132" s="59">
        <f t="shared" si="133"/>
        <v>0</v>
      </c>
      <c r="M132" s="59">
        <f t="shared" si="133"/>
        <v>0</v>
      </c>
      <c r="N132" s="59">
        <f t="shared" si="133"/>
        <v>0</v>
      </c>
      <c r="O132" s="59">
        <f t="shared" si="133"/>
        <v>0</v>
      </c>
      <c r="P132" s="59">
        <f t="shared" si="133"/>
        <v>0</v>
      </c>
      <c r="Q132" s="59">
        <f t="shared" si="133"/>
        <v>0</v>
      </c>
      <c r="R132" s="59">
        <f t="shared" si="133"/>
        <v>0</v>
      </c>
      <c r="S132" s="59">
        <f t="shared" si="133"/>
        <v>0</v>
      </c>
      <c r="T132" s="59">
        <f t="shared" si="133"/>
        <v>0</v>
      </c>
      <c r="U132" s="59">
        <f t="shared" si="133"/>
        <v>0</v>
      </c>
      <c r="V132" s="59">
        <f t="shared" si="133"/>
        <v>0</v>
      </c>
      <c r="W132" s="59">
        <f t="shared" si="133"/>
        <v>0</v>
      </c>
      <c r="X132" s="59">
        <f t="shared" si="133"/>
        <v>0</v>
      </c>
      <c r="Z132" s="61"/>
      <c r="AA132" s="61"/>
      <c r="AB132" s="61"/>
    </row>
    <row r="133" spans="2:28" s="59" customFormat="1" x14ac:dyDescent="0.2">
      <c r="C133" s="65"/>
      <c r="Z133" s="61"/>
      <c r="AA133" s="61"/>
      <c r="AB133" s="61"/>
    </row>
    <row r="134" spans="2:28" s="59" customFormat="1" x14ac:dyDescent="0.2">
      <c r="B134" s="73" t="s">
        <v>112</v>
      </c>
      <c r="C134" s="65" t="s">
        <v>32</v>
      </c>
      <c r="D134" s="59" t="s">
        <v>36</v>
      </c>
      <c r="E134" s="59">
        <f>IF(AND(E$93&lt;&gt;"",E$94&lt;&gt;""),MIN(E$93,MaxVlhkost),0)</f>
        <v>0</v>
      </c>
      <c r="F134" s="59">
        <f t="shared" ref="F134:X134" si="134">IF(AND(F$93&lt;&gt;"",F$94&lt;&gt;""),MIN(F$93,MaxVlhkost),0)</f>
        <v>0</v>
      </c>
      <c r="G134" s="59">
        <f t="shared" si="134"/>
        <v>0</v>
      </c>
      <c r="H134" s="59">
        <f t="shared" si="134"/>
        <v>0</v>
      </c>
      <c r="I134" s="59">
        <f t="shared" si="134"/>
        <v>0</v>
      </c>
      <c r="J134" s="59">
        <f t="shared" si="134"/>
        <v>0</v>
      </c>
      <c r="K134" s="59">
        <f t="shared" si="134"/>
        <v>0</v>
      </c>
      <c r="L134" s="59">
        <f t="shared" si="134"/>
        <v>0</v>
      </c>
      <c r="M134" s="59">
        <f t="shared" si="134"/>
        <v>0</v>
      </c>
      <c r="N134" s="59">
        <f t="shared" si="134"/>
        <v>0</v>
      </c>
      <c r="O134" s="59">
        <f t="shared" si="134"/>
        <v>0</v>
      </c>
      <c r="P134" s="59">
        <f t="shared" si="134"/>
        <v>0</v>
      </c>
      <c r="Q134" s="59">
        <f t="shared" si="134"/>
        <v>0</v>
      </c>
      <c r="R134" s="59">
        <f t="shared" si="134"/>
        <v>0</v>
      </c>
      <c r="S134" s="59">
        <f t="shared" si="134"/>
        <v>0</v>
      </c>
      <c r="T134" s="59">
        <f t="shared" si="134"/>
        <v>0</v>
      </c>
      <c r="U134" s="59">
        <f t="shared" si="134"/>
        <v>0</v>
      </c>
      <c r="V134" s="59">
        <f t="shared" si="134"/>
        <v>0</v>
      </c>
      <c r="W134" s="59">
        <f t="shared" si="134"/>
        <v>0</v>
      </c>
      <c r="X134" s="59">
        <f t="shared" si="134"/>
        <v>0</v>
      </c>
      <c r="Z134" s="61"/>
      <c r="AA134" s="61"/>
      <c r="AB134" s="61"/>
    </row>
    <row r="135" spans="2:28" s="59" customFormat="1" x14ac:dyDescent="0.2">
      <c r="C135" s="65" t="s">
        <v>2</v>
      </c>
      <c r="D135" s="59" t="s">
        <v>35</v>
      </c>
      <c r="E135" s="59">
        <f>IF(AND(E$93&lt;&gt;"",E$94&lt;&gt;""),E$94,0)</f>
        <v>0</v>
      </c>
      <c r="F135" s="59">
        <f t="shared" ref="F135:X135" si="135">IF(AND(F$93&lt;&gt;"",F$94&lt;&gt;""),F$94,0)</f>
        <v>0</v>
      </c>
      <c r="G135" s="59">
        <f t="shared" si="135"/>
        <v>0</v>
      </c>
      <c r="H135" s="59">
        <f t="shared" si="135"/>
        <v>0</v>
      </c>
      <c r="I135" s="59">
        <f t="shared" si="135"/>
        <v>0</v>
      </c>
      <c r="J135" s="59">
        <f t="shared" si="135"/>
        <v>0</v>
      </c>
      <c r="K135" s="59">
        <f t="shared" si="135"/>
        <v>0</v>
      </c>
      <c r="L135" s="59">
        <f t="shared" si="135"/>
        <v>0</v>
      </c>
      <c r="M135" s="59">
        <f t="shared" si="135"/>
        <v>0</v>
      </c>
      <c r="N135" s="59">
        <f t="shared" si="135"/>
        <v>0</v>
      </c>
      <c r="O135" s="59">
        <f t="shared" si="135"/>
        <v>0</v>
      </c>
      <c r="P135" s="59">
        <f t="shared" si="135"/>
        <v>0</v>
      </c>
      <c r="Q135" s="59">
        <f t="shared" si="135"/>
        <v>0</v>
      </c>
      <c r="R135" s="59">
        <f t="shared" si="135"/>
        <v>0</v>
      </c>
      <c r="S135" s="59">
        <f t="shared" si="135"/>
        <v>0</v>
      </c>
      <c r="T135" s="59">
        <f t="shared" si="135"/>
        <v>0</v>
      </c>
      <c r="U135" s="59">
        <f t="shared" si="135"/>
        <v>0</v>
      </c>
      <c r="V135" s="59">
        <f t="shared" si="135"/>
        <v>0</v>
      </c>
      <c r="W135" s="59">
        <f t="shared" si="135"/>
        <v>0</v>
      </c>
      <c r="X135" s="59">
        <f t="shared" si="135"/>
        <v>0</v>
      </c>
      <c r="Z135" s="61"/>
      <c r="AA135" s="61"/>
      <c r="AB135" s="61"/>
    </row>
    <row r="136" spans="2:28" s="59" customFormat="1" x14ac:dyDescent="0.2">
      <c r="C136" s="65" t="s">
        <v>31</v>
      </c>
      <c r="D136" s="59" t="s">
        <v>10</v>
      </c>
      <c r="E136" s="59" t="e">
        <f>E135/1000*Tlak_vzduchu/E134/(0.6222+E135/1000)*1000</f>
        <v>#DIV/0!</v>
      </c>
      <c r="F136" s="59" t="e">
        <f t="shared" ref="F136:N136" si="136">F135/1000*Tlak_vzduchu/F134/(0.6222+F135/1000)*1000</f>
        <v>#DIV/0!</v>
      </c>
      <c r="G136" s="59" t="e">
        <f t="shared" si="136"/>
        <v>#DIV/0!</v>
      </c>
      <c r="H136" s="59" t="e">
        <f t="shared" si="136"/>
        <v>#DIV/0!</v>
      </c>
      <c r="I136" s="59" t="e">
        <f t="shared" si="136"/>
        <v>#DIV/0!</v>
      </c>
      <c r="J136" s="59" t="e">
        <f t="shared" si="136"/>
        <v>#DIV/0!</v>
      </c>
      <c r="K136" s="59" t="e">
        <f t="shared" si="136"/>
        <v>#DIV/0!</v>
      </c>
      <c r="L136" s="59" t="e">
        <f t="shared" si="136"/>
        <v>#DIV/0!</v>
      </c>
      <c r="M136" s="59" t="e">
        <f t="shared" si="136"/>
        <v>#DIV/0!</v>
      </c>
      <c r="N136" s="59" t="e">
        <f t="shared" si="136"/>
        <v>#DIV/0!</v>
      </c>
      <c r="O136" s="59" t="e">
        <f t="shared" ref="O136:X136" si="137">O135/1000*Tlak_vzduchu/O134/(0.6222+O135/1000)*1000</f>
        <v>#DIV/0!</v>
      </c>
      <c r="P136" s="59" t="e">
        <f t="shared" si="137"/>
        <v>#DIV/0!</v>
      </c>
      <c r="Q136" s="59" t="e">
        <f t="shared" si="137"/>
        <v>#DIV/0!</v>
      </c>
      <c r="R136" s="59" t="e">
        <f t="shared" si="137"/>
        <v>#DIV/0!</v>
      </c>
      <c r="S136" s="59" t="e">
        <f t="shared" si="137"/>
        <v>#DIV/0!</v>
      </c>
      <c r="T136" s="59" t="e">
        <f t="shared" si="137"/>
        <v>#DIV/0!</v>
      </c>
      <c r="U136" s="59" t="e">
        <f t="shared" si="137"/>
        <v>#DIV/0!</v>
      </c>
      <c r="V136" s="59" t="e">
        <f t="shared" si="137"/>
        <v>#DIV/0!</v>
      </c>
      <c r="W136" s="59" t="e">
        <f t="shared" si="137"/>
        <v>#DIV/0!</v>
      </c>
      <c r="X136" s="59" t="e">
        <f t="shared" si="137"/>
        <v>#DIV/0!</v>
      </c>
      <c r="Z136" s="61"/>
      <c r="AA136" s="61"/>
      <c r="AB136" s="61"/>
    </row>
    <row r="137" spans="2:28" s="59" customFormat="1" x14ac:dyDescent="0.2">
      <c r="C137" s="65" t="s">
        <v>0</v>
      </c>
      <c r="E137" s="59" t="e">
        <f>IF(E136&lt;641,(271*LN(E136)-1738.4)/(28.74-LN(E136)),(234*LN(E136)-1500.3)/(23.5-LN(E136)))</f>
        <v>#DIV/0!</v>
      </c>
      <c r="F137" s="59" t="e">
        <f t="shared" ref="F137:X137" si="138">IF(F136&lt;641,(271*LN(F136)-1738.4)/(28.74-LN(F136)),(234*LN(F136)-1500.3)/(23.5-LN(F136)))</f>
        <v>#DIV/0!</v>
      </c>
      <c r="G137" s="59" t="e">
        <f t="shared" si="138"/>
        <v>#DIV/0!</v>
      </c>
      <c r="H137" s="59" t="e">
        <f t="shared" si="138"/>
        <v>#DIV/0!</v>
      </c>
      <c r="I137" s="59" t="e">
        <f t="shared" si="138"/>
        <v>#DIV/0!</v>
      </c>
      <c r="J137" s="59" t="e">
        <f t="shared" si="138"/>
        <v>#DIV/0!</v>
      </c>
      <c r="K137" s="59" t="e">
        <f t="shared" si="138"/>
        <v>#DIV/0!</v>
      </c>
      <c r="L137" s="59" t="e">
        <f t="shared" si="138"/>
        <v>#DIV/0!</v>
      </c>
      <c r="M137" s="59" t="e">
        <f t="shared" si="138"/>
        <v>#DIV/0!</v>
      </c>
      <c r="N137" s="59" t="e">
        <f t="shared" si="138"/>
        <v>#DIV/0!</v>
      </c>
      <c r="O137" s="59" t="e">
        <f t="shared" si="138"/>
        <v>#DIV/0!</v>
      </c>
      <c r="P137" s="59" t="e">
        <f t="shared" si="138"/>
        <v>#DIV/0!</v>
      </c>
      <c r="Q137" s="59" t="e">
        <f t="shared" si="138"/>
        <v>#DIV/0!</v>
      </c>
      <c r="R137" s="59" t="e">
        <f t="shared" si="138"/>
        <v>#DIV/0!</v>
      </c>
      <c r="S137" s="59" t="e">
        <f t="shared" si="138"/>
        <v>#DIV/0!</v>
      </c>
      <c r="T137" s="59" t="e">
        <f t="shared" si="138"/>
        <v>#DIV/0!</v>
      </c>
      <c r="U137" s="59" t="e">
        <f t="shared" si="138"/>
        <v>#DIV/0!</v>
      </c>
      <c r="V137" s="59" t="e">
        <f t="shared" si="138"/>
        <v>#DIV/0!</v>
      </c>
      <c r="W137" s="59" t="e">
        <f t="shared" si="138"/>
        <v>#DIV/0!</v>
      </c>
      <c r="X137" s="59" t="e">
        <f t="shared" si="138"/>
        <v>#DIV/0!</v>
      </c>
      <c r="Z137" s="61"/>
      <c r="AA137" s="61"/>
      <c r="AB137" s="61"/>
    </row>
    <row r="138" spans="2:28" s="59" customFormat="1" x14ac:dyDescent="0.2">
      <c r="B138" s="76" t="s">
        <v>70</v>
      </c>
      <c r="C138" s="65" t="s">
        <v>33</v>
      </c>
      <c r="E138" s="59">
        <f>IF(E134=0,0,E137)</f>
        <v>0</v>
      </c>
      <c r="F138" s="59">
        <f t="shared" ref="F138:X138" si="139">IF(F134=0,0,F137)</f>
        <v>0</v>
      </c>
      <c r="G138" s="59">
        <f t="shared" si="139"/>
        <v>0</v>
      </c>
      <c r="H138" s="59">
        <f t="shared" si="139"/>
        <v>0</v>
      </c>
      <c r="I138" s="59">
        <f t="shared" si="139"/>
        <v>0</v>
      </c>
      <c r="J138" s="59">
        <f t="shared" si="139"/>
        <v>0</v>
      </c>
      <c r="K138" s="59">
        <f t="shared" si="139"/>
        <v>0</v>
      </c>
      <c r="L138" s="59">
        <f t="shared" si="139"/>
        <v>0</v>
      </c>
      <c r="M138" s="59">
        <f t="shared" si="139"/>
        <v>0</v>
      </c>
      <c r="N138" s="59">
        <f t="shared" si="139"/>
        <v>0</v>
      </c>
      <c r="O138" s="59">
        <f t="shared" si="139"/>
        <v>0</v>
      </c>
      <c r="P138" s="59">
        <f t="shared" si="139"/>
        <v>0</v>
      </c>
      <c r="Q138" s="59">
        <f t="shared" si="139"/>
        <v>0</v>
      </c>
      <c r="R138" s="59">
        <f t="shared" si="139"/>
        <v>0</v>
      </c>
      <c r="S138" s="59">
        <f t="shared" si="139"/>
        <v>0</v>
      </c>
      <c r="T138" s="59">
        <f t="shared" si="139"/>
        <v>0</v>
      </c>
      <c r="U138" s="59">
        <f t="shared" si="139"/>
        <v>0</v>
      </c>
      <c r="V138" s="59">
        <f t="shared" si="139"/>
        <v>0</v>
      </c>
      <c r="W138" s="59">
        <f t="shared" si="139"/>
        <v>0</v>
      </c>
      <c r="X138" s="59">
        <f t="shared" si="139"/>
        <v>0</v>
      </c>
      <c r="Z138" s="61"/>
      <c r="AA138" s="61"/>
      <c r="AB138" s="61"/>
    </row>
    <row r="139" spans="2:28" s="59" customFormat="1" x14ac:dyDescent="0.2">
      <c r="C139" s="65" t="s">
        <v>34</v>
      </c>
      <c r="E139" s="59">
        <f>IF(E135=0,0,E135)</f>
        <v>0</v>
      </c>
      <c r="F139" s="59">
        <f t="shared" ref="F139:X139" si="140">IF(F135=0,0,F135)</f>
        <v>0</v>
      </c>
      <c r="G139" s="59">
        <f t="shared" si="140"/>
        <v>0</v>
      </c>
      <c r="H139" s="59">
        <f t="shared" si="140"/>
        <v>0</v>
      </c>
      <c r="I139" s="59">
        <f t="shared" si="140"/>
        <v>0</v>
      </c>
      <c r="J139" s="59">
        <f t="shared" si="140"/>
        <v>0</v>
      </c>
      <c r="K139" s="59">
        <f t="shared" si="140"/>
        <v>0</v>
      </c>
      <c r="L139" s="59">
        <f t="shared" si="140"/>
        <v>0</v>
      </c>
      <c r="M139" s="59">
        <f t="shared" si="140"/>
        <v>0</v>
      </c>
      <c r="N139" s="59">
        <f t="shared" si="140"/>
        <v>0</v>
      </c>
      <c r="O139" s="59">
        <f t="shared" si="140"/>
        <v>0</v>
      </c>
      <c r="P139" s="59">
        <f t="shared" si="140"/>
        <v>0</v>
      </c>
      <c r="Q139" s="59">
        <f t="shared" si="140"/>
        <v>0</v>
      </c>
      <c r="R139" s="59">
        <f t="shared" si="140"/>
        <v>0</v>
      </c>
      <c r="S139" s="59">
        <f t="shared" si="140"/>
        <v>0</v>
      </c>
      <c r="T139" s="59">
        <f t="shared" si="140"/>
        <v>0</v>
      </c>
      <c r="U139" s="59">
        <f t="shared" si="140"/>
        <v>0</v>
      </c>
      <c r="V139" s="59">
        <f t="shared" si="140"/>
        <v>0</v>
      </c>
      <c r="W139" s="59">
        <f t="shared" si="140"/>
        <v>0</v>
      </c>
      <c r="X139" s="59">
        <f t="shared" si="140"/>
        <v>0</v>
      </c>
      <c r="Z139" s="61"/>
      <c r="AA139" s="61"/>
      <c r="AB139" s="61"/>
    </row>
    <row r="140" spans="2:28" s="59" customFormat="1" x14ac:dyDescent="0.2">
      <c r="C140" s="65"/>
      <c r="Z140" s="61"/>
      <c r="AA140" s="61"/>
      <c r="AB140" s="61"/>
    </row>
    <row r="141" spans="2:28" s="59" customFormat="1" x14ac:dyDescent="0.2">
      <c r="B141" s="73" t="s">
        <v>113</v>
      </c>
      <c r="C141" s="65" t="s">
        <v>32</v>
      </c>
      <c r="E141" s="59">
        <f>IF(AND(E$93&lt;&gt;"",E$95&lt;&gt;""),MIN(E$93,MaxVlhkost),0)</f>
        <v>0</v>
      </c>
      <c r="F141" s="59">
        <f t="shared" ref="F141:X141" si="141">IF(AND(F$93&lt;&gt;"",F$95&lt;&gt;""),MIN(F$93,MaxVlhkost),0)</f>
        <v>0</v>
      </c>
      <c r="G141" s="59">
        <f t="shared" si="141"/>
        <v>0</v>
      </c>
      <c r="H141" s="59">
        <f t="shared" si="141"/>
        <v>0</v>
      </c>
      <c r="I141" s="59">
        <f t="shared" si="141"/>
        <v>0</v>
      </c>
      <c r="J141" s="59">
        <f t="shared" si="141"/>
        <v>0</v>
      </c>
      <c r="K141" s="59">
        <f t="shared" si="141"/>
        <v>0</v>
      </c>
      <c r="L141" s="59">
        <f t="shared" si="141"/>
        <v>0</v>
      </c>
      <c r="M141" s="59">
        <f t="shared" si="141"/>
        <v>0</v>
      </c>
      <c r="N141" s="59">
        <f t="shared" si="141"/>
        <v>0</v>
      </c>
      <c r="O141" s="59">
        <f t="shared" si="141"/>
        <v>0</v>
      </c>
      <c r="P141" s="59">
        <f t="shared" si="141"/>
        <v>0</v>
      </c>
      <c r="Q141" s="59">
        <f t="shared" si="141"/>
        <v>0</v>
      </c>
      <c r="R141" s="59">
        <f t="shared" si="141"/>
        <v>0</v>
      </c>
      <c r="S141" s="59">
        <f t="shared" si="141"/>
        <v>0</v>
      </c>
      <c r="T141" s="59">
        <f t="shared" si="141"/>
        <v>0</v>
      </c>
      <c r="U141" s="59">
        <f t="shared" si="141"/>
        <v>0</v>
      </c>
      <c r="V141" s="59">
        <f t="shared" si="141"/>
        <v>0</v>
      </c>
      <c r="W141" s="59">
        <f t="shared" si="141"/>
        <v>0</v>
      </c>
      <c r="X141" s="59">
        <f t="shared" si="141"/>
        <v>0</v>
      </c>
      <c r="Z141" s="61"/>
      <c r="AA141" s="61"/>
      <c r="AB141" s="61"/>
    </row>
    <row r="142" spans="2:28" s="59" customFormat="1" x14ac:dyDescent="0.2">
      <c r="C142" s="65" t="s">
        <v>3</v>
      </c>
      <c r="E142" s="59">
        <f>IF(AND(E$93&lt;&gt;"",E$95&lt;&gt;""),E$95,0)</f>
        <v>0</v>
      </c>
      <c r="F142" s="59">
        <f t="shared" ref="F142:X142" si="142">IF(AND(F$93&lt;&gt;"",F$95&lt;&gt;""),F$95,0)</f>
        <v>0</v>
      </c>
      <c r="G142" s="59">
        <f t="shared" si="142"/>
        <v>0</v>
      </c>
      <c r="H142" s="59">
        <f t="shared" si="142"/>
        <v>0</v>
      </c>
      <c r="I142" s="59">
        <f t="shared" si="142"/>
        <v>0</v>
      </c>
      <c r="J142" s="59">
        <f t="shared" si="142"/>
        <v>0</v>
      </c>
      <c r="K142" s="59">
        <f t="shared" si="142"/>
        <v>0</v>
      </c>
      <c r="L142" s="59">
        <f t="shared" si="142"/>
        <v>0</v>
      </c>
      <c r="M142" s="59">
        <f t="shared" si="142"/>
        <v>0</v>
      </c>
      <c r="N142" s="59">
        <f t="shared" si="142"/>
        <v>0</v>
      </c>
      <c r="O142" s="59">
        <f t="shared" si="142"/>
        <v>0</v>
      </c>
      <c r="P142" s="59">
        <f t="shared" si="142"/>
        <v>0</v>
      </c>
      <c r="Q142" s="59">
        <f t="shared" si="142"/>
        <v>0</v>
      </c>
      <c r="R142" s="59">
        <f t="shared" si="142"/>
        <v>0</v>
      </c>
      <c r="S142" s="59">
        <f t="shared" si="142"/>
        <v>0</v>
      </c>
      <c r="T142" s="59">
        <f t="shared" si="142"/>
        <v>0</v>
      </c>
      <c r="U142" s="59">
        <f t="shared" si="142"/>
        <v>0</v>
      </c>
      <c r="V142" s="59">
        <f t="shared" si="142"/>
        <v>0</v>
      </c>
      <c r="W142" s="59">
        <f t="shared" si="142"/>
        <v>0</v>
      </c>
      <c r="X142" s="59">
        <f t="shared" si="142"/>
        <v>0</v>
      </c>
      <c r="Z142" s="61"/>
      <c r="AA142" s="61"/>
      <c r="AB142" s="61"/>
    </row>
    <row r="143" spans="2:28" s="59" customFormat="1" x14ac:dyDescent="0.2">
      <c r="C143" s="72" t="s">
        <v>0</v>
      </c>
      <c r="E143" s="59">
        <v>5.7926502284724735E-4</v>
      </c>
      <c r="F143" s="59">
        <v>3.2713249772620134E-4</v>
      </c>
      <c r="G143" s="59">
        <v>2.614847727860567E-4</v>
      </c>
      <c r="H143" s="59">
        <v>4.1770661130514919E-5</v>
      </c>
      <c r="I143" s="59">
        <v>7.1262905406217769E-5</v>
      </c>
      <c r="J143" s="59">
        <v>5.0552826087199576E-4</v>
      </c>
      <c r="K143" s="59">
        <v>5.0552826087199576E-4</v>
      </c>
      <c r="L143" s="59">
        <v>5.0552826087199576E-4</v>
      </c>
      <c r="M143" s="59">
        <v>5.0552826087199576E-4</v>
      </c>
      <c r="N143" s="59">
        <v>5.0552826087199576E-4</v>
      </c>
      <c r="O143" s="59">
        <v>5.0552826087199576E-4</v>
      </c>
      <c r="P143" s="59">
        <v>5.0552826087199576E-4</v>
      </c>
      <c r="Q143" s="59">
        <v>5.0552826087199576E-4</v>
      </c>
      <c r="R143" s="59">
        <v>5.0552826087199576E-4</v>
      </c>
      <c r="S143" s="59">
        <v>5.0552826087199576E-4</v>
      </c>
      <c r="T143" s="59">
        <v>5.0552826087199576E-4</v>
      </c>
      <c r="U143" s="59">
        <v>5.0552826087199576E-4</v>
      </c>
      <c r="V143" s="59">
        <v>5.0552826087199576E-4</v>
      </c>
      <c r="W143" s="59">
        <v>5.0552826087199576E-4</v>
      </c>
      <c r="X143" s="59">
        <v>5.0552826087199576E-4</v>
      </c>
      <c r="Z143" s="61"/>
      <c r="AA143" s="61"/>
      <c r="AB143" s="61"/>
    </row>
    <row r="144" spans="2:28" s="59" customFormat="1" x14ac:dyDescent="0.2">
      <c r="C144" s="72" t="s">
        <v>31</v>
      </c>
      <c r="E144" s="74">
        <f>IF(E143&lt;-50,#N/A,IF(E143&lt;0,EXP((1738.4+28.74*E143)/(271+E143)),IF(E143&lt;=100,EXP((1500.3+23.5*E143)/(234+E143)),#N/A)))</f>
        <v>608.85537727910446</v>
      </c>
      <c r="F144" s="74">
        <f t="shared" ref="F144:X144" si="143">IF(F143&lt;-50,#N/A,IF(F143&lt;0,EXP((1738.4+28.74*F143)/(271+F143)),IF(F143&lt;=100,EXP((1500.3+23.5*F143)/(234+F143)),#N/A)))</f>
        <v>608.84416679294907</v>
      </c>
      <c r="G144" s="74">
        <f t="shared" si="143"/>
        <v>608.84124794948968</v>
      </c>
      <c r="H144" s="74">
        <f t="shared" si="143"/>
        <v>608.83147906263059</v>
      </c>
      <c r="I144" s="74">
        <f t="shared" si="143"/>
        <v>608.83279033311987</v>
      </c>
      <c r="J144" s="74">
        <f t="shared" si="143"/>
        <v>608.85209872667178</v>
      </c>
      <c r="K144" s="74">
        <f t="shared" si="143"/>
        <v>608.85209872667178</v>
      </c>
      <c r="L144" s="74">
        <f t="shared" si="143"/>
        <v>608.85209872667178</v>
      </c>
      <c r="M144" s="70">
        <f t="shared" si="143"/>
        <v>608.85209872667178</v>
      </c>
      <c r="N144" s="70">
        <f t="shared" si="143"/>
        <v>608.85209872667178</v>
      </c>
      <c r="O144" s="70">
        <f t="shared" si="143"/>
        <v>608.85209872667178</v>
      </c>
      <c r="P144" s="70">
        <f t="shared" si="143"/>
        <v>608.85209872667178</v>
      </c>
      <c r="Q144" s="70">
        <f t="shared" si="143"/>
        <v>608.85209872667178</v>
      </c>
      <c r="R144" s="70">
        <f t="shared" si="143"/>
        <v>608.85209872667178</v>
      </c>
      <c r="S144" s="70">
        <f t="shared" si="143"/>
        <v>608.85209872667178</v>
      </c>
      <c r="T144" s="70">
        <f t="shared" si="143"/>
        <v>608.85209872667178</v>
      </c>
      <c r="U144" s="70">
        <f t="shared" si="143"/>
        <v>608.85209872667178</v>
      </c>
      <c r="V144" s="70">
        <f t="shared" si="143"/>
        <v>608.85209872667178</v>
      </c>
      <c r="W144" s="70">
        <f t="shared" si="143"/>
        <v>608.85209872667178</v>
      </c>
      <c r="X144" s="70">
        <f t="shared" si="143"/>
        <v>608.85209872667178</v>
      </c>
      <c r="Z144" s="61"/>
      <c r="AA144" s="61"/>
      <c r="AB144" s="61"/>
    </row>
    <row r="145" spans="2:28" s="59" customFormat="1" x14ac:dyDescent="0.2">
      <c r="C145" s="72" t="s">
        <v>37</v>
      </c>
      <c r="E145" s="59">
        <f>0.6222*E141*E144/(Tlak_vzduchu-E141*E144/1000)</f>
        <v>0</v>
      </c>
      <c r="F145" s="59">
        <f t="shared" ref="F145:N145" si="144">0.6222*F141*F144/(Tlak_vzduchu-F141*F144/1000)</f>
        <v>0</v>
      </c>
      <c r="G145" s="59">
        <f t="shared" si="144"/>
        <v>0</v>
      </c>
      <c r="H145" s="59">
        <f t="shared" si="144"/>
        <v>0</v>
      </c>
      <c r="I145" s="59">
        <f t="shared" si="144"/>
        <v>0</v>
      </c>
      <c r="J145" s="59">
        <f t="shared" si="144"/>
        <v>0</v>
      </c>
      <c r="K145" s="59">
        <f t="shared" si="144"/>
        <v>0</v>
      </c>
      <c r="L145" s="59">
        <f t="shared" si="144"/>
        <v>0</v>
      </c>
      <c r="M145" s="59">
        <f t="shared" si="144"/>
        <v>0</v>
      </c>
      <c r="N145" s="59">
        <f t="shared" si="144"/>
        <v>0</v>
      </c>
      <c r="O145" s="59">
        <f t="shared" ref="O145:X145" si="145">0.6222*O141*O144/(Tlak_vzduchu-O141*O144/1000)</f>
        <v>0</v>
      </c>
      <c r="P145" s="59">
        <f t="shared" si="145"/>
        <v>0</v>
      </c>
      <c r="Q145" s="59">
        <f t="shared" si="145"/>
        <v>0</v>
      </c>
      <c r="R145" s="59">
        <f t="shared" si="145"/>
        <v>0</v>
      </c>
      <c r="S145" s="59">
        <f t="shared" si="145"/>
        <v>0</v>
      </c>
      <c r="T145" s="59">
        <f t="shared" si="145"/>
        <v>0</v>
      </c>
      <c r="U145" s="59">
        <f t="shared" si="145"/>
        <v>0</v>
      </c>
      <c r="V145" s="59">
        <f t="shared" si="145"/>
        <v>0</v>
      </c>
      <c r="W145" s="59">
        <f t="shared" si="145"/>
        <v>0</v>
      </c>
      <c r="X145" s="59">
        <f t="shared" si="145"/>
        <v>0</v>
      </c>
      <c r="Z145" s="61"/>
      <c r="AA145" s="61"/>
      <c r="AB145" s="61"/>
    </row>
    <row r="146" spans="2:28" s="59" customFormat="1" x14ac:dyDescent="0.2">
      <c r="C146" s="72" t="s">
        <v>38</v>
      </c>
      <c r="E146" s="59">
        <f>(E142-1.01*E143)/(2501+1.86*E143)*1000</f>
        <v>-2.339293966543309E-4</v>
      </c>
      <c r="F146" s="59">
        <f t="shared" ref="F146:X146" si="146">(F142-1.01*F143)/(2501+1.86*F143)*1000</f>
        <v>-1.321086534665256E-4</v>
      </c>
      <c r="G146" s="59">
        <f t="shared" si="146"/>
        <v>-1.0559758862666812E-4</v>
      </c>
      <c r="H146" s="59">
        <f t="shared" si="146"/>
        <v>-1.6868599132843162E-5</v>
      </c>
      <c r="I146" s="59">
        <f t="shared" si="146"/>
        <v>-2.8778700777965545E-5</v>
      </c>
      <c r="J146" s="59">
        <f t="shared" si="146"/>
        <v>-2.0415167993620569E-4</v>
      </c>
      <c r="K146" s="59">
        <f t="shared" si="146"/>
        <v>-2.0415167993620569E-4</v>
      </c>
      <c r="L146" s="59">
        <f t="shared" si="146"/>
        <v>-2.0415167993620569E-4</v>
      </c>
      <c r="M146" s="59">
        <f t="shared" si="146"/>
        <v>-2.0415167993620569E-4</v>
      </c>
      <c r="N146" s="59">
        <f t="shared" si="146"/>
        <v>-2.0415167993620569E-4</v>
      </c>
      <c r="O146" s="59">
        <f t="shared" si="146"/>
        <v>-2.0415167993620569E-4</v>
      </c>
      <c r="P146" s="59">
        <f t="shared" si="146"/>
        <v>-2.0415167993620569E-4</v>
      </c>
      <c r="Q146" s="59">
        <f t="shared" si="146"/>
        <v>-2.0415167993620569E-4</v>
      </c>
      <c r="R146" s="59">
        <f t="shared" si="146"/>
        <v>-2.0415167993620569E-4</v>
      </c>
      <c r="S146" s="59">
        <f t="shared" si="146"/>
        <v>-2.0415167993620569E-4</v>
      </c>
      <c r="T146" s="59">
        <f t="shared" si="146"/>
        <v>-2.0415167993620569E-4</v>
      </c>
      <c r="U146" s="59">
        <f t="shared" si="146"/>
        <v>-2.0415167993620569E-4</v>
      </c>
      <c r="V146" s="59">
        <f t="shared" si="146"/>
        <v>-2.0415167993620569E-4</v>
      </c>
      <c r="W146" s="59">
        <f t="shared" si="146"/>
        <v>-2.0415167993620569E-4</v>
      </c>
      <c r="X146" s="59">
        <f t="shared" si="146"/>
        <v>-2.0415167993620569E-4</v>
      </c>
      <c r="Z146" s="61"/>
      <c r="AA146" s="61"/>
      <c r="AB146" s="61"/>
    </row>
    <row r="147" spans="2:28" s="59" customFormat="1" x14ac:dyDescent="0.2">
      <c r="C147" s="73" t="s">
        <v>39</v>
      </c>
      <c r="E147" s="59">
        <f>E145-E146</f>
        <v>2.339293966543309E-4</v>
      </c>
      <c r="F147" s="59">
        <f t="shared" ref="F147:X147" si="147">F145-F146</f>
        <v>1.321086534665256E-4</v>
      </c>
      <c r="G147" s="59">
        <f t="shared" si="147"/>
        <v>1.0559758862666812E-4</v>
      </c>
      <c r="H147" s="59">
        <f t="shared" si="147"/>
        <v>1.6868599132843162E-5</v>
      </c>
      <c r="I147" s="59">
        <f t="shared" si="147"/>
        <v>2.8778700777965545E-5</v>
      </c>
      <c r="J147" s="59">
        <f t="shared" si="147"/>
        <v>2.0415167993620569E-4</v>
      </c>
      <c r="K147" s="59">
        <f t="shared" si="147"/>
        <v>2.0415167993620569E-4</v>
      </c>
      <c r="L147" s="59">
        <f t="shared" si="147"/>
        <v>2.0415167993620569E-4</v>
      </c>
      <c r="M147" s="59">
        <f t="shared" si="147"/>
        <v>2.0415167993620569E-4</v>
      </c>
      <c r="N147" s="59">
        <f t="shared" si="147"/>
        <v>2.0415167993620569E-4</v>
      </c>
      <c r="O147" s="59">
        <f t="shared" si="147"/>
        <v>2.0415167993620569E-4</v>
      </c>
      <c r="P147" s="59">
        <f t="shared" si="147"/>
        <v>2.0415167993620569E-4</v>
      </c>
      <c r="Q147" s="59">
        <f t="shared" si="147"/>
        <v>2.0415167993620569E-4</v>
      </c>
      <c r="R147" s="59">
        <f t="shared" si="147"/>
        <v>2.0415167993620569E-4</v>
      </c>
      <c r="S147" s="59">
        <f t="shared" si="147"/>
        <v>2.0415167993620569E-4</v>
      </c>
      <c r="T147" s="59">
        <f t="shared" si="147"/>
        <v>2.0415167993620569E-4</v>
      </c>
      <c r="U147" s="59">
        <f t="shared" si="147"/>
        <v>2.0415167993620569E-4</v>
      </c>
      <c r="V147" s="59">
        <f t="shared" si="147"/>
        <v>2.0415167993620569E-4</v>
      </c>
      <c r="W147" s="59">
        <f t="shared" si="147"/>
        <v>2.0415167993620569E-4</v>
      </c>
      <c r="X147" s="59">
        <f t="shared" si="147"/>
        <v>2.0415167993620569E-4</v>
      </c>
      <c r="Z147" s="61"/>
      <c r="AA147" s="61"/>
      <c r="AB147" s="61"/>
    </row>
    <row r="148" spans="2:28" s="59" customFormat="1" x14ac:dyDescent="0.2">
      <c r="B148" s="76" t="s">
        <v>70</v>
      </c>
      <c r="C148" s="65" t="s">
        <v>33</v>
      </c>
      <c r="E148" s="59">
        <f>IF(AND(E141=0,E142=0),0,E143)</f>
        <v>0</v>
      </c>
      <c r="F148" s="59">
        <f t="shared" ref="F148:X148" si="148">IF(AND(F141=0,F142=0),0,F143)</f>
        <v>0</v>
      </c>
      <c r="G148" s="59">
        <f t="shared" si="148"/>
        <v>0</v>
      </c>
      <c r="H148" s="59">
        <f t="shared" si="148"/>
        <v>0</v>
      </c>
      <c r="I148" s="59">
        <f t="shared" si="148"/>
        <v>0</v>
      </c>
      <c r="J148" s="59">
        <f t="shared" si="148"/>
        <v>0</v>
      </c>
      <c r="K148" s="59">
        <f t="shared" si="148"/>
        <v>0</v>
      </c>
      <c r="L148" s="59">
        <f t="shared" si="148"/>
        <v>0</v>
      </c>
      <c r="M148" s="59">
        <f t="shared" si="148"/>
        <v>0</v>
      </c>
      <c r="N148" s="59">
        <f t="shared" si="148"/>
        <v>0</v>
      </c>
      <c r="O148" s="59">
        <f t="shared" si="148"/>
        <v>0</v>
      </c>
      <c r="P148" s="59">
        <f t="shared" si="148"/>
        <v>0</v>
      </c>
      <c r="Q148" s="59">
        <f t="shared" si="148"/>
        <v>0</v>
      </c>
      <c r="R148" s="59">
        <f t="shared" si="148"/>
        <v>0</v>
      </c>
      <c r="S148" s="59">
        <f t="shared" si="148"/>
        <v>0</v>
      </c>
      <c r="T148" s="59">
        <f t="shared" si="148"/>
        <v>0</v>
      </c>
      <c r="U148" s="59">
        <f t="shared" si="148"/>
        <v>0</v>
      </c>
      <c r="V148" s="59">
        <f t="shared" si="148"/>
        <v>0</v>
      </c>
      <c r="W148" s="59">
        <f t="shared" si="148"/>
        <v>0</v>
      </c>
      <c r="X148" s="59">
        <f t="shared" si="148"/>
        <v>0</v>
      </c>
      <c r="Z148" s="61"/>
      <c r="AA148" s="61"/>
      <c r="AB148" s="61"/>
    </row>
    <row r="149" spans="2:28" s="59" customFormat="1" x14ac:dyDescent="0.2">
      <c r="C149" s="65" t="s">
        <v>34</v>
      </c>
      <c r="E149" s="59">
        <f>IF(AND(E141=0,E142=0),0,E145)</f>
        <v>0</v>
      </c>
      <c r="F149" s="59">
        <f t="shared" ref="F149:X149" si="149">IF(AND(F141=0,F142=0),0,F145)</f>
        <v>0</v>
      </c>
      <c r="G149" s="59">
        <f t="shared" si="149"/>
        <v>0</v>
      </c>
      <c r="H149" s="59">
        <f t="shared" si="149"/>
        <v>0</v>
      </c>
      <c r="I149" s="59">
        <f t="shared" si="149"/>
        <v>0</v>
      </c>
      <c r="J149" s="59">
        <f t="shared" si="149"/>
        <v>0</v>
      </c>
      <c r="K149" s="59">
        <f t="shared" si="149"/>
        <v>0</v>
      </c>
      <c r="L149" s="59">
        <f t="shared" si="149"/>
        <v>0</v>
      </c>
      <c r="M149" s="59">
        <f t="shared" si="149"/>
        <v>0</v>
      </c>
      <c r="N149" s="59">
        <f t="shared" si="149"/>
        <v>0</v>
      </c>
      <c r="O149" s="59">
        <f t="shared" si="149"/>
        <v>0</v>
      </c>
      <c r="P149" s="59">
        <f t="shared" si="149"/>
        <v>0</v>
      </c>
      <c r="Q149" s="59">
        <f t="shared" si="149"/>
        <v>0</v>
      </c>
      <c r="R149" s="59">
        <f t="shared" si="149"/>
        <v>0</v>
      </c>
      <c r="S149" s="59">
        <f t="shared" si="149"/>
        <v>0</v>
      </c>
      <c r="T149" s="59">
        <f t="shared" si="149"/>
        <v>0</v>
      </c>
      <c r="U149" s="59">
        <f t="shared" si="149"/>
        <v>0</v>
      </c>
      <c r="V149" s="59">
        <f t="shared" si="149"/>
        <v>0</v>
      </c>
      <c r="W149" s="59">
        <f t="shared" si="149"/>
        <v>0</v>
      </c>
      <c r="X149" s="59">
        <f t="shared" si="149"/>
        <v>0</v>
      </c>
      <c r="Z149" s="61"/>
      <c r="AA149" s="61"/>
      <c r="AB149" s="61"/>
    </row>
    <row r="150" spans="2:28" s="59" customFormat="1" x14ac:dyDescent="0.2">
      <c r="Z150" s="61"/>
      <c r="AA150" s="61"/>
      <c r="AB150" s="61"/>
    </row>
    <row r="151" spans="2:28" s="59" customFormat="1" x14ac:dyDescent="0.2">
      <c r="B151" s="112" t="s">
        <v>70</v>
      </c>
      <c r="C151" s="62" t="s">
        <v>33</v>
      </c>
      <c r="E151" s="77">
        <f>E106+E114+E120+E131+E138+E148</f>
        <v>-25</v>
      </c>
      <c r="F151" s="77">
        <f t="shared" ref="F151:X151" si="150">F106+F114+F120+F131+F138+F148</f>
        <v>-25</v>
      </c>
      <c r="G151" s="77">
        <f t="shared" si="150"/>
        <v>-25</v>
      </c>
      <c r="H151" s="77">
        <f t="shared" si="150"/>
        <v>-25</v>
      </c>
      <c r="I151" s="77">
        <f t="shared" si="150"/>
        <v>20</v>
      </c>
      <c r="J151" s="77">
        <f t="shared" si="150"/>
        <v>4.277020603210544</v>
      </c>
      <c r="K151" s="77">
        <f t="shared" si="150"/>
        <v>4.277020603210544</v>
      </c>
      <c r="L151" s="77">
        <f t="shared" si="150"/>
        <v>8</v>
      </c>
      <c r="M151" s="77">
        <f t="shared" si="150"/>
        <v>8</v>
      </c>
      <c r="N151" s="77">
        <f t="shared" si="150"/>
        <v>8</v>
      </c>
      <c r="O151" s="77">
        <f t="shared" si="150"/>
        <v>8</v>
      </c>
      <c r="P151" s="77">
        <f t="shared" si="150"/>
        <v>8</v>
      </c>
      <c r="Q151" s="77">
        <f t="shared" si="150"/>
        <v>0</v>
      </c>
      <c r="R151" s="77">
        <f t="shared" si="150"/>
        <v>0</v>
      </c>
      <c r="S151" s="77">
        <f t="shared" si="150"/>
        <v>0</v>
      </c>
      <c r="T151" s="77">
        <f t="shared" si="150"/>
        <v>0</v>
      </c>
      <c r="U151" s="77">
        <f t="shared" si="150"/>
        <v>0</v>
      </c>
      <c r="V151" s="77">
        <f t="shared" si="150"/>
        <v>0</v>
      </c>
      <c r="W151" s="77">
        <f t="shared" si="150"/>
        <v>0</v>
      </c>
      <c r="X151" s="77">
        <f t="shared" si="150"/>
        <v>0</v>
      </c>
      <c r="Z151" s="61"/>
      <c r="AA151" s="61"/>
      <c r="AB151" s="61"/>
    </row>
    <row r="152" spans="2:28" s="59" customFormat="1" x14ac:dyDescent="0.2">
      <c r="C152" s="62" t="s">
        <v>34</v>
      </c>
      <c r="E152" s="77">
        <f>E107+E115+E121+E132+E139+E149</f>
        <v>8.3203757830561539E-2</v>
      </c>
      <c r="F152" s="77">
        <f t="shared" ref="F152:X152" si="151">IF(F14="-",E152,F107+F115+F121+F132+F139+F149)</f>
        <v>8.3203757830561539E-2</v>
      </c>
      <c r="G152" s="77">
        <f t="shared" si="151"/>
        <v>8.3203757830561539E-2</v>
      </c>
      <c r="H152" s="77">
        <f t="shared" si="151"/>
        <v>8.3203757830561539E-2</v>
      </c>
      <c r="I152" s="77">
        <f t="shared" si="151"/>
        <v>9.3757233081908904</v>
      </c>
      <c r="J152" s="77">
        <f t="shared" si="151"/>
        <v>5.4957390094007232</v>
      </c>
      <c r="K152" s="77">
        <f t="shared" si="151"/>
        <v>5.4480985171597482E-2</v>
      </c>
      <c r="L152" s="77">
        <f t="shared" si="151"/>
        <v>5.4480985171597482E-2</v>
      </c>
      <c r="M152" s="77">
        <f t="shared" si="151"/>
        <v>5.4476262829484417E-4</v>
      </c>
      <c r="N152" s="77">
        <f t="shared" si="151"/>
        <v>5.4476215610197468E-6</v>
      </c>
      <c r="O152" s="77">
        <f>IF(O14="-",N152,O107+O115+O121+O132+O139+O149)</f>
        <v>5.4476215138005003E-8</v>
      </c>
      <c r="P152" s="77">
        <f t="shared" si="151"/>
        <v>5.447621513328308E-10</v>
      </c>
      <c r="Q152" s="77">
        <f t="shared" si="151"/>
        <v>5.447621513328308E-10</v>
      </c>
      <c r="R152" s="77">
        <f t="shared" si="151"/>
        <v>5.447621513328308E-10</v>
      </c>
      <c r="S152" s="77">
        <f t="shared" si="151"/>
        <v>5.447621513328308E-10</v>
      </c>
      <c r="T152" s="77">
        <f t="shared" si="151"/>
        <v>5.447621513328308E-10</v>
      </c>
      <c r="U152" s="77">
        <f t="shared" si="151"/>
        <v>5.447621513328308E-10</v>
      </c>
      <c r="V152" s="77">
        <f t="shared" si="151"/>
        <v>5.447621513328308E-10</v>
      </c>
      <c r="W152" s="77">
        <f t="shared" si="151"/>
        <v>5.447621513328308E-10</v>
      </c>
      <c r="X152" s="77">
        <f t="shared" si="151"/>
        <v>5.447621513328308E-10</v>
      </c>
      <c r="Z152" s="61"/>
      <c r="AA152" s="61"/>
      <c r="AB152" s="61"/>
    </row>
    <row r="153" spans="2:28" s="59" customFormat="1" x14ac:dyDescent="0.2">
      <c r="C153" s="62" t="s">
        <v>8</v>
      </c>
      <c r="E153" s="77">
        <f>(E19-E152*2.501)/1.01</f>
        <v>-25.003830668058537</v>
      </c>
      <c r="F153" s="77">
        <f t="shared" ref="F153:X153" si="152">IF(F14="-",E153,(F19-F152*2.501)/1.01)</f>
        <v>-25.003830668058537</v>
      </c>
      <c r="G153" s="77">
        <f t="shared" si="152"/>
        <v>-25.003830668058537</v>
      </c>
      <c r="H153" s="77">
        <f t="shared" si="152"/>
        <v>-25.003830668058537</v>
      </c>
      <c r="I153" s="77">
        <f t="shared" si="152"/>
        <v>20.345323670361086</v>
      </c>
      <c r="J153" s="77">
        <f t="shared" si="152"/>
        <v>4.3203077551807594</v>
      </c>
      <c r="K153" s="77">
        <f t="shared" si="152"/>
        <v>4.277449722330025</v>
      </c>
      <c r="L153" s="77">
        <f t="shared" si="152"/>
        <v>8.0008026505538137</v>
      </c>
      <c r="M153" s="77">
        <f t="shared" si="152"/>
        <v>8.0000080258098105</v>
      </c>
      <c r="N153" s="77">
        <f t="shared" si="152"/>
        <v>8.0000000802580278</v>
      </c>
      <c r="O153" s="77">
        <f>IF(O14="-",N153,(O19-O152*2.501)/1.01)</f>
        <v>8.0000000008025811</v>
      </c>
      <c r="P153" s="77">
        <f t="shared" si="152"/>
        <v>8.0000000000080274</v>
      </c>
      <c r="Q153" s="77">
        <f t="shared" si="152"/>
        <v>8.0000000000080274</v>
      </c>
      <c r="R153" s="77">
        <f t="shared" si="152"/>
        <v>8.0000000000080274</v>
      </c>
      <c r="S153" s="77">
        <f t="shared" si="152"/>
        <v>8.0000000000080274</v>
      </c>
      <c r="T153" s="77">
        <f t="shared" si="152"/>
        <v>8.0000000000080274</v>
      </c>
      <c r="U153" s="77">
        <f t="shared" si="152"/>
        <v>8.0000000000080274</v>
      </c>
      <c r="V153" s="77">
        <f t="shared" si="152"/>
        <v>8.0000000000080274</v>
      </c>
      <c r="W153" s="77">
        <f t="shared" si="152"/>
        <v>8.0000000000080274</v>
      </c>
      <c r="X153" s="77">
        <f t="shared" si="152"/>
        <v>8.0000000000080274</v>
      </c>
      <c r="Z153" s="61"/>
      <c r="AA153" s="61"/>
      <c r="AB153" s="61"/>
    </row>
    <row r="154" spans="2:28" s="59" customFormat="1" x14ac:dyDescent="0.2">
      <c r="C154" s="62" t="s">
        <v>31</v>
      </c>
      <c r="E154" s="77">
        <f>IF(E151&lt;-50,#N/A,IF(E151&lt;0,EXP((1738.4+28.74*E151)/(271+E151)),IF(E151&lt;=100,EXP((1500.3+23.5*E151)/(234+E151)),#N/A)))</f>
        <v>63.176661908168398</v>
      </c>
      <c r="F154" s="77">
        <f t="shared" ref="F154:X154" si="153">IF(F151&lt;-50,#N/A,IF(F151&lt;0,EXP((1738.4+28.74*F151)/(271+F151)),IF(F151&lt;=100,EXP((1500.3+23.5*F151)/(234+F151)),#N/A)))</f>
        <v>63.176661908168398</v>
      </c>
      <c r="G154" s="77">
        <f t="shared" si="153"/>
        <v>63.176661908168398</v>
      </c>
      <c r="H154" s="77">
        <f t="shared" si="153"/>
        <v>63.176661908168398</v>
      </c>
      <c r="I154" s="77">
        <f t="shared" si="153"/>
        <v>2338.0829353370973</v>
      </c>
      <c r="J154" s="77">
        <f t="shared" si="153"/>
        <v>827.38706687411548</v>
      </c>
      <c r="K154" s="77">
        <f t="shared" si="153"/>
        <v>827.38706687411548</v>
      </c>
      <c r="L154" s="77">
        <f t="shared" si="153"/>
        <v>1071.1051886578423</v>
      </c>
      <c r="M154" s="77">
        <f t="shared" si="153"/>
        <v>1071.1051886578423</v>
      </c>
      <c r="N154" s="77">
        <f t="shared" si="153"/>
        <v>1071.1051886578423</v>
      </c>
      <c r="O154" s="77">
        <f t="shared" si="153"/>
        <v>1071.1051886578423</v>
      </c>
      <c r="P154" s="77">
        <f t="shared" si="153"/>
        <v>1071.1051886578423</v>
      </c>
      <c r="Q154" s="77">
        <f t="shared" si="153"/>
        <v>608.82962187913188</v>
      </c>
      <c r="R154" s="77">
        <f t="shared" si="153"/>
        <v>608.82962187913188</v>
      </c>
      <c r="S154" s="77">
        <f t="shared" si="153"/>
        <v>608.82962187913188</v>
      </c>
      <c r="T154" s="77">
        <f t="shared" si="153"/>
        <v>608.82962187913188</v>
      </c>
      <c r="U154" s="77">
        <f t="shared" si="153"/>
        <v>608.82962187913188</v>
      </c>
      <c r="V154" s="77">
        <f t="shared" si="153"/>
        <v>608.82962187913188</v>
      </c>
      <c r="W154" s="77">
        <f t="shared" si="153"/>
        <v>608.82962187913188</v>
      </c>
      <c r="X154" s="77">
        <f t="shared" si="153"/>
        <v>608.82962187913188</v>
      </c>
      <c r="Z154" s="61"/>
      <c r="AA154" s="61"/>
      <c r="AB154" s="61"/>
    </row>
    <row r="155" spans="2:28" s="59" customFormat="1" x14ac:dyDescent="0.2">
      <c r="C155" s="59" t="s">
        <v>3</v>
      </c>
      <c r="E155" s="77">
        <f>1.01*E151+(2501+1.86*E151)*E152/1000</f>
        <v>-25.045776376404888</v>
      </c>
      <c r="F155" s="77">
        <f t="shared" ref="F155:X155" si="154">1.01*F151+(2501+1.86*F151)*F152/1000</f>
        <v>-25.045776376404888</v>
      </c>
      <c r="G155" s="77">
        <f t="shared" si="154"/>
        <v>-25.045776376404888</v>
      </c>
      <c r="H155" s="77">
        <f t="shared" si="154"/>
        <v>-25.045776376404888</v>
      </c>
      <c r="I155" s="77">
        <f t="shared" si="154"/>
        <v>43.997460900850115</v>
      </c>
      <c r="J155" s="77">
        <f t="shared" si="154"/>
        <v>18.108354095243776</v>
      </c>
      <c r="K155" s="77">
        <f t="shared" si="154"/>
        <v>4.4564811634674903</v>
      </c>
      <c r="L155" s="77">
        <f t="shared" si="154"/>
        <v>8.2170676209735181</v>
      </c>
      <c r="M155" s="77">
        <f t="shared" si="154"/>
        <v>8.0813705574012751</v>
      </c>
      <c r="N155" s="77">
        <f t="shared" si="154"/>
        <v>8.0800137055621324</v>
      </c>
      <c r="O155" s="77">
        <f t="shared" si="154"/>
        <v>8.0800001370556203</v>
      </c>
      <c r="P155" s="77">
        <f t="shared" si="154"/>
        <v>8.0800000013705571</v>
      </c>
      <c r="Q155" s="77">
        <f t="shared" si="154"/>
        <v>1.3624501404834097E-9</v>
      </c>
      <c r="R155" s="77">
        <f t="shared" si="154"/>
        <v>1.3624501404834097E-9</v>
      </c>
      <c r="S155" s="77">
        <f t="shared" si="154"/>
        <v>1.3624501404834097E-9</v>
      </c>
      <c r="T155" s="77">
        <f t="shared" si="154"/>
        <v>1.3624501404834097E-9</v>
      </c>
      <c r="U155" s="77">
        <f t="shared" si="154"/>
        <v>1.3624501404834097E-9</v>
      </c>
      <c r="V155" s="77">
        <f t="shared" si="154"/>
        <v>1.3624501404834097E-9</v>
      </c>
      <c r="W155" s="77">
        <f t="shared" si="154"/>
        <v>1.3624501404834097E-9</v>
      </c>
      <c r="X155" s="77">
        <f t="shared" si="154"/>
        <v>1.3624501404834097E-9</v>
      </c>
      <c r="Z155" s="61"/>
      <c r="AA155" s="61"/>
      <c r="AB155" s="61"/>
    </row>
    <row r="156" spans="2:28" s="59" customFormat="1" ht="38.25" x14ac:dyDescent="0.2">
      <c r="B156" s="64" t="s">
        <v>116</v>
      </c>
      <c r="C156" s="113" t="s">
        <v>0</v>
      </c>
      <c r="E156" s="59">
        <v>-25.736542713815986</v>
      </c>
      <c r="F156" s="59">
        <v>-25.736542701112796</v>
      </c>
      <c r="G156" s="59">
        <v>-25.736542710631916</v>
      </c>
      <c r="H156" s="59">
        <v>-25.736542713815986</v>
      </c>
      <c r="I156" s="59">
        <v>14.98170477717769</v>
      </c>
      <c r="J156" s="59">
        <v>4.2780735733811968</v>
      </c>
      <c r="K156" s="59">
        <v>-3.2203557258118334</v>
      </c>
      <c r="L156" s="59">
        <v>-1.0456313338131826</v>
      </c>
      <c r="M156" s="59">
        <v>-1.1213948926006025</v>
      </c>
      <c r="N156" s="59">
        <v>-1.1221538660407957</v>
      </c>
      <c r="O156" s="59">
        <v>-2.6495095945477067</v>
      </c>
      <c r="P156" s="59">
        <v>-2.6495095945477067</v>
      </c>
      <c r="Q156" s="59">
        <v>-2.6495095945477067</v>
      </c>
      <c r="R156" s="59">
        <v>-2.6495095945477067</v>
      </c>
      <c r="S156" s="59">
        <v>-2.6495095945477067</v>
      </c>
      <c r="T156" s="59">
        <v>-2.6495095945477067</v>
      </c>
      <c r="U156" s="59">
        <v>-2.6495095945477067</v>
      </c>
      <c r="V156" s="59">
        <v>-2.6495095945477067</v>
      </c>
      <c r="W156" s="59">
        <v>-2.6495095945477067</v>
      </c>
      <c r="X156" s="59">
        <v>-2.6495095945477067</v>
      </c>
      <c r="Z156" s="61"/>
      <c r="AA156" s="61"/>
      <c r="AB156" s="61"/>
    </row>
    <row r="157" spans="2:28" s="59" customFormat="1" x14ac:dyDescent="0.2">
      <c r="C157" s="113" t="s">
        <v>31</v>
      </c>
      <c r="E157" s="70">
        <f>IF(E156&lt;-50,#N/A,IF(E156&lt;0,EXP((1738.4+28.74*E156)/(271+E156)),IF(E156&lt;=100,EXP((1500.3+23.5*E156)/(234+E156)),#N/A)))</f>
        <v>58.678730708358543</v>
      </c>
      <c r="F157" s="70">
        <f t="shared" ref="F157:X157" si="155">IF(F156&lt;-50,#N/A,IF(F156&lt;0,EXP((1738.4+28.74*F156)/(271+F156)),IF(F156&lt;=100,EXP((1500.3+23.5*F156)/(234+F156)),#N/A)))</f>
        <v>58.678730783329527</v>
      </c>
      <c r="G157" s="70">
        <f t="shared" si="155"/>
        <v>58.678730727150125</v>
      </c>
      <c r="H157" s="70">
        <f t="shared" si="155"/>
        <v>58.678730708358543</v>
      </c>
      <c r="I157" s="70">
        <f t="shared" si="155"/>
        <v>1702.3821849147248</v>
      </c>
      <c r="J157" s="70">
        <f t="shared" si="155"/>
        <v>827.44842802285166</v>
      </c>
      <c r="K157" s="70">
        <f t="shared" si="155"/>
        <v>466.97404036591337</v>
      </c>
      <c r="L157" s="70">
        <f t="shared" si="155"/>
        <v>560.19581024175261</v>
      </c>
      <c r="M157" s="70">
        <f t="shared" si="155"/>
        <v>556.68229918630993</v>
      </c>
      <c r="N157" s="70">
        <f t="shared" si="155"/>
        <v>556.64720379957407</v>
      </c>
      <c r="O157" s="70">
        <f t="shared" si="155"/>
        <v>489.96598295343301</v>
      </c>
      <c r="P157" s="70">
        <f t="shared" si="155"/>
        <v>489.96598295343301</v>
      </c>
      <c r="Q157" s="70">
        <f t="shared" si="155"/>
        <v>489.96598295343301</v>
      </c>
      <c r="R157" s="70">
        <f t="shared" si="155"/>
        <v>489.96598295343301</v>
      </c>
      <c r="S157" s="70">
        <f t="shared" si="155"/>
        <v>489.96598295343301</v>
      </c>
      <c r="T157" s="70">
        <f t="shared" si="155"/>
        <v>489.96598295343301</v>
      </c>
      <c r="U157" s="70">
        <f t="shared" si="155"/>
        <v>489.96598295343301</v>
      </c>
      <c r="V157" s="70">
        <f t="shared" si="155"/>
        <v>489.96598295343301</v>
      </c>
      <c r="W157" s="70">
        <f t="shared" si="155"/>
        <v>489.96598295343301</v>
      </c>
      <c r="X157" s="70">
        <f t="shared" si="155"/>
        <v>489.96598295343301</v>
      </c>
      <c r="Z157" s="61"/>
      <c r="AA157" s="61"/>
      <c r="AB157" s="61"/>
    </row>
    <row r="158" spans="2:28" s="59" customFormat="1" x14ac:dyDescent="0.2">
      <c r="C158" s="113" t="s">
        <v>37</v>
      </c>
      <c r="E158" s="59">
        <f>0.6222*E157/(Tlak_vzduchu-E157/1000)</f>
        <v>0.38658826196041562</v>
      </c>
      <c r="F158" s="59">
        <f t="shared" ref="F158:N158" si="156">0.6222*F157/(Tlak_vzduchu-F157/1000)</f>
        <v>0.38658826245464761</v>
      </c>
      <c r="G158" s="59">
        <f t="shared" si="156"/>
        <v>0.38658826208429553</v>
      </c>
      <c r="H158" s="59">
        <f t="shared" si="156"/>
        <v>0.38658826196041562</v>
      </c>
      <c r="I158" s="59">
        <f t="shared" si="156"/>
        <v>11.414325285425091</v>
      </c>
      <c r="J158" s="59">
        <f t="shared" si="156"/>
        <v>5.4961501878191186</v>
      </c>
      <c r="K158" s="59">
        <f t="shared" si="156"/>
        <v>3.0898851222803074</v>
      </c>
      <c r="L158" s="59">
        <f t="shared" si="156"/>
        <v>3.7103955680846457</v>
      </c>
      <c r="M158" s="59">
        <f t="shared" si="156"/>
        <v>3.6869863129256073</v>
      </c>
      <c r="N158" s="59">
        <f t="shared" si="156"/>
        <v>3.6867524938720631</v>
      </c>
      <c r="O158" s="59">
        <f t="shared" ref="O158:X158" si="157">0.6222*O157/(Tlak_vzduchu-O157/1000)</f>
        <v>3.2428116613418863</v>
      </c>
      <c r="P158" s="59">
        <f t="shared" si="157"/>
        <v>3.2428116613418863</v>
      </c>
      <c r="Q158" s="59">
        <f t="shared" si="157"/>
        <v>3.2428116613418863</v>
      </c>
      <c r="R158" s="59">
        <f t="shared" si="157"/>
        <v>3.2428116613418863</v>
      </c>
      <c r="S158" s="59">
        <f t="shared" si="157"/>
        <v>3.2428116613418863</v>
      </c>
      <c r="T158" s="59">
        <f t="shared" si="157"/>
        <v>3.2428116613418863</v>
      </c>
      <c r="U158" s="59">
        <f t="shared" si="157"/>
        <v>3.2428116613418863</v>
      </c>
      <c r="V158" s="59">
        <f t="shared" si="157"/>
        <v>3.2428116613418863</v>
      </c>
      <c r="W158" s="59">
        <f t="shared" si="157"/>
        <v>3.2428116613418863</v>
      </c>
      <c r="X158" s="59">
        <f t="shared" si="157"/>
        <v>3.2428116613418863</v>
      </c>
      <c r="Z158" s="61"/>
      <c r="AA158" s="61"/>
      <c r="AB158" s="61"/>
    </row>
    <row r="159" spans="2:28" s="59" customFormat="1" x14ac:dyDescent="0.2">
      <c r="C159" s="113" t="s">
        <v>38</v>
      </c>
      <c r="E159" s="59">
        <f>(E155-1.01*E156)/(2501+1.86*E156)*1000</f>
        <v>0.38649878022804823</v>
      </c>
      <c r="F159" s="59">
        <f t="shared" ref="F159:X159" si="158">(F155-1.01*F156)/(2501+1.86*F156)*1000</f>
        <v>0.38649877499418134</v>
      </c>
      <c r="G159" s="59">
        <f t="shared" si="158"/>
        <v>0.38649877891617246</v>
      </c>
      <c r="H159" s="59">
        <f t="shared" si="158"/>
        <v>0.38649878022804823</v>
      </c>
      <c r="I159" s="59">
        <f t="shared" si="158"/>
        <v>11.414578474395169</v>
      </c>
      <c r="J159" s="59">
        <f t="shared" si="158"/>
        <v>5.4953108381251266</v>
      </c>
      <c r="K159" s="59">
        <f t="shared" si="158"/>
        <v>3.089783214923373</v>
      </c>
      <c r="L159" s="59">
        <f t="shared" si="158"/>
        <v>3.7106645518499577</v>
      </c>
      <c r="M159" s="59">
        <f t="shared" si="158"/>
        <v>3.6871931731986618</v>
      </c>
      <c r="N159" s="59">
        <f t="shared" si="158"/>
        <v>3.6869590379819148</v>
      </c>
      <c r="O159" s="59">
        <f t="shared" si="158"/>
        <v>4.309172654511479</v>
      </c>
      <c r="P159" s="59">
        <f t="shared" si="158"/>
        <v>4.309172600152043</v>
      </c>
      <c r="Q159" s="59">
        <f t="shared" si="158"/>
        <v>1.0720863765283946</v>
      </c>
      <c r="R159" s="59">
        <f t="shared" si="158"/>
        <v>1.0720863765283946</v>
      </c>
      <c r="S159" s="59">
        <f t="shared" si="158"/>
        <v>1.0720863765283946</v>
      </c>
      <c r="T159" s="59">
        <f t="shared" si="158"/>
        <v>1.0720863765283946</v>
      </c>
      <c r="U159" s="59">
        <f t="shared" si="158"/>
        <v>1.0720863765283946</v>
      </c>
      <c r="V159" s="59">
        <f t="shared" si="158"/>
        <v>1.0720863765283946</v>
      </c>
      <c r="W159" s="59">
        <f t="shared" si="158"/>
        <v>1.0720863765283946</v>
      </c>
      <c r="X159" s="59">
        <f t="shared" si="158"/>
        <v>1.0720863765283946</v>
      </c>
      <c r="Z159" s="61"/>
      <c r="AA159" s="61"/>
      <c r="AB159" s="61"/>
    </row>
    <row r="160" spans="2:28" s="59" customFormat="1" x14ac:dyDescent="0.2">
      <c r="C160" s="114" t="s">
        <v>39</v>
      </c>
      <c r="E160" s="59">
        <f>E158-E159</f>
        <v>8.948173236739132E-5</v>
      </c>
      <c r="F160" s="59">
        <f t="shared" ref="F160:X160" si="159">F158-F159</f>
        <v>8.9487460466275426E-5</v>
      </c>
      <c r="G160" s="59">
        <f t="shared" si="159"/>
        <v>8.9483168123072332E-5</v>
      </c>
      <c r="H160" s="59">
        <f t="shared" si="159"/>
        <v>8.948173236739132E-5</v>
      </c>
      <c r="I160" s="59">
        <f t="shared" si="159"/>
        <v>-2.5318897007764463E-4</v>
      </c>
      <c r="J160" s="59">
        <f t="shared" si="159"/>
        <v>8.3934969399201975E-4</v>
      </c>
      <c r="K160" s="59">
        <f t="shared" si="159"/>
        <v>1.0190735693438313E-4</v>
      </c>
      <c r="L160" s="59">
        <f t="shared" si="159"/>
        <v>-2.6898376531203638E-4</v>
      </c>
      <c r="M160" s="59">
        <f t="shared" si="159"/>
        <v>-2.0686027305449883E-4</v>
      </c>
      <c r="N160" s="59">
        <f t="shared" si="159"/>
        <v>-2.0654410985176952E-4</v>
      </c>
      <c r="O160" s="59">
        <f t="shared" si="159"/>
        <v>-1.0663609931695928</v>
      </c>
      <c r="P160" s="59">
        <f t="shared" si="159"/>
        <v>-1.0663609388101567</v>
      </c>
      <c r="Q160" s="59">
        <f t="shared" si="159"/>
        <v>2.1707252848134919</v>
      </c>
      <c r="R160" s="59">
        <f t="shared" si="159"/>
        <v>2.1707252848134919</v>
      </c>
      <c r="S160" s="59">
        <f t="shared" si="159"/>
        <v>2.1707252848134919</v>
      </c>
      <c r="T160" s="59">
        <f t="shared" si="159"/>
        <v>2.1707252848134919</v>
      </c>
      <c r="U160" s="59">
        <f t="shared" si="159"/>
        <v>2.1707252848134919</v>
      </c>
      <c r="V160" s="59">
        <f t="shared" si="159"/>
        <v>2.1707252848134919</v>
      </c>
      <c r="W160" s="59">
        <f t="shared" si="159"/>
        <v>2.1707252848134919</v>
      </c>
      <c r="X160" s="59">
        <f t="shared" si="159"/>
        <v>2.1707252848134919</v>
      </c>
      <c r="Z160" s="61"/>
      <c r="AA160" s="61"/>
      <c r="AB160" s="61"/>
    </row>
    <row r="161" spans="2:28" s="59" customFormat="1" x14ac:dyDescent="0.2">
      <c r="B161" s="59" t="s">
        <v>49</v>
      </c>
      <c r="Z161" s="61"/>
      <c r="AA161" s="61"/>
      <c r="AB161" s="61"/>
    </row>
    <row r="162" spans="2:28" s="59" customFormat="1" x14ac:dyDescent="0.2">
      <c r="B162" s="59" t="s">
        <v>50</v>
      </c>
      <c r="C162" s="59">
        <v>1</v>
      </c>
      <c r="D162" s="59" t="s">
        <v>2</v>
      </c>
      <c r="E162" s="59">
        <f>IF(E$14="",E$152,-1)</f>
        <v>8.3203757830561539E-2</v>
      </c>
      <c r="Z162" s="61"/>
      <c r="AA162" s="61"/>
      <c r="AB162" s="61"/>
    </row>
    <row r="163" spans="2:28" s="59" customFormat="1" x14ac:dyDescent="0.2">
      <c r="D163" s="59" t="s">
        <v>8</v>
      </c>
      <c r="E163" s="59">
        <f>IF(E$14="",E$153,0)</f>
        <v>-25.003830668058537</v>
      </c>
      <c r="Z163" s="61"/>
      <c r="AA163" s="61"/>
      <c r="AB163" s="61"/>
    </row>
    <row r="164" spans="2:28" s="59" customFormat="1" x14ac:dyDescent="0.2">
      <c r="C164" s="59">
        <f>C162+1</f>
        <v>2</v>
      </c>
      <c r="D164" s="59" t="s">
        <v>2</v>
      </c>
      <c r="E164" s="59">
        <f>IF(F$28&lt;&gt;0,E$152,F164)</f>
        <v>8.3203757830561539E-2</v>
      </c>
      <c r="F164" s="59">
        <f>IF(F$14="",F$152,-1)</f>
        <v>8.3203757830561539E-2</v>
      </c>
      <c r="Z164" s="61"/>
      <c r="AA164" s="61"/>
      <c r="AB164" s="61"/>
    </row>
    <row r="165" spans="2:28" s="59" customFormat="1" x14ac:dyDescent="0.2">
      <c r="D165" s="59" t="s">
        <v>8</v>
      </c>
      <c r="E165" s="59">
        <f>IF(F$28&lt;&gt;0,E$153,F165)</f>
        <v>-25.003830668058537</v>
      </c>
      <c r="F165" s="59">
        <f>IF(F$14="",F$153,0)</f>
        <v>-25.003830668058537</v>
      </c>
      <c r="Z165" s="61"/>
      <c r="AA165" s="61"/>
      <c r="AB165" s="61"/>
    </row>
    <row r="166" spans="2:28" s="59" customFormat="1" x14ac:dyDescent="0.2">
      <c r="C166" s="59">
        <f>C164+1</f>
        <v>3</v>
      </c>
      <c r="D166" s="59" t="s">
        <v>2</v>
      </c>
      <c r="F166" s="59">
        <f>IF(G$28&lt;&gt;0,F$152,G166)</f>
        <v>8.3203757830561539E-2</v>
      </c>
      <c r="G166" s="59">
        <f>IF(G$14="",G$152,-1)</f>
        <v>8.3203757830561539E-2</v>
      </c>
      <c r="H166" s="59">
        <f>IF(G$28=5,E$152,G166)</f>
        <v>8.3203757830561539E-2</v>
      </c>
      <c r="Z166" s="61"/>
      <c r="AA166" s="61"/>
      <c r="AB166" s="61"/>
    </row>
    <row r="167" spans="2:28" s="59" customFormat="1" x14ac:dyDescent="0.2">
      <c r="D167" s="59" t="s">
        <v>8</v>
      </c>
      <c r="F167" s="59">
        <f>IF(G$28&lt;&gt;0,F$153,G167)</f>
        <v>-25.003830668058537</v>
      </c>
      <c r="G167" s="59">
        <f>IF(G$14="",G$153,0)</f>
        <v>-25.003830668058537</v>
      </c>
      <c r="H167" s="59">
        <f>IF(G$28=5,E$153,G167)</f>
        <v>-25.003830668058537</v>
      </c>
      <c r="Z167" s="61"/>
      <c r="AA167" s="61"/>
      <c r="AB167" s="61"/>
    </row>
    <row r="168" spans="2:28" s="59" customFormat="1" x14ac:dyDescent="0.2">
      <c r="C168" s="59">
        <f>C166+1</f>
        <v>4</v>
      </c>
      <c r="D168" s="59" t="s">
        <v>2</v>
      </c>
      <c r="G168" s="59">
        <f>IF(H$28&lt;&gt;0,G$152,H168)</f>
        <v>8.3203757830561539E-2</v>
      </c>
      <c r="H168" s="59">
        <f>IF(H$14="",H$152,-1)</f>
        <v>8.3203757830561539E-2</v>
      </c>
      <c r="I168" s="59">
        <f>IF(H$28=5,F$152,H168)</f>
        <v>8.3203757830561539E-2</v>
      </c>
      <c r="Z168" s="61"/>
      <c r="AA168" s="61"/>
      <c r="AB168" s="61"/>
    </row>
    <row r="169" spans="2:28" s="59" customFormat="1" x14ac:dyDescent="0.2">
      <c r="D169" s="59" t="s">
        <v>8</v>
      </c>
      <c r="G169" s="59">
        <f>IF(H$28&lt;&gt;0,G$153,H169)</f>
        <v>-25.003830668058537</v>
      </c>
      <c r="H169" s="59">
        <f>IF(H$14="",H$153,0)</f>
        <v>-25.003830668058537</v>
      </c>
      <c r="I169" s="59">
        <f>IF(H$28=5,F$153,H169)</f>
        <v>-25.003830668058537</v>
      </c>
      <c r="Z169" s="61"/>
      <c r="AA169" s="61"/>
      <c r="AB169" s="61"/>
    </row>
    <row r="170" spans="2:28" s="59" customFormat="1" x14ac:dyDescent="0.2">
      <c r="C170" s="59">
        <f>C168+1</f>
        <v>5</v>
      </c>
      <c r="D170" s="59" t="s">
        <v>2</v>
      </c>
      <c r="H170" s="59">
        <f>IF(I$28&lt;&gt;0,H$152,I170)</f>
        <v>9.3757233081908904</v>
      </c>
      <c r="I170" s="59">
        <f>IF(I$14="",I$152,-1)</f>
        <v>9.3757233081908904</v>
      </c>
      <c r="J170" s="59">
        <f>IF(I$28=5,G$152,I170)</f>
        <v>9.3757233081908904</v>
      </c>
      <c r="Z170" s="61"/>
      <c r="AA170" s="61"/>
      <c r="AB170" s="61"/>
    </row>
    <row r="171" spans="2:28" s="59" customFormat="1" x14ac:dyDescent="0.2">
      <c r="D171" s="59" t="s">
        <v>8</v>
      </c>
      <c r="H171" s="59">
        <f>IF(I$28&lt;&gt;0,H$153,I171)</f>
        <v>20.345323670361086</v>
      </c>
      <c r="I171" s="59">
        <f>IF(I$14="",I$153,0)</f>
        <v>20.345323670361086</v>
      </c>
      <c r="J171" s="59">
        <f>IF(I$28=5,G$153,I171)</f>
        <v>20.345323670361086</v>
      </c>
      <c r="Z171" s="61"/>
      <c r="AA171" s="61"/>
      <c r="AB171" s="61"/>
    </row>
    <row r="172" spans="2:28" s="59" customFormat="1" x14ac:dyDescent="0.2">
      <c r="C172" s="59">
        <f>C170+1</f>
        <v>6</v>
      </c>
      <c r="D172" s="59" t="s">
        <v>2</v>
      </c>
      <c r="I172" s="59">
        <f>IF(J$28&lt;&gt;0,I$152,J172)</f>
        <v>9.3757233081908904</v>
      </c>
      <c r="J172" s="59">
        <f>IF(J$14="",J$152,-1)</f>
        <v>5.4957390094007232</v>
      </c>
      <c r="K172" s="59">
        <f>IF(J$28=5,H$152,J172)</f>
        <v>8.3203757830561539E-2</v>
      </c>
      <c r="Z172" s="61"/>
      <c r="AA172" s="61"/>
      <c r="AB172" s="61"/>
    </row>
    <row r="173" spans="2:28" s="59" customFormat="1" x14ac:dyDescent="0.2">
      <c r="D173" s="59" t="s">
        <v>8</v>
      </c>
      <c r="I173" s="59">
        <f>IF(J$28&lt;&gt;0,I$153,J173)</f>
        <v>20.345323670361086</v>
      </c>
      <c r="J173" s="59">
        <f>IF(J$14="",J$153,0)</f>
        <v>4.3203077551807594</v>
      </c>
      <c r="K173" s="59">
        <f>IF(J$28=5,H$153,J173)</f>
        <v>-25.003830668058537</v>
      </c>
      <c r="Z173" s="61"/>
      <c r="AA173" s="61"/>
      <c r="AB173" s="61"/>
    </row>
    <row r="174" spans="2:28" s="59" customFormat="1" x14ac:dyDescent="0.2">
      <c r="C174" s="59">
        <f>C172+1</f>
        <v>7</v>
      </c>
      <c r="D174" s="59" t="s">
        <v>2</v>
      </c>
      <c r="J174" s="59">
        <f>IF(K$28&lt;&gt;0,J$152,K174)</f>
        <v>5.4480985171597482E-2</v>
      </c>
      <c r="K174" s="59">
        <f>IF(K$14="",K$152,-1)</f>
        <v>5.4480985171597482E-2</v>
      </c>
      <c r="L174" s="59">
        <f>IF(K$28=5,I$152,K174)</f>
        <v>5.4480985171597482E-2</v>
      </c>
      <c r="Z174" s="61"/>
      <c r="AA174" s="61"/>
      <c r="AB174" s="61"/>
    </row>
    <row r="175" spans="2:28" s="59" customFormat="1" x14ac:dyDescent="0.2">
      <c r="D175" s="59" t="s">
        <v>8</v>
      </c>
      <c r="J175" s="59">
        <f>IF(K$28&lt;&gt;0,J$153,K175)</f>
        <v>4.277449722330025</v>
      </c>
      <c r="K175" s="59">
        <f>IF(K$14="",K$153,0)</f>
        <v>4.277449722330025</v>
      </c>
      <c r="L175" s="59">
        <f>IF(K$28=5,I$153,K175)</f>
        <v>4.277449722330025</v>
      </c>
      <c r="Z175" s="61"/>
      <c r="AA175" s="61"/>
      <c r="AB175" s="61"/>
    </row>
    <row r="176" spans="2:28" s="59" customFormat="1" x14ac:dyDescent="0.2">
      <c r="C176" s="59">
        <f>C174+1</f>
        <v>8</v>
      </c>
      <c r="D176" s="59" t="s">
        <v>2</v>
      </c>
      <c r="K176" s="59">
        <f>IF(L$28&lt;&gt;0,K$152,L176)</f>
        <v>5.4480985171597482E-2</v>
      </c>
      <c r="L176" s="59">
        <f>IF(L$14="",L$152,-1)</f>
        <v>5.4480985171597482E-2</v>
      </c>
      <c r="M176" s="59">
        <f>IF(L$28=5,J$152,L176)</f>
        <v>5.4480985171597482E-2</v>
      </c>
      <c r="Z176" s="61"/>
      <c r="AA176" s="61"/>
      <c r="AB176" s="61"/>
    </row>
    <row r="177" spans="2:28" s="59" customFormat="1" x14ac:dyDescent="0.2">
      <c r="D177" s="59" t="s">
        <v>8</v>
      </c>
      <c r="K177" s="59">
        <f>IF(L$28&lt;&gt;0,K$153,L177)</f>
        <v>4.277449722330025</v>
      </c>
      <c r="L177" s="59">
        <f>IF(L$14="",L$153,0)</f>
        <v>8.0008026505538137</v>
      </c>
      <c r="M177" s="59">
        <f>IF(L$28=5,J$153,L177)</f>
        <v>8.0008026505538137</v>
      </c>
      <c r="Z177" s="61"/>
      <c r="AA177" s="61"/>
      <c r="AB177" s="61"/>
    </row>
    <row r="178" spans="2:28" s="59" customFormat="1" x14ac:dyDescent="0.2">
      <c r="C178" s="59">
        <f>C176+1</f>
        <v>9</v>
      </c>
      <c r="D178" s="59" t="s">
        <v>2</v>
      </c>
      <c r="L178" s="59">
        <f>IF(M$28&lt;&gt;0,L$152,M178)</f>
        <v>5.4476262829484417E-4</v>
      </c>
      <c r="M178" s="59">
        <f>IF(M$14="",M$152,-1)</f>
        <v>5.4476262829484417E-4</v>
      </c>
      <c r="N178" s="59">
        <f>IF(M$28=5,K$152,M178)</f>
        <v>5.4476262829484417E-4</v>
      </c>
      <c r="O178" s="59">
        <f>IF(N$28=5,L$152,N178)</f>
        <v>5.4476262829484417E-4</v>
      </c>
      <c r="P178" s="59">
        <f>IF(O$28=5,M$152,O178)</f>
        <v>5.4476262829484417E-4</v>
      </c>
      <c r="Q178" s="59">
        <f>IF(P$28=5,N$152,P178)</f>
        <v>5.4476262829484417E-4</v>
      </c>
      <c r="R178" s="59">
        <f t="shared" ref="R178:X178" si="160">IF(Q$28=5,O$152,Q178)</f>
        <v>5.4476262829484417E-4</v>
      </c>
      <c r="S178" s="59">
        <f t="shared" si="160"/>
        <v>5.4476262829484417E-4</v>
      </c>
      <c r="T178" s="59">
        <f t="shared" si="160"/>
        <v>5.4476262829484417E-4</v>
      </c>
      <c r="U178" s="59">
        <f t="shared" si="160"/>
        <v>5.4476262829484417E-4</v>
      </c>
      <c r="V178" s="59">
        <f t="shared" si="160"/>
        <v>5.4476262829484417E-4</v>
      </c>
      <c r="W178" s="59">
        <f t="shared" si="160"/>
        <v>5.4476262829484417E-4</v>
      </c>
      <c r="X178" s="59">
        <f t="shared" si="160"/>
        <v>5.4476262829484417E-4</v>
      </c>
      <c r="Z178" s="61"/>
      <c r="AA178" s="61"/>
      <c r="AB178" s="61"/>
    </row>
    <row r="179" spans="2:28" s="59" customFormat="1" x14ac:dyDescent="0.2">
      <c r="D179" s="59" t="s">
        <v>8</v>
      </c>
      <c r="L179" s="59">
        <f>IF(M$28&lt;&gt;0,L$153,M179)</f>
        <v>8.0000080258098105</v>
      </c>
      <c r="M179" s="59">
        <f>IF(M$14="",M$153,0)</f>
        <v>8.0000080258098105</v>
      </c>
      <c r="N179" s="59">
        <f>IF(M$28=5,K$153,M179)</f>
        <v>8.0000080258098105</v>
      </c>
      <c r="O179" s="59">
        <f>IF(N$28=5,L$153,N179)</f>
        <v>8.0000080258098105</v>
      </c>
      <c r="P179" s="59">
        <f>IF(O$28=5,M$153,O179)</f>
        <v>8.0000080258098105</v>
      </c>
      <c r="Q179" s="59">
        <f>IF(P$28=5,N$153,P179)</f>
        <v>8.0000080258098105</v>
      </c>
      <c r="R179" s="59">
        <f t="shared" ref="R179:X179" si="161">IF(Q$28=5,O$153,Q179)</f>
        <v>8.0000080258098105</v>
      </c>
      <c r="S179" s="59">
        <f t="shared" si="161"/>
        <v>8.0000080258098105</v>
      </c>
      <c r="T179" s="59">
        <f t="shared" si="161"/>
        <v>8.0000080258098105</v>
      </c>
      <c r="U179" s="59">
        <f t="shared" si="161"/>
        <v>8.0000080258098105</v>
      </c>
      <c r="V179" s="59">
        <f t="shared" si="161"/>
        <v>8.0000080258098105</v>
      </c>
      <c r="W179" s="59">
        <f t="shared" si="161"/>
        <v>8.0000080258098105</v>
      </c>
      <c r="X179" s="59">
        <f t="shared" si="161"/>
        <v>8.0000080258098105</v>
      </c>
      <c r="Z179" s="61"/>
      <c r="AA179" s="61"/>
      <c r="AB179" s="61"/>
    </row>
    <row r="180" spans="2:28" s="59" customFormat="1" x14ac:dyDescent="0.2">
      <c r="C180" s="59">
        <f>C178+1</f>
        <v>10</v>
      </c>
      <c r="D180" s="59" t="s">
        <v>2</v>
      </c>
      <c r="M180" s="59">
        <f>IF(N$28&lt;&gt;0,M$152,N180)</f>
        <v>5.4476215610197468E-6</v>
      </c>
      <c r="N180" s="59">
        <f>IF(N$14="",N$152,-1)</f>
        <v>5.4476215610197468E-6</v>
      </c>
      <c r="O180" s="59">
        <f t="shared" ref="O180:X180" si="162">IF(O$14="",O$152,-1)</f>
        <v>5.4476215138005003E-8</v>
      </c>
      <c r="P180" s="59">
        <f t="shared" si="162"/>
        <v>5.447621513328308E-10</v>
      </c>
      <c r="Q180" s="59">
        <f t="shared" si="162"/>
        <v>-1</v>
      </c>
      <c r="R180" s="59">
        <f t="shared" si="162"/>
        <v>-1</v>
      </c>
      <c r="S180" s="59">
        <f t="shared" si="162"/>
        <v>-1</v>
      </c>
      <c r="T180" s="59">
        <f t="shared" si="162"/>
        <v>-1</v>
      </c>
      <c r="U180" s="59">
        <f t="shared" si="162"/>
        <v>-1</v>
      </c>
      <c r="V180" s="59">
        <f t="shared" si="162"/>
        <v>-1</v>
      </c>
      <c r="W180" s="59">
        <f t="shared" si="162"/>
        <v>-1</v>
      </c>
      <c r="X180" s="59">
        <f t="shared" si="162"/>
        <v>-1</v>
      </c>
      <c r="Z180" s="61"/>
      <c r="AA180" s="61"/>
      <c r="AB180" s="61"/>
    </row>
    <row r="181" spans="2:28" s="59" customFormat="1" x14ac:dyDescent="0.2">
      <c r="D181" s="59" t="s">
        <v>8</v>
      </c>
      <c r="M181" s="59">
        <f>IF(N$28&lt;&gt;0,M$153,N181)</f>
        <v>8.0000000802580278</v>
      </c>
      <c r="N181" s="59">
        <f>IF(N$14="",N$153,0)</f>
        <v>8.0000000802580278</v>
      </c>
      <c r="O181" s="59">
        <f t="shared" ref="O181:X181" si="163">IF(O$14="",O$153,0)</f>
        <v>8.0000000008025811</v>
      </c>
      <c r="P181" s="59">
        <f t="shared" si="163"/>
        <v>8.0000000000080274</v>
      </c>
      <c r="Q181" s="59">
        <f t="shared" si="163"/>
        <v>0</v>
      </c>
      <c r="R181" s="59">
        <f t="shared" si="163"/>
        <v>0</v>
      </c>
      <c r="S181" s="59">
        <f t="shared" si="163"/>
        <v>0</v>
      </c>
      <c r="T181" s="59">
        <f t="shared" si="163"/>
        <v>0</v>
      </c>
      <c r="U181" s="59">
        <f t="shared" si="163"/>
        <v>0</v>
      </c>
      <c r="V181" s="59">
        <f t="shared" si="163"/>
        <v>0</v>
      </c>
      <c r="W181" s="59">
        <f t="shared" si="163"/>
        <v>0</v>
      </c>
      <c r="X181" s="59">
        <f t="shared" si="163"/>
        <v>0</v>
      </c>
      <c r="Z181" s="61"/>
      <c r="AA181" s="61"/>
      <c r="AB181" s="61"/>
    </row>
    <row r="182" spans="2:28" s="59" customFormat="1" x14ac:dyDescent="0.2">
      <c r="B182" s="59" t="s">
        <v>107</v>
      </c>
      <c r="Z182" s="61"/>
      <c r="AA182" s="61"/>
      <c r="AB182" s="61"/>
    </row>
    <row r="183" spans="2:28" s="59" customFormat="1" x14ac:dyDescent="0.2">
      <c r="Z183" s="61"/>
      <c r="AA183" s="61"/>
    </row>
    <row r="184" spans="2:28" s="59" customFormat="1" x14ac:dyDescent="0.2">
      <c r="Z184" s="61"/>
      <c r="AA184" s="61"/>
    </row>
    <row r="185" spans="2:28" s="59" customFormat="1" x14ac:dyDescent="0.2">
      <c r="Z185" s="61"/>
      <c r="AA185" s="61"/>
    </row>
    <row r="186" spans="2:28" s="59" customFormat="1" x14ac:dyDescent="0.2">
      <c r="Z186" s="61"/>
      <c r="AA186" s="61"/>
    </row>
    <row r="187" spans="2:28" s="59" customFormat="1" x14ac:dyDescent="0.2">
      <c r="Z187" s="61"/>
      <c r="AA187" s="61"/>
    </row>
    <row r="188" spans="2:28" s="59" customFormat="1" x14ac:dyDescent="0.2">
      <c r="Z188" s="61"/>
      <c r="AA188" s="61"/>
    </row>
    <row r="189" spans="2:28" s="59" customFormat="1" x14ac:dyDescent="0.2">
      <c r="Z189" s="61"/>
      <c r="AA189" s="61"/>
    </row>
    <row r="190" spans="2:28" s="59" customFormat="1" x14ac:dyDescent="0.2">
      <c r="Z190" s="61"/>
      <c r="AA190" s="61"/>
    </row>
    <row r="191" spans="2:28" s="59" customFormat="1" x14ac:dyDescent="0.2">
      <c r="Z191" s="61"/>
      <c r="AA191" s="61"/>
    </row>
    <row r="192" spans="2:28" s="59" customFormat="1" x14ac:dyDescent="0.2">
      <c r="Z192" s="61"/>
      <c r="AA192" s="61"/>
    </row>
    <row r="193" spans="26:27" s="59" customFormat="1" x14ac:dyDescent="0.2">
      <c r="Z193" s="61"/>
      <c r="AA193" s="61"/>
    </row>
    <row r="194" spans="26:27" s="59" customFormat="1" x14ac:dyDescent="0.2">
      <c r="Z194" s="61"/>
      <c r="AA194" s="61"/>
    </row>
    <row r="195" spans="26:27" s="59" customFormat="1" x14ac:dyDescent="0.2">
      <c r="Z195" s="61"/>
      <c r="AA195" s="61"/>
    </row>
    <row r="196" spans="26:27" s="59" customFormat="1" x14ac:dyDescent="0.2">
      <c r="Z196" s="61"/>
      <c r="AA196" s="61"/>
    </row>
    <row r="197" spans="26:27" s="59" customFormat="1" x14ac:dyDescent="0.2">
      <c r="Z197" s="61"/>
      <c r="AA197" s="61"/>
    </row>
    <row r="198" spans="26:27" s="59" customFormat="1" x14ac:dyDescent="0.2">
      <c r="Z198" s="61"/>
      <c r="AA198" s="61"/>
    </row>
    <row r="199" spans="26:27" s="59" customFormat="1" x14ac:dyDescent="0.2">
      <c r="Z199" s="61"/>
      <c r="AA199" s="61"/>
    </row>
    <row r="200" spans="26:27" s="59" customFormat="1" x14ac:dyDescent="0.2">
      <c r="Z200" s="61"/>
      <c r="AA200" s="61"/>
    </row>
    <row r="201" spans="26:27" s="59" customFormat="1" x14ac:dyDescent="0.2">
      <c r="Z201" s="61"/>
      <c r="AA201" s="61"/>
    </row>
    <row r="202" spans="26:27" s="59" customFormat="1" x14ac:dyDescent="0.2">
      <c r="Z202" s="61"/>
      <c r="AA202" s="61"/>
    </row>
    <row r="203" spans="26:27" s="59" customFormat="1" x14ac:dyDescent="0.2">
      <c r="Z203" s="61"/>
      <c r="AA203" s="61"/>
    </row>
    <row r="204" spans="26:27" s="59" customFormat="1" x14ac:dyDescent="0.2">
      <c r="Z204" s="61"/>
      <c r="AA204" s="61"/>
    </row>
    <row r="205" spans="26:27" s="59" customFormat="1" x14ac:dyDescent="0.2">
      <c r="Z205" s="61"/>
      <c r="AA205" s="61"/>
    </row>
    <row r="206" spans="26:27" s="59" customFormat="1" x14ac:dyDescent="0.2">
      <c r="Z206" s="61"/>
      <c r="AA206" s="61"/>
    </row>
    <row r="207" spans="26:27" s="59" customFormat="1" x14ac:dyDescent="0.2">
      <c r="Z207" s="61"/>
      <c r="AA207" s="61"/>
    </row>
    <row r="208" spans="26:27" s="59" customFormat="1" x14ac:dyDescent="0.2">
      <c r="Z208" s="61"/>
      <c r="AA208" s="61"/>
    </row>
    <row r="209" spans="26:27" s="59" customFormat="1" x14ac:dyDescent="0.2">
      <c r="Z209" s="61"/>
      <c r="AA209" s="61"/>
    </row>
    <row r="210" spans="26:27" s="59" customFormat="1" x14ac:dyDescent="0.2">
      <c r="Z210" s="61"/>
      <c r="AA210" s="61"/>
    </row>
    <row r="211" spans="26:27" s="59" customFormat="1" x14ac:dyDescent="0.2">
      <c r="Z211" s="61"/>
      <c r="AA211" s="61"/>
    </row>
    <row r="212" spans="26:27" s="59" customFormat="1" x14ac:dyDescent="0.2">
      <c r="Z212" s="61"/>
      <c r="AA212" s="61"/>
    </row>
    <row r="213" spans="26:27" s="59" customFormat="1" x14ac:dyDescent="0.2">
      <c r="Z213" s="61"/>
      <c r="AA213" s="61"/>
    </row>
    <row r="214" spans="26:27" s="59" customFormat="1" x14ac:dyDescent="0.2">
      <c r="Z214" s="61"/>
      <c r="AA214" s="61"/>
    </row>
    <row r="215" spans="26:27" s="59" customFormat="1" x14ac:dyDescent="0.2">
      <c r="Z215" s="61"/>
      <c r="AA215" s="61"/>
    </row>
    <row r="216" spans="26:27" s="59" customFormat="1" x14ac:dyDescent="0.2">
      <c r="Z216" s="61"/>
      <c r="AA216" s="61"/>
    </row>
    <row r="217" spans="26:27" s="59" customFormat="1" x14ac:dyDescent="0.2">
      <c r="Z217" s="61"/>
      <c r="AA217" s="61"/>
    </row>
    <row r="218" spans="26:27" s="59" customFormat="1" x14ac:dyDescent="0.2">
      <c r="Z218" s="61"/>
      <c r="AA218" s="61"/>
    </row>
    <row r="219" spans="26:27" s="59" customFormat="1" x14ac:dyDescent="0.2">
      <c r="Z219" s="61"/>
      <c r="AA219" s="61"/>
    </row>
    <row r="220" spans="26:27" s="59" customFormat="1" x14ac:dyDescent="0.2">
      <c r="Z220" s="61"/>
      <c r="AA220" s="61"/>
    </row>
    <row r="221" spans="26:27" s="59" customFormat="1" x14ac:dyDescent="0.2">
      <c r="Z221" s="61"/>
      <c r="AA221" s="61"/>
    </row>
    <row r="222" spans="26:27" s="59" customFormat="1" x14ac:dyDescent="0.2">
      <c r="Z222" s="61"/>
      <c r="AA222" s="61"/>
    </row>
    <row r="223" spans="26:27" s="59" customFormat="1" x14ac:dyDescent="0.2">
      <c r="Z223" s="61"/>
      <c r="AA223" s="61"/>
    </row>
    <row r="224" spans="26:27" s="59" customFormat="1" x14ac:dyDescent="0.2">
      <c r="Z224" s="61"/>
      <c r="AA224" s="61"/>
    </row>
    <row r="225" spans="26:34" s="59" customFormat="1" x14ac:dyDescent="0.2">
      <c r="Z225" s="61"/>
      <c r="AA225" s="61"/>
    </row>
    <row r="226" spans="26:34" s="59" customFormat="1" x14ac:dyDescent="0.2">
      <c r="Z226" s="61"/>
      <c r="AA226" s="61"/>
    </row>
    <row r="227" spans="26:34" s="59" customFormat="1" x14ac:dyDescent="0.2">
      <c r="Z227" s="61"/>
      <c r="AA227" s="61"/>
    </row>
    <row r="228" spans="26:34" s="59" customFormat="1" x14ac:dyDescent="0.2">
      <c r="Z228" s="61"/>
      <c r="AA228" s="61"/>
    </row>
    <row r="229" spans="26:34" s="59" customFormat="1" x14ac:dyDescent="0.2">
      <c r="Z229" s="61"/>
      <c r="AA229" s="61"/>
    </row>
    <row r="230" spans="26:34" s="59" customFormat="1" x14ac:dyDescent="0.2">
      <c r="Z230" s="61"/>
      <c r="AA230" s="61"/>
    </row>
    <row r="231" spans="26:34" s="59" customFormat="1" x14ac:dyDescent="0.2">
      <c r="Z231" s="61"/>
      <c r="AA231" s="61"/>
    </row>
    <row r="232" spans="26:34" s="51" customFormat="1" x14ac:dyDescent="0.2">
      <c r="Z232" s="61"/>
      <c r="AA232" s="61"/>
      <c r="AB232" s="59"/>
      <c r="AC232" s="59"/>
      <c r="AD232" s="59"/>
      <c r="AE232" s="59"/>
      <c r="AF232" s="59"/>
      <c r="AG232" s="59"/>
      <c r="AH232" s="59"/>
    </row>
    <row r="233" spans="26:34" s="51" customFormat="1" x14ac:dyDescent="0.2">
      <c r="Z233" s="61"/>
      <c r="AA233" s="61"/>
      <c r="AB233" s="59"/>
      <c r="AC233" s="59"/>
      <c r="AD233" s="59"/>
      <c r="AE233" s="59"/>
      <c r="AF233" s="59"/>
      <c r="AG233" s="59"/>
      <c r="AH233" s="59"/>
    </row>
    <row r="234" spans="26:34" s="51" customFormat="1" x14ac:dyDescent="0.2">
      <c r="Z234" s="61"/>
      <c r="AA234" s="61"/>
      <c r="AB234" s="59"/>
      <c r="AC234" s="59"/>
      <c r="AD234" s="59"/>
      <c r="AE234" s="59"/>
      <c r="AF234" s="59"/>
      <c r="AG234" s="59"/>
      <c r="AH234" s="59"/>
    </row>
    <row r="235" spans="26:34" s="51" customFormat="1" x14ac:dyDescent="0.2">
      <c r="Z235" s="61"/>
      <c r="AA235" s="61"/>
      <c r="AB235" s="59"/>
      <c r="AC235" s="59"/>
      <c r="AD235" s="59"/>
      <c r="AE235" s="59"/>
      <c r="AF235" s="59"/>
      <c r="AG235" s="59"/>
      <c r="AH235" s="59"/>
    </row>
    <row r="236" spans="26:34" s="51" customFormat="1" x14ac:dyDescent="0.2">
      <c r="Z236" s="61"/>
      <c r="AA236" s="61"/>
      <c r="AB236" s="59"/>
      <c r="AC236" s="59"/>
      <c r="AD236" s="59"/>
      <c r="AE236" s="59"/>
      <c r="AF236" s="59"/>
      <c r="AG236" s="59"/>
      <c r="AH236" s="59"/>
    </row>
    <row r="237" spans="26:34" s="51" customFormat="1" x14ac:dyDescent="0.2">
      <c r="Z237" s="61"/>
      <c r="AA237" s="61"/>
      <c r="AB237" s="59"/>
      <c r="AC237" s="59"/>
      <c r="AD237" s="59"/>
      <c r="AE237" s="59"/>
      <c r="AF237" s="59"/>
      <c r="AG237" s="59"/>
      <c r="AH237" s="59"/>
    </row>
    <row r="238" spans="26:34" s="51" customFormat="1" x14ac:dyDescent="0.2">
      <c r="Z238" s="61"/>
      <c r="AA238" s="61"/>
      <c r="AB238" s="59"/>
      <c r="AC238" s="59"/>
      <c r="AD238" s="59"/>
      <c r="AE238" s="59"/>
      <c r="AF238" s="59"/>
      <c r="AG238" s="59"/>
      <c r="AH238" s="59"/>
    </row>
    <row r="239" spans="26:34" s="51" customFormat="1" x14ac:dyDescent="0.2">
      <c r="Z239" s="61"/>
      <c r="AA239" s="61"/>
      <c r="AB239" s="59"/>
      <c r="AC239" s="59"/>
      <c r="AD239" s="59"/>
      <c r="AE239" s="59"/>
      <c r="AF239" s="59"/>
      <c r="AG239" s="59"/>
      <c r="AH239" s="59"/>
    </row>
    <row r="240" spans="26:34" s="51" customFormat="1" x14ac:dyDescent="0.2">
      <c r="Z240" s="61"/>
      <c r="AA240" s="61"/>
      <c r="AB240" s="59"/>
      <c r="AC240" s="59"/>
      <c r="AD240" s="59"/>
      <c r="AE240" s="59"/>
      <c r="AF240" s="59"/>
      <c r="AG240" s="59"/>
      <c r="AH240" s="59"/>
    </row>
    <row r="241" spans="26:34" s="51" customFormat="1" x14ac:dyDescent="0.2">
      <c r="Z241" s="61"/>
      <c r="AA241" s="61"/>
      <c r="AB241" s="59"/>
      <c r="AC241" s="59"/>
      <c r="AD241" s="59"/>
      <c r="AE241" s="59"/>
      <c r="AF241" s="59"/>
      <c r="AG241" s="59"/>
      <c r="AH241" s="59"/>
    </row>
    <row r="242" spans="26:34" s="51" customFormat="1" x14ac:dyDescent="0.2">
      <c r="Z242" s="61"/>
      <c r="AA242" s="61"/>
      <c r="AB242" s="59"/>
      <c r="AC242" s="59"/>
      <c r="AD242" s="59"/>
      <c r="AE242" s="59"/>
      <c r="AF242" s="59"/>
      <c r="AG242" s="59"/>
      <c r="AH242" s="59"/>
    </row>
    <row r="243" spans="26:34" s="51" customFormat="1" x14ac:dyDescent="0.2">
      <c r="Z243" s="61"/>
      <c r="AA243" s="61"/>
      <c r="AB243" s="59"/>
      <c r="AC243" s="59"/>
      <c r="AD243" s="59"/>
      <c r="AE243" s="59"/>
      <c r="AF243" s="59"/>
      <c r="AG243" s="59"/>
      <c r="AH243" s="59"/>
    </row>
    <row r="244" spans="26:34" s="51" customFormat="1" x14ac:dyDescent="0.2">
      <c r="Z244" s="61"/>
      <c r="AA244" s="61"/>
      <c r="AB244" s="59"/>
      <c r="AC244" s="59"/>
      <c r="AD244" s="59"/>
      <c r="AE244" s="59"/>
      <c r="AF244" s="59"/>
      <c r="AG244" s="59"/>
      <c r="AH244" s="59"/>
    </row>
    <row r="245" spans="26:34" s="51" customFormat="1" x14ac:dyDescent="0.2">
      <c r="Z245" s="61"/>
      <c r="AA245" s="61"/>
      <c r="AB245" s="59"/>
      <c r="AC245" s="59"/>
      <c r="AD245" s="59"/>
      <c r="AE245" s="59"/>
      <c r="AF245" s="59"/>
      <c r="AG245" s="59"/>
      <c r="AH245" s="59"/>
    </row>
    <row r="246" spans="26:34" s="51" customFormat="1" x14ac:dyDescent="0.2">
      <c r="Z246" s="61"/>
      <c r="AA246" s="61"/>
      <c r="AB246" s="59"/>
      <c r="AC246" s="59"/>
      <c r="AD246" s="59"/>
      <c r="AE246" s="59"/>
      <c r="AF246" s="59"/>
      <c r="AG246" s="59"/>
      <c r="AH246" s="59"/>
    </row>
    <row r="247" spans="26:34" s="51" customFormat="1" x14ac:dyDescent="0.2">
      <c r="Z247" s="61"/>
      <c r="AA247" s="61"/>
      <c r="AB247" s="59"/>
      <c r="AC247" s="59"/>
      <c r="AD247" s="59"/>
      <c r="AE247" s="59"/>
      <c r="AF247" s="59"/>
      <c r="AG247" s="59"/>
      <c r="AH247" s="59"/>
    </row>
    <row r="248" spans="26:34" s="51" customFormat="1" x14ac:dyDescent="0.2">
      <c r="Z248" s="61"/>
      <c r="AA248" s="61"/>
      <c r="AB248" s="59"/>
      <c r="AC248" s="59"/>
      <c r="AD248" s="59"/>
      <c r="AE248" s="59"/>
      <c r="AF248" s="59"/>
      <c r="AG248" s="59"/>
      <c r="AH248" s="59"/>
    </row>
    <row r="249" spans="26:34" s="51" customFormat="1" x14ac:dyDescent="0.2">
      <c r="Z249" s="61"/>
      <c r="AA249" s="61"/>
      <c r="AB249" s="59"/>
      <c r="AC249" s="59"/>
      <c r="AD249" s="59"/>
      <c r="AE249" s="59"/>
      <c r="AF249" s="59"/>
      <c r="AG249" s="59"/>
      <c r="AH249" s="59"/>
    </row>
    <row r="250" spans="26:34" s="51" customFormat="1" x14ac:dyDescent="0.2">
      <c r="Z250" s="61"/>
      <c r="AA250" s="61"/>
      <c r="AB250" s="59"/>
      <c r="AC250" s="59"/>
      <c r="AD250" s="59"/>
      <c r="AE250" s="59"/>
      <c r="AF250" s="59"/>
      <c r="AG250" s="59"/>
      <c r="AH250" s="59"/>
    </row>
    <row r="251" spans="26:34" s="51" customFormat="1" x14ac:dyDescent="0.2">
      <c r="Z251" s="61"/>
      <c r="AA251" s="61"/>
      <c r="AB251" s="59"/>
      <c r="AC251" s="59"/>
      <c r="AD251" s="59"/>
      <c r="AE251" s="59"/>
      <c r="AF251" s="59"/>
      <c r="AG251" s="59"/>
      <c r="AH251" s="59"/>
    </row>
    <row r="252" spans="26:34" s="51" customFormat="1" x14ac:dyDescent="0.2">
      <c r="Z252" s="61"/>
      <c r="AA252" s="61"/>
      <c r="AB252" s="59"/>
      <c r="AC252" s="59"/>
      <c r="AD252" s="59"/>
      <c r="AE252" s="59"/>
      <c r="AF252" s="59"/>
      <c r="AG252" s="59"/>
      <c r="AH252" s="59"/>
    </row>
    <row r="253" spans="26:34" s="51" customFormat="1" x14ac:dyDescent="0.2">
      <c r="Z253" s="61"/>
      <c r="AA253" s="61"/>
      <c r="AB253" s="59"/>
      <c r="AC253" s="59"/>
      <c r="AD253" s="59"/>
      <c r="AE253" s="59"/>
      <c r="AF253" s="59"/>
      <c r="AG253" s="59"/>
      <c r="AH253" s="59"/>
    </row>
    <row r="254" spans="26:34" s="51" customFormat="1" x14ac:dyDescent="0.2">
      <c r="Z254" s="61"/>
      <c r="AA254" s="61"/>
      <c r="AB254" s="59"/>
      <c r="AC254" s="59"/>
      <c r="AD254" s="59"/>
      <c r="AE254" s="59"/>
      <c r="AF254" s="59"/>
      <c r="AG254" s="59"/>
      <c r="AH254" s="59"/>
    </row>
    <row r="255" spans="26:34" s="51" customFormat="1" x14ac:dyDescent="0.2">
      <c r="Z255" s="61"/>
      <c r="AA255" s="61"/>
      <c r="AB255" s="59"/>
      <c r="AC255" s="59"/>
      <c r="AD255" s="59"/>
      <c r="AE255" s="59"/>
      <c r="AF255" s="59"/>
      <c r="AG255" s="59"/>
      <c r="AH255" s="59"/>
    </row>
    <row r="256" spans="26:34" s="51" customFormat="1" x14ac:dyDescent="0.2">
      <c r="Z256" s="61"/>
      <c r="AA256" s="61"/>
      <c r="AB256" s="59"/>
      <c r="AC256" s="59"/>
      <c r="AD256" s="59"/>
      <c r="AE256" s="59"/>
      <c r="AF256" s="59"/>
      <c r="AG256" s="59"/>
      <c r="AH256" s="59"/>
    </row>
    <row r="257" spans="1:34" s="51" customFormat="1" x14ac:dyDescent="0.2">
      <c r="Z257" s="61"/>
      <c r="AA257" s="61"/>
      <c r="AB257" s="59"/>
      <c r="AC257" s="59"/>
      <c r="AD257" s="59"/>
      <c r="AE257" s="59"/>
      <c r="AF257" s="59"/>
      <c r="AG257" s="59"/>
      <c r="AH257" s="59"/>
    </row>
    <row r="258" spans="1:34" s="51" customFormat="1" x14ac:dyDescent="0.2">
      <c r="Z258" s="61"/>
      <c r="AA258" s="61"/>
      <c r="AB258" s="59"/>
      <c r="AC258" s="59"/>
      <c r="AD258" s="59"/>
      <c r="AE258" s="59"/>
      <c r="AF258" s="59"/>
      <c r="AG258" s="59"/>
      <c r="AH258" s="59"/>
    </row>
    <row r="259" spans="1:34" s="51" customFormat="1" x14ac:dyDescent="0.2">
      <c r="Z259" s="61"/>
      <c r="AA259" s="61"/>
      <c r="AB259" s="59"/>
      <c r="AC259" s="59"/>
      <c r="AD259" s="59"/>
      <c r="AE259" s="59"/>
      <c r="AF259" s="59"/>
      <c r="AG259" s="59"/>
      <c r="AH259" s="59"/>
    </row>
    <row r="260" spans="1:34" s="51" customFormat="1" x14ac:dyDescent="0.2">
      <c r="Z260" s="61"/>
      <c r="AA260" s="61"/>
      <c r="AB260" s="59"/>
      <c r="AC260" s="59"/>
      <c r="AD260" s="59"/>
      <c r="AE260" s="59"/>
      <c r="AF260" s="59"/>
      <c r="AG260" s="59"/>
      <c r="AH260" s="59"/>
    </row>
    <row r="261" spans="1:34" s="51" customFormat="1" x14ac:dyDescent="0.2">
      <c r="Z261" s="61"/>
      <c r="AA261" s="61"/>
      <c r="AB261" s="59"/>
      <c r="AC261" s="59"/>
      <c r="AD261" s="59"/>
      <c r="AE261" s="59"/>
      <c r="AF261" s="59"/>
      <c r="AG261" s="59"/>
      <c r="AH261" s="59"/>
    </row>
    <row r="262" spans="1:34" s="51" customFormat="1" x14ac:dyDescent="0.2">
      <c r="Z262" s="61"/>
      <c r="AA262" s="61"/>
      <c r="AB262" s="59"/>
      <c r="AC262" s="59"/>
      <c r="AD262" s="59"/>
      <c r="AE262" s="59"/>
      <c r="AF262" s="59"/>
      <c r="AG262" s="59"/>
      <c r="AH262" s="59"/>
    </row>
    <row r="263" spans="1:34" s="51" customFormat="1" x14ac:dyDescent="0.2">
      <c r="Z263" s="61"/>
      <c r="AA263" s="61"/>
      <c r="AB263" s="59"/>
      <c r="AC263" s="59"/>
      <c r="AD263" s="59"/>
      <c r="AE263" s="59"/>
      <c r="AF263" s="59"/>
      <c r="AG263" s="59"/>
      <c r="AH263" s="59"/>
    </row>
    <row r="264" spans="1:34" s="51" customFormat="1" x14ac:dyDescent="0.2">
      <c r="Z264" s="61"/>
      <c r="AA264" s="61"/>
      <c r="AB264" s="59"/>
      <c r="AC264" s="59"/>
      <c r="AD264" s="59"/>
      <c r="AE264" s="59"/>
      <c r="AF264" s="59"/>
      <c r="AG264" s="59"/>
      <c r="AH264" s="59"/>
    </row>
    <row r="265" spans="1:34" s="51" customFormat="1" x14ac:dyDescent="0.2">
      <c r="Z265" s="61"/>
      <c r="AA265" s="61"/>
      <c r="AB265" s="59"/>
      <c r="AC265" s="59"/>
      <c r="AD265" s="59"/>
      <c r="AE265" s="59"/>
      <c r="AF265" s="59"/>
      <c r="AG265" s="59"/>
      <c r="AH265" s="59"/>
    </row>
    <row r="266" spans="1:34" s="51" customFormat="1" x14ac:dyDescent="0.2">
      <c r="Z266" s="61"/>
      <c r="AA266" s="61"/>
      <c r="AB266" s="59"/>
      <c r="AC266" s="59"/>
      <c r="AD266" s="59"/>
      <c r="AE266" s="59"/>
      <c r="AF266" s="59"/>
      <c r="AG266" s="59"/>
      <c r="AH266" s="59"/>
    </row>
    <row r="267" spans="1:34" s="51" customFormat="1" x14ac:dyDescent="0.2">
      <c r="Z267" s="61"/>
      <c r="AA267" s="61"/>
      <c r="AB267" s="59"/>
      <c r="AC267" s="59"/>
      <c r="AD267" s="59"/>
      <c r="AE267" s="59"/>
      <c r="AF267" s="59"/>
      <c r="AG267" s="59"/>
      <c r="AH267" s="59"/>
    </row>
    <row r="268" spans="1:34" s="51" customFormat="1" x14ac:dyDescent="0.2">
      <c r="Z268" s="61"/>
      <c r="AA268" s="61"/>
      <c r="AB268" s="59"/>
      <c r="AC268" s="59"/>
      <c r="AD268" s="59"/>
      <c r="AE268" s="59"/>
      <c r="AF268" s="59"/>
      <c r="AG268" s="59"/>
      <c r="AH268" s="59"/>
    </row>
    <row r="269" spans="1:34" s="51" customFormat="1" x14ac:dyDescent="0.2">
      <c r="Z269" s="61"/>
      <c r="AA269" s="61"/>
      <c r="AB269" s="59"/>
      <c r="AC269" s="59"/>
      <c r="AD269" s="59"/>
      <c r="AE269" s="59"/>
      <c r="AF269" s="59"/>
      <c r="AG269" s="59"/>
      <c r="AH269" s="59"/>
    </row>
    <row r="270" spans="1:34" s="51" customFormat="1" x14ac:dyDescent="0.2">
      <c r="Z270" s="61"/>
      <c r="AA270" s="61"/>
      <c r="AB270" s="59"/>
      <c r="AC270" s="59"/>
      <c r="AD270" s="59"/>
      <c r="AE270" s="59"/>
      <c r="AF270" s="59"/>
      <c r="AG270" s="59"/>
      <c r="AH270" s="59"/>
    </row>
    <row r="271" spans="1:34" s="51" customFormat="1" x14ac:dyDescent="0.2">
      <c r="Z271" s="61"/>
      <c r="AA271" s="61"/>
      <c r="AB271" s="59"/>
      <c r="AC271" s="59"/>
      <c r="AD271" s="59"/>
      <c r="AE271" s="59"/>
      <c r="AF271" s="59"/>
      <c r="AG271" s="59"/>
      <c r="AH271" s="59"/>
    </row>
    <row r="272" spans="1:34" x14ac:dyDescent="0.2">
      <c r="A272" s="47"/>
      <c r="B272" s="47"/>
      <c r="C272" s="47"/>
      <c r="D272" s="47"/>
      <c r="E272" s="47"/>
      <c r="F272" s="47"/>
      <c r="G272" s="47"/>
      <c r="H272" s="47"/>
      <c r="I272" s="47"/>
      <c r="J272" s="47"/>
      <c r="K272" s="47"/>
      <c r="L272" s="47"/>
      <c r="Y272" s="47"/>
    </row>
    <row r="273" spans="1:25" x14ac:dyDescent="0.2">
      <c r="A273" s="47"/>
      <c r="B273" s="47"/>
      <c r="C273" s="47"/>
      <c r="D273" s="47"/>
      <c r="E273" s="47"/>
      <c r="F273" s="47"/>
      <c r="G273" s="47"/>
      <c r="H273" s="47"/>
      <c r="I273" s="47"/>
      <c r="J273" s="47"/>
      <c r="K273" s="47"/>
      <c r="L273" s="47"/>
      <c r="Y273" s="47"/>
    </row>
    <row r="274" spans="1:25" x14ac:dyDescent="0.2">
      <c r="A274" s="47"/>
      <c r="B274" s="47"/>
      <c r="C274" s="47"/>
      <c r="D274" s="47"/>
      <c r="E274" s="47"/>
      <c r="F274" s="47"/>
      <c r="G274" s="47"/>
      <c r="H274" s="47"/>
      <c r="I274" s="47"/>
      <c r="J274" s="47"/>
      <c r="K274" s="47"/>
      <c r="L274" s="47"/>
      <c r="Y274" s="47"/>
    </row>
    <row r="275" spans="1:25" x14ac:dyDescent="0.2">
      <c r="A275" s="47"/>
      <c r="B275" s="47"/>
      <c r="C275" s="47"/>
      <c r="D275" s="47"/>
      <c r="E275" s="47"/>
      <c r="F275" s="47"/>
      <c r="G275" s="47"/>
      <c r="H275" s="47"/>
      <c r="I275" s="47"/>
      <c r="J275" s="47"/>
      <c r="K275" s="47"/>
      <c r="L275" s="47"/>
      <c r="Y275" s="47"/>
    </row>
    <row r="276" spans="1:25" x14ac:dyDescent="0.2">
      <c r="A276" s="47"/>
      <c r="B276" s="47"/>
      <c r="C276" s="47"/>
      <c r="D276" s="47"/>
      <c r="E276" s="47"/>
      <c r="F276" s="47"/>
      <c r="G276" s="47"/>
      <c r="H276" s="47"/>
      <c r="I276" s="47"/>
      <c r="J276" s="47"/>
      <c r="K276" s="47"/>
      <c r="L276" s="47"/>
      <c r="Y276" s="47"/>
    </row>
    <row r="277" spans="1:25" x14ac:dyDescent="0.2">
      <c r="A277" s="47"/>
      <c r="B277" s="47"/>
      <c r="C277" s="47"/>
      <c r="D277" s="47"/>
      <c r="E277" s="47"/>
      <c r="F277" s="47"/>
      <c r="G277" s="47"/>
      <c r="H277" s="47"/>
      <c r="I277" s="47"/>
      <c r="J277" s="47"/>
      <c r="K277" s="47"/>
      <c r="L277" s="47"/>
      <c r="Y277" s="47"/>
    </row>
    <row r="278" spans="1:25" x14ac:dyDescent="0.2">
      <c r="A278" s="47"/>
      <c r="B278" s="47"/>
      <c r="C278" s="47"/>
      <c r="D278" s="47"/>
      <c r="E278" s="47"/>
      <c r="F278" s="47"/>
      <c r="G278" s="47"/>
      <c r="H278" s="47"/>
      <c r="I278" s="47"/>
      <c r="J278" s="47"/>
      <c r="K278" s="47"/>
      <c r="L278" s="47"/>
      <c r="Y278" s="47"/>
    </row>
    <row r="279" spans="1:25" x14ac:dyDescent="0.2">
      <c r="A279" s="47"/>
      <c r="B279" s="47"/>
      <c r="C279" s="47"/>
      <c r="D279" s="47"/>
      <c r="E279" s="47"/>
      <c r="F279" s="47"/>
      <c r="G279" s="47"/>
      <c r="H279" s="47"/>
      <c r="I279" s="47"/>
      <c r="J279" s="47"/>
      <c r="K279" s="47"/>
      <c r="L279" s="47"/>
      <c r="Y279" s="47"/>
    </row>
    <row r="280" spans="1:25" x14ac:dyDescent="0.2">
      <c r="A280" s="47"/>
      <c r="B280" s="47"/>
      <c r="C280" s="47"/>
      <c r="D280" s="47"/>
      <c r="E280" s="47"/>
      <c r="F280" s="47"/>
      <c r="G280" s="47"/>
      <c r="H280" s="47"/>
      <c r="I280" s="47"/>
      <c r="J280" s="47"/>
      <c r="K280" s="47"/>
      <c r="L280" s="47"/>
      <c r="Y280" s="47"/>
    </row>
    <row r="281" spans="1:25" x14ac:dyDescent="0.2">
      <c r="A281" s="47"/>
      <c r="B281" s="47"/>
      <c r="C281" s="47"/>
      <c r="D281" s="47"/>
      <c r="E281" s="47"/>
      <c r="F281" s="47"/>
      <c r="G281" s="47"/>
      <c r="H281" s="47"/>
      <c r="I281" s="47"/>
      <c r="J281" s="47"/>
      <c r="K281" s="47"/>
      <c r="L281" s="47"/>
      <c r="Y281" s="47"/>
    </row>
    <row r="282" spans="1:25" x14ac:dyDescent="0.2">
      <c r="A282" s="47"/>
      <c r="B282" s="47"/>
      <c r="C282" s="47"/>
      <c r="D282" s="47"/>
      <c r="E282" s="47"/>
      <c r="F282" s="47"/>
      <c r="G282" s="47"/>
      <c r="H282" s="47"/>
      <c r="I282" s="47"/>
      <c r="J282" s="47"/>
      <c r="K282" s="47"/>
      <c r="L282" s="47"/>
      <c r="Y282" s="47"/>
    </row>
    <row r="283" spans="1:25" x14ac:dyDescent="0.2">
      <c r="A283" s="47"/>
      <c r="B283" s="47"/>
      <c r="C283" s="47"/>
      <c r="D283" s="47"/>
      <c r="E283" s="47"/>
      <c r="F283" s="47"/>
      <c r="G283" s="47"/>
      <c r="H283" s="47"/>
      <c r="I283" s="47"/>
      <c r="J283" s="47"/>
      <c r="K283" s="47"/>
      <c r="L283" s="47"/>
      <c r="Y283" s="47"/>
    </row>
    <row r="284" spans="1:25" x14ac:dyDescent="0.2">
      <c r="A284" s="47"/>
      <c r="B284" s="47"/>
      <c r="C284" s="47"/>
      <c r="D284" s="47"/>
      <c r="E284" s="47"/>
      <c r="F284" s="47"/>
      <c r="G284" s="47"/>
      <c r="H284" s="47"/>
      <c r="I284" s="47"/>
      <c r="J284" s="47"/>
      <c r="K284" s="47"/>
      <c r="L284" s="47"/>
      <c r="Y284" s="47"/>
    </row>
    <row r="285" spans="1:25" x14ac:dyDescent="0.2">
      <c r="A285" s="47"/>
      <c r="B285" s="47"/>
      <c r="C285" s="47"/>
      <c r="D285" s="47"/>
      <c r="E285" s="47"/>
      <c r="F285" s="47"/>
      <c r="G285" s="47"/>
      <c r="H285" s="47"/>
      <c r="I285" s="47"/>
      <c r="J285" s="47"/>
      <c r="K285" s="47"/>
      <c r="L285" s="47"/>
      <c r="Y285" s="47"/>
    </row>
    <row r="286" spans="1:25" x14ac:dyDescent="0.2">
      <c r="A286" s="47"/>
      <c r="B286" s="47"/>
      <c r="C286" s="47"/>
      <c r="D286" s="47"/>
      <c r="E286" s="47"/>
      <c r="F286" s="47"/>
      <c r="G286" s="47"/>
      <c r="H286" s="47"/>
      <c r="I286" s="47"/>
      <c r="J286" s="47"/>
      <c r="K286" s="47"/>
      <c r="L286" s="47"/>
      <c r="Y286" s="47"/>
    </row>
    <row r="287" spans="1:25" x14ac:dyDescent="0.2">
      <c r="A287" s="47"/>
      <c r="B287" s="47"/>
      <c r="C287" s="47"/>
      <c r="D287" s="47"/>
      <c r="E287" s="47"/>
      <c r="F287" s="47"/>
      <c r="G287" s="47"/>
      <c r="H287" s="47"/>
      <c r="I287" s="47"/>
      <c r="J287" s="47"/>
      <c r="K287" s="47"/>
      <c r="L287" s="47"/>
      <c r="Y287" s="47"/>
    </row>
    <row r="288" spans="1:25" x14ac:dyDescent="0.2">
      <c r="A288" s="47"/>
      <c r="B288" s="47"/>
      <c r="C288" s="47"/>
      <c r="D288" s="47"/>
      <c r="E288" s="47"/>
      <c r="F288" s="47"/>
      <c r="G288" s="47"/>
      <c r="H288" s="47"/>
      <c r="I288" s="47"/>
      <c r="J288" s="47"/>
      <c r="K288" s="47"/>
      <c r="L288" s="47"/>
      <c r="Y288" s="47"/>
    </row>
    <row r="289" spans="1:25" x14ac:dyDescent="0.2">
      <c r="A289" s="47"/>
      <c r="B289" s="47"/>
      <c r="C289" s="47"/>
      <c r="D289" s="47"/>
      <c r="E289" s="47"/>
      <c r="F289" s="47"/>
      <c r="G289" s="47"/>
      <c r="H289" s="47"/>
      <c r="I289" s="47"/>
      <c r="J289" s="47"/>
      <c r="K289" s="47"/>
      <c r="L289" s="47"/>
      <c r="Y289" s="47"/>
    </row>
    <row r="290" spans="1:25" x14ac:dyDescent="0.2">
      <c r="A290" s="47"/>
      <c r="B290" s="47"/>
      <c r="C290" s="47"/>
      <c r="D290" s="47"/>
      <c r="E290" s="47"/>
      <c r="F290" s="47"/>
      <c r="G290" s="47"/>
      <c r="H290" s="47"/>
      <c r="I290" s="47"/>
      <c r="J290" s="47"/>
      <c r="K290" s="47"/>
      <c r="L290" s="47"/>
      <c r="Y290" s="47"/>
    </row>
    <row r="291" spans="1:25" x14ac:dyDescent="0.2">
      <c r="A291" s="47"/>
      <c r="B291" s="47"/>
      <c r="C291" s="47"/>
      <c r="D291" s="47"/>
      <c r="E291" s="47"/>
      <c r="F291" s="47"/>
      <c r="G291" s="47"/>
      <c r="H291" s="47"/>
      <c r="I291" s="47"/>
      <c r="J291" s="47"/>
      <c r="K291" s="47"/>
      <c r="L291" s="47"/>
      <c r="Y291" s="47"/>
    </row>
    <row r="292" spans="1:25" x14ac:dyDescent="0.2">
      <c r="A292" s="47"/>
      <c r="B292" s="47"/>
      <c r="C292" s="47"/>
      <c r="D292" s="47"/>
      <c r="E292" s="47"/>
      <c r="F292" s="47"/>
      <c r="G292" s="47"/>
      <c r="H292" s="47"/>
      <c r="I292" s="47"/>
      <c r="J292" s="47"/>
      <c r="K292" s="47"/>
      <c r="L292" s="47"/>
      <c r="Y292" s="47"/>
    </row>
    <row r="293" spans="1:25" x14ac:dyDescent="0.2">
      <c r="A293" s="47"/>
      <c r="B293" s="47"/>
      <c r="C293" s="47"/>
      <c r="D293" s="47"/>
      <c r="E293" s="47"/>
      <c r="F293" s="47"/>
      <c r="G293" s="47"/>
      <c r="H293" s="47"/>
      <c r="I293" s="47"/>
      <c r="J293" s="47"/>
      <c r="K293" s="47"/>
      <c r="L293" s="47"/>
      <c r="Y293" s="47"/>
    </row>
    <row r="294" spans="1:25" x14ac:dyDescent="0.2">
      <c r="A294" s="47"/>
      <c r="B294" s="47"/>
      <c r="C294" s="47"/>
      <c r="D294" s="47"/>
      <c r="E294" s="47"/>
      <c r="F294" s="47"/>
      <c r="G294" s="47"/>
      <c r="H294" s="47"/>
      <c r="I294" s="47"/>
      <c r="J294" s="47"/>
      <c r="K294" s="47"/>
      <c r="L294" s="47"/>
      <c r="Y294" s="47"/>
    </row>
    <row r="295" spans="1:25" x14ac:dyDescent="0.2">
      <c r="A295" s="47"/>
      <c r="B295" s="47"/>
      <c r="C295" s="47"/>
      <c r="D295" s="47"/>
      <c r="E295" s="47"/>
      <c r="F295" s="47"/>
      <c r="G295" s="47"/>
      <c r="H295" s="47"/>
      <c r="I295" s="47"/>
      <c r="J295" s="47"/>
      <c r="K295" s="47"/>
      <c r="L295" s="47"/>
      <c r="Y295" s="47"/>
    </row>
    <row r="296" spans="1:25" x14ac:dyDescent="0.2">
      <c r="A296" s="47"/>
      <c r="B296" s="47"/>
      <c r="C296" s="47"/>
      <c r="D296" s="47"/>
      <c r="E296" s="47"/>
      <c r="F296" s="47"/>
      <c r="G296" s="47"/>
      <c r="H296" s="47"/>
      <c r="I296" s="47"/>
      <c r="J296" s="47"/>
      <c r="K296" s="47"/>
      <c r="L296" s="47"/>
      <c r="Y296" s="47"/>
    </row>
    <row r="297" spans="1:25" x14ac:dyDescent="0.2">
      <c r="A297" s="47"/>
      <c r="B297" s="47"/>
      <c r="C297" s="47"/>
      <c r="D297" s="47"/>
      <c r="E297" s="47"/>
      <c r="F297" s="47"/>
      <c r="G297" s="47"/>
      <c r="H297" s="47"/>
      <c r="I297" s="47"/>
      <c r="J297" s="47"/>
      <c r="K297" s="47"/>
      <c r="L297" s="47"/>
      <c r="Y297" s="47"/>
    </row>
    <row r="298" spans="1:25" x14ac:dyDescent="0.2">
      <c r="A298" s="47"/>
      <c r="B298" s="47"/>
      <c r="C298" s="47"/>
      <c r="D298" s="47"/>
      <c r="E298" s="47"/>
      <c r="F298" s="47"/>
      <c r="G298" s="47"/>
      <c r="H298" s="47"/>
      <c r="I298" s="47"/>
      <c r="J298" s="47"/>
      <c r="K298" s="47"/>
      <c r="L298" s="47"/>
      <c r="Y298" s="47"/>
    </row>
    <row r="299" spans="1:25" x14ac:dyDescent="0.2">
      <c r="A299" s="47"/>
      <c r="B299" s="47"/>
      <c r="C299" s="47"/>
      <c r="D299" s="47"/>
      <c r="E299" s="47"/>
      <c r="F299" s="47"/>
      <c r="G299" s="47"/>
      <c r="H299" s="47"/>
      <c r="I299" s="47"/>
      <c r="J299" s="47"/>
      <c r="K299" s="47"/>
      <c r="L299" s="47"/>
      <c r="Y299" s="47"/>
    </row>
    <row r="300" spans="1:25" x14ac:dyDescent="0.2">
      <c r="A300" s="47"/>
      <c r="B300" s="47"/>
      <c r="C300" s="47"/>
      <c r="D300" s="47"/>
      <c r="E300" s="47"/>
      <c r="F300" s="47"/>
      <c r="G300" s="47"/>
      <c r="H300" s="47"/>
      <c r="I300" s="47"/>
      <c r="J300" s="47"/>
      <c r="K300" s="47"/>
      <c r="L300" s="47"/>
      <c r="Y300" s="47"/>
    </row>
    <row r="301" spans="1:25" x14ac:dyDescent="0.2">
      <c r="A301" s="47"/>
      <c r="B301" s="47"/>
      <c r="C301" s="47"/>
      <c r="D301" s="47"/>
      <c r="E301" s="47"/>
      <c r="F301" s="47"/>
      <c r="G301" s="47"/>
      <c r="H301" s="47"/>
      <c r="I301" s="47"/>
      <c r="J301" s="47"/>
      <c r="K301" s="47"/>
      <c r="L301" s="47"/>
      <c r="Y301" s="47"/>
    </row>
    <row r="302" spans="1:25" x14ac:dyDescent="0.2">
      <c r="A302" s="47"/>
      <c r="B302" s="47"/>
      <c r="C302" s="47"/>
      <c r="D302" s="47"/>
      <c r="E302" s="47"/>
      <c r="F302" s="47"/>
      <c r="G302" s="47"/>
      <c r="H302" s="47"/>
      <c r="I302" s="47"/>
      <c r="J302" s="47"/>
      <c r="K302" s="47"/>
      <c r="L302" s="47"/>
      <c r="Y302" s="47"/>
    </row>
    <row r="303" spans="1:25" x14ac:dyDescent="0.2">
      <c r="A303" s="47"/>
      <c r="B303" s="47"/>
      <c r="C303" s="47"/>
      <c r="D303" s="47"/>
      <c r="E303" s="47"/>
      <c r="F303" s="47"/>
      <c r="G303" s="47"/>
      <c r="H303" s="47"/>
      <c r="I303" s="47"/>
      <c r="J303" s="47"/>
      <c r="K303" s="47"/>
      <c r="L303" s="47"/>
      <c r="Y303" s="47"/>
    </row>
    <row r="304" spans="1:25" x14ac:dyDescent="0.2">
      <c r="A304" s="47"/>
      <c r="B304" s="47"/>
      <c r="C304" s="47"/>
      <c r="D304" s="47"/>
      <c r="E304" s="47"/>
      <c r="F304" s="47"/>
      <c r="G304" s="47"/>
      <c r="H304" s="47"/>
      <c r="I304" s="47"/>
      <c r="J304" s="47"/>
      <c r="K304" s="47"/>
      <c r="L304" s="47"/>
      <c r="Y304" s="47"/>
    </row>
    <row r="305" spans="1:25" x14ac:dyDescent="0.2">
      <c r="A305" s="47"/>
      <c r="B305" s="47"/>
      <c r="C305" s="47"/>
      <c r="D305" s="47"/>
      <c r="E305" s="47"/>
      <c r="F305" s="47"/>
      <c r="G305" s="47"/>
      <c r="H305" s="47"/>
      <c r="I305" s="47"/>
      <c r="J305" s="47"/>
      <c r="K305" s="47"/>
      <c r="L305" s="47"/>
      <c r="Y305" s="47"/>
    </row>
    <row r="306" spans="1:25" x14ac:dyDescent="0.2">
      <c r="A306" s="47"/>
      <c r="B306" s="47"/>
      <c r="C306" s="47"/>
      <c r="D306" s="47"/>
      <c r="E306" s="47"/>
      <c r="F306" s="47"/>
      <c r="G306" s="47"/>
      <c r="H306" s="47"/>
      <c r="I306" s="47"/>
      <c r="J306" s="47"/>
      <c r="K306" s="47"/>
      <c r="L306" s="47"/>
      <c r="Y306" s="47"/>
    </row>
    <row r="307" spans="1:25" x14ac:dyDescent="0.2">
      <c r="A307" s="47"/>
      <c r="B307" s="47"/>
      <c r="C307" s="47"/>
      <c r="D307" s="47"/>
      <c r="E307" s="47"/>
      <c r="F307" s="47"/>
      <c r="G307" s="47"/>
      <c r="H307" s="47"/>
      <c r="I307" s="47"/>
      <c r="J307" s="47"/>
      <c r="K307" s="47"/>
      <c r="L307" s="47"/>
      <c r="Y307" s="47"/>
    </row>
    <row r="308" spans="1:25" x14ac:dyDescent="0.2">
      <c r="A308" s="47"/>
      <c r="B308" s="47"/>
      <c r="C308" s="47"/>
      <c r="D308" s="47"/>
      <c r="E308" s="47"/>
      <c r="F308" s="47"/>
      <c r="G308" s="47"/>
      <c r="H308" s="47"/>
      <c r="I308" s="47"/>
      <c r="J308" s="47"/>
      <c r="K308" s="47"/>
      <c r="L308" s="47"/>
      <c r="Y308" s="47"/>
    </row>
    <row r="309" spans="1:25" x14ac:dyDescent="0.2">
      <c r="A309" s="47"/>
      <c r="B309" s="47"/>
      <c r="C309" s="47"/>
      <c r="D309" s="47"/>
      <c r="E309" s="47"/>
      <c r="F309" s="47"/>
      <c r="G309" s="47"/>
      <c r="H309" s="47"/>
      <c r="I309" s="47"/>
      <c r="J309" s="47"/>
      <c r="K309" s="47"/>
      <c r="L309" s="47"/>
      <c r="Y309" s="47"/>
    </row>
    <row r="310" spans="1:25" x14ac:dyDescent="0.2">
      <c r="A310" s="47"/>
      <c r="B310" s="47"/>
      <c r="C310" s="47"/>
      <c r="D310" s="47"/>
      <c r="E310" s="47"/>
      <c r="F310" s="47"/>
      <c r="G310" s="47"/>
      <c r="H310" s="47"/>
      <c r="I310" s="47"/>
      <c r="J310" s="47"/>
      <c r="K310" s="47"/>
      <c r="L310" s="47"/>
      <c r="Y310" s="47"/>
    </row>
    <row r="311" spans="1:25" x14ac:dyDescent="0.2">
      <c r="A311" s="47"/>
      <c r="B311" s="47"/>
      <c r="C311" s="47"/>
      <c r="D311" s="47"/>
      <c r="E311" s="47"/>
      <c r="F311" s="47"/>
      <c r="G311" s="47"/>
      <c r="H311" s="47"/>
      <c r="I311" s="47"/>
      <c r="J311" s="47"/>
      <c r="K311" s="47"/>
      <c r="L311" s="47"/>
      <c r="Y311" s="47"/>
    </row>
    <row r="312" spans="1:25" x14ac:dyDescent="0.2">
      <c r="A312" s="47"/>
      <c r="B312" s="47"/>
      <c r="C312" s="47"/>
      <c r="D312" s="47"/>
      <c r="E312" s="47"/>
      <c r="F312" s="47"/>
      <c r="G312" s="47"/>
      <c r="H312" s="47"/>
      <c r="I312" s="47"/>
      <c r="J312" s="47"/>
      <c r="K312" s="47"/>
      <c r="L312" s="47"/>
      <c r="Y312" s="47"/>
    </row>
    <row r="313" spans="1:25" x14ac:dyDescent="0.2">
      <c r="A313" s="47"/>
      <c r="B313" s="47"/>
      <c r="C313" s="47"/>
      <c r="D313" s="47"/>
      <c r="E313" s="47"/>
      <c r="F313" s="47"/>
      <c r="G313" s="47"/>
      <c r="H313" s="47"/>
      <c r="I313" s="47"/>
      <c r="J313" s="47"/>
      <c r="K313" s="47"/>
      <c r="L313" s="47"/>
      <c r="Y313" s="47"/>
    </row>
    <row r="314" spans="1:25" x14ac:dyDescent="0.2">
      <c r="A314" s="47"/>
      <c r="B314" s="47"/>
      <c r="C314" s="47"/>
      <c r="D314" s="47"/>
      <c r="E314" s="47"/>
      <c r="F314" s="47"/>
      <c r="G314" s="47"/>
      <c r="H314" s="47"/>
      <c r="I314" s="47"/>
      <c r="J314" s="47"/>
      <c r="K314" s="47"/>
      <c r="L314" s="47"/>
      <c r="Y314" s="47"/>
    </row>
    <row r="315" spans="1:25" x14ac:dyDescent="0.2">
      <c r="A315" s="47"/>
      <c r="B315" s="47"/>
      <c r="C315" s="47"/>
      <c r="D315" s="47"/>
      <c r="E315" s="47"/>
      <c r="F315" s="47"/>
      <c r="G315" s="47"/>
      <c r="H315" s="47"/>
      <c r="I315" s="47"/>
      <c r="J315" s="47"/>
      <c r="K315" s="47"/>
      <c r="L315" s="47"/>
      <c r="Y315" s="47"/>
    </row>
    <row r="316" spans="1:25" x14ac:dyDescent="0.2">
      <c r="A316" s="47"/>
      <c r="B316" s="47"/>
      <c r="C316" s="47"/>
      <c r="D316" s="47"/>
      <c r="E316" s="47"/>
      <c r="F316" s="47"/>
      <c r="G316" s="47"/>
      <c r="H316" s="47"/>
      <c r="I316" s="47"/>
      <c r="J316" s="47"/>
      <c r="K316" s="47"/>
      <c r="L316" s="47"/>
      <c r="Y316" s="47"/>
    </row>
    <row r="317" spans="1:25" x14ac:dyDescent="0.2">
      <c r="A317" s="47"/>
      <c r="B317" s="47"/>
      <c r="C317" s="47"/>
      <c r="D317" s="47"/>
      <c r="E317" s="47"/>
      <c r="F317" s="47"/>
      <c r="G317" s="47"/>
      <c r="H317" s="47"/>
      <c r="I317" s="47"/>
      <c r="J317" s="47"/>
      <c r="K317" s="47"/>
      <c r="L317" s="47"/>
      <c r="Y317" s="47"/>
    </row>
    <row r="318" spans="1:25" x14ac:dyDescent="0.2">
      <c r="A318" s="47"/>
      <c r="B318" s="47"/>
      <c r="C318" s="47"/>
      <c r="D318" s="47"/>
      <c r="E318" s="47"/>
      <c r="F318" s="47"/>
      <c r="G318" s="47"/>
      <c r="H318" s="47"/>
      <c r="I318" s="47"/>
      <c r="J318" s="47"/>
      <c r="K318" s="47"/>
      <c r="L318" s="47"/>
      <c r="Y318" s="47"/>
    </row>
    <row r="319" spans="1:25" x14ac:dyDescent="0.2">
      <c r="A319" s="47"/>
      <c r="B319" s="47"/>
      <c r="C319" s="47"/>
      <c r="D319" s="47"/>
      <c r="E319" s="47"/>
      <c r="F319" s="47"/>
      <c r="G319" s="47"/>
      <c r="H319" s="47"/>
      <c r="I319" s="47"/>
      <c r="J319" s="47"/>
      <c r="K319" s="47"/>
      <c r="L319" s="47"/>
      <c r="Y319" s="47"/>
    </row>
    <row r="320" spans="1:25" x14ac:dyDescent="0.2">
      <c r="A320" s="47"/>
      <c r="B320" s="47"/>
      <c r="C320" s="47"/>
      <c r="D320" s="47"/>
      <c r="E320" s="47"/>
      <c r="F320" s="47"/>
      <c r="G320" s="47"/>
      <c r="H320" s="47"/>
      <c r="I320" s="47"/>
      <c r="J320" s="47"/>
      <c r="K320" s="47"/>
      <c r="L320" s="47"/>
      <c r="Y320" s="47"/>
    </row>
    <row r="321" spans="1:25" x14ac:dyDescent="0.2">
      <c r="A321" s="47"/>
      <c r="B321" s="47"/>
      <c r="C321" s="47"/>
      <c r="D321" s="47"/>
      <c r="E321" s="47"/>
      <c r="F321" s="47"/>
      <c r="G321" s="47"/>
      <c r="H321" s="47"/>
      <c r="I321" s="47"/>
      <c r="J321" s="47"/>
      <c r="K321" s="47"/>
      <c r="L321" s="47"/>
      <c r="Y321" s="47"/>
    </row>
    <row r="322" spans="1:25" x14ac:dyDescent="0.2">
      <c r="A322" s="47"/>
      <c r="B322" s="47"/>
      <c r="C322" s="47"/>
      <c r="D322" s="47"/>
      <c r="E322" s="47"/>
      <c r="F322" s="47"/>
      <c r="G322" s="47"/>
      <c r="H322" s="47"/>
      <c r="I322" s="47"/>
      <c r="J322" s="47"/>
      <c r="K322" s="47"/>
      <c r="L322" s="47"/>
      <c r="Y322" s="47"/>
    </row>
    <row r="323" spans="1:25" x14ac:dyDescent="0.2">
      <c r="A323" s="47"/>
      <c r="B323" s="47"/>
      <c r="C323" s="47"/>
      <c r="D323" s="47"/>
      <c r="E323" s="47"/>
      <c r="F323" s="47"/>
      <c r="G323" s="47"/>
      <c r="H323" s="47"/>
      <c r="I323" s="47"/>
      <c r="J323" s="47"/>
      <c r="K323" s="47"/>
      <c r="L323" s="47"/>
      <c r="Y323" s="47"/>
    </row>
    <row r="324" spans="1:25" x14ac:dyDescent="0.2">
      <c r="A324" s="47"/>
      <c r="B324" s="47"/>
      <c r="C324" s="47"/>
      <c r="D324" s="47"/>
      <c r="E324" s="47"/>
      <c r="F324" s="47"/>
      <c r="G324" s="47"/>
      <c r="H324" s="47"/>
      <c r="I324" s="47"/>
      <c r="J324" s="47"/>
      <c r="K324" s="47"/>
      <c r="L324" s="47"/>
      <c r="Y324" s="47"/>
    </row>
    <row r="325" spans="1:25" x14ac:dyDescent="0.2">
      <c r="A325" s="47"/>
      <c r="B325" s="47"/>
      <c r="C325" s="47"/>
      <c r="D325" s="47"/>
      <c r="E325" s="47"/>
      <c r="F325" s="47"/>
      <c r="G325" s="47"/>
      <c r="H325" s="47"/>
      <c r="I325" s="47"/>
      <c r="J325" s="47"/>
      <c r="K325" s="47"/>
      <c r="L325" s="47"/>
      <c r="Y325" s="47"/>
    </row>
    <row r="326" spans="1:25" x14ac:dyDescent="0.2">
      <c r="A326" s="47"/>
      <c r="B326" s="47"/>
      <c r="C326" s="47"/>
      <c r="D326" s="47"/>
      <c r="E326" s="47"/>
      <c r="F326" s="47"/>
      <c r="G326" s="47"/>
      <c r="H326" s="47"/>
      <c r="I326" s="47"/>
      <c r="J326" s="47"/>
      <c r="K326" s="47"/>
      <c r="L326" s="47"/>
      <c r="Y326" s="47"/>
    </row>
    <row r="327" spans="1:25" x14ac:dyDescent="0.2">
      <c r="A327" s="47"/>
      <c r="B327" s="47"/>
      <c r="C327" s="47"/>
      <c r="D327" s="47"/>
      <c r="E327" s="47"/>
      <c r="F327" s="47"/>
      <c r="G327" s="47"/>
      <c r="H327" s="47"/>
      <c r="I327" s="47"/>
      <c r="J327" s="47"/>
      <c r="K327" s="47"/>
      <c r="L327" s="47"/>
      <c r="Y327" s="47"/>
    </row>
    <row r="328" spans="1:25" x14ac:dyDescent="0.2">
      <c r="A328" s="47"/>
      <c r="B328" s="47"/>
      <c r="C328" s="47"/>
      <c r="D328" s="47"/>
      <c r="E328" s="47"/>
      <c r="F328" s="47"/>
      <c r="G328" s="47"/>
      <c r="H328" s="47"/>
      <c r="I328" s="47"/>
      <c r="J328" s="47"/>
      <c r="K328" s="47"/>
      <c r="L328" s="47"/>
      <c r="Y328" s="47"/>
    </row>
    <row r="329" spans="1:25" x14ac:dyDescent="0.2">
      <c r="A329" s="47"/>
      <c r="B329" s="47"/>
      <c r="C329" s="47"/>
      <c r="D329" s="47"/>
      <c r="E329" s="47"/>
      <c r="F329" s="47"/>
      <c r="G329" s="47"/>
      <c r="H329" s="47"/>
      <c r="I329" s="47"/>
      <c r="J329" s="47"/>
      <c r="K329" s="47"/>
      <c r="L329" s="47"/>
      <c r="Y329" s="47"/>
    </row>
    <row r="330" spans="1:25" x14ac:dyDescent="0.2">
      <c r="A330" s="47"/>
      <c r="B330" s="47"/>
      <c r="C330" s="47"/>
      <c r="D330" s="47"/>
      <c r="E330" s="47"/>
      <c r="F330" s="47"/>
      <c r="G330" s="47"/>
      <c r="H330" s="47"/>
      <c r="I330" s="47"/>
      <c r="J330" s="47"/>
      <c r="K330" s="47"/>
      <c r="L330" s="47"/>
      <c r="Y330" s="47"/>
    </row>
    <row r="331" spans="1:25" x14ac:dyDescent="0.2">
      <c r="A331" s="47"/>
      <c r="B331" s="47"/>
      <c r="C331" s="47"/>
      <c r="D331" s="47"/>
      <c r="E331" s="47"/>
      <c r="F331" s="47"/>
      <c r="G331" s="47"/>
      <c r="H331" s="47"/>
      <c r="I331" s="47"/>
      <c r="J331" s="47"/>
      <c r="K331" s="47"/>
      <c r="L331" s="47"/>
      <c r="Y331" s="47"/>
    </row>
    <row r="332" spans="1:25" x14ac:dyDescent="0.2">
      <c r="A332" s="47"/>
      <c r="B332" s="47"/>
      <c r="C332" s="47"/>
      <c r="D332" s="47"/>
      <c r="E332" s="47"/>
      <c r="F332" s="47"/>
      <c r="G332" s="47"/>
      <c r="H332" s="47"/>
      <c r="I332" s="47"/>
      <c r="J332" s="47"/>
      <c r="K332" s="47"/>
      <c r="L332" s="47"/>
      <c r="Y332" s="47"/>
    </row>
    <row r="333" spans="1:25" x14ac:dyDescent="0.2">
      <c r="A333" s="47"/>
      <c r="B333" s="47"/>
      <c r="C333" s="47"/>
      <c r="D333" s="47"/>
      <c r="E333" s="47"/>
      <c r="F333" s="47"/>
      <c r="G333" s="47"/>
      <c r="H333" s="47"/>
      <c r="I333" s="47"/>
      <c r="J333" s="47"/>
      <c r="K333" s="47"/>
      <c r="L333" s="47"/>
      <c r="Y333" s="47"/>
    </row>
    <row r="334" spans="1:25" x14ac:dyDescent="0.2">
      <c r="A334" s="47"/>
      <c r="B334" s="47"/>
      <c r="C334" s="47"/>
      <c r="D334" s="47"/>
      <c r="E334" s="47"/>
      <c r="F334" s="47"/>
      <c r="G334" s="47"/>
      <c r="H334" s="47"/>
      <c r="I334" s="47"/>
      <c r="J334" s="47"/>
      <c r="K334" s="47"/>
      <c r="L334" s="47"/>
      <c r="Y334" s="47"/>
    </row>
    <row r="335" spans="1:25" x14ac:dyDescent="0.2">
      <c r="A335" s="47"/>
      <c r="B335" s="47"/>
      <c r="C335" s="47"/>
      <c r="D335" s="47"/>
      <c r="E335" s="47"/>
      <c r="F335" s="47"/>
      <c r="G335" s="47"/>
      <c r="H335" s="47"/>
      <c r="I335" s="47"/>
      <c r="J335" s="47"/>
      <c r="K335" s="47"/>
      <c r="L335" s="47"/>
      <c r="Y335" s="47"/>
    </row>
    <row r="336" spans="1:25" x14ac:dyDescent="0.2">
      <c r="A336" s="47"/>
      <c r="B336" s="47"/>
      <c r="C336" s="47"/>
      <c r="D336" s="47"/>
      <c r="E336" s="47"/>
      <c r="F336" s="47"/>
      <c r="G336" s="47"/>
      <c r="H336" s="47"/>
      <c r="I336" s="47"/>
      <c r="J336" s="47"/>
      <c r="K336" s="47"/>
      <c r="L336" s="47"/>
      <c r="Y336" s="47"/>
    </row>
    <row r="337" spans="1:25" x14ac:dyDescent="0.2">
      <c r="A337" s="47"/>
      <c r="B337" s="47"/>
      <c r="C337" s="47"/>
      <c r="D337" s="47"/>
      <c r="E337" s="47"/>
      <c r="F337" s="47"/>
      <c r="G337" s="47"/>
      <c r="H337" s="47"/>
      <c r="I337" s="47"/>
      <c r="J337" s="47"/>
      <c r="K337" s="47"/>
      <c r="L337" s="47"/>
      <c r="Y337" s="47"/>
    </row>
    <row r="338" spans="1:25" x14ac:dyDescent="0.2">
      <c r="A338" s="47"/>
      <c r="B338" s="47"/>
      <c r="C338" s="47"/>
      <c r="D338" s="47"/>
      <c r="E338" s="47"/>
      <c r="F338" s="47"/>
      <c r="G338" s="47"/>
      <c r="H338" s="47"/>
      <c r="I338" s="47"/>
      <c r="J338" s="47"/>
      <c r="K338" s="47"/>
      <c r="L338" s="47"/>
      <c r="Y338" s="47"/>
    </row>
    <row r="339" spans="1:25" x14ac:dyDescent="0.2">
      <c r="A339" s="47"/>
      <c r="B339" s="47"/>
      <c r="C339" s="47"/>
      <c r="D339" s="47"/>
      <c r="E339" s="47"/>
      <c r="F339" s="47"/>
      <c r="G339" s="47"/>
      <c r="H339" s="47"/>
      <c r="I339" s="47"/>
      <c r="J339" s="47"/>
      <c r="K339" s="47"/>
      <c r="L339" s="47"/>
      <c r="Y339" s="47"/>
    </row>
    <row r="340" spans="1:25" x14ac:dyDescent="0.2">
      <c r="A340" s="47"/>
      <c r="B340" s="47"/>
      <c r="C340" s="47"/>
      <c r="D340" s="47"/>
      <c r="E340" s="47"/>
      <c r="F340" s="47"/>
      <c r="G340" s="47"/>
      <c r="H340" s="47"/>
      <c r="I340" s="47"/>
      <c r="J340" s="47"/>
      <c r="K340" s="47"/>
      <c r="L340" s="47"/>
      <c r="Y340" s="47"/>
    </row>
    <row r="341" spans="1:25" x14ac:dyDescent="0.2">
      <c r="A341" s="47"/>
      <c r="B341" s="47"/>
      <c r="C341" s="47"/>
      <c r="D341" s="47"/>
      <c r="E341" s="47"/>
      <c r="F341" s="47"/>
      <c r="G341" s="47"/>
      <c r="H341" s="47"/>
      <c r="I341" s="47"/>
      <c r="J341" s="47"/>
      <c r="K341" s="47"/>
      <c r="L341" s="47"/>
      <c r="Y341" s="47"/>
    </row>
    <row r="342" spans="1:25" x14ac:dyDescent="0.2">
      <c r="A342" s="47"/>
      <c r="B342" s="47"/>
      <c r="C342" s="47"/>
      <c r="D342" s="47"/>
      <c r="E342" s="47"/>
      <c r="F342" s="47"/>
      <c r="G342" s="47"/>
      <c r="H342" s="47"/>
      <c r="I342" s="47"/>
      <c r="J342" s="47"/>
      <c r="K342" s="47"/>
      <c r="L342" s="47"/>
      <c r="Y342" s="47"/>
    </row>
    <row r="343" spans="1:25" x14ac:dyDescent="0.2">
      <c r="A343" s="47"/>
      <c r="B343" s="47"/>
      <c r="C343" s="47"/>
      <c r="D343" s="47"/>
      <c r="E343" s="47"/>
      <c r="F343" s="47"/>
      <c r="G343" s="47"/>
      <c r="H343" s="47"/>
      <c r="I343" s="47"/>
      <c r="J343" s="47"/>
      <c r="K343" s="47"/>
      <c r="L343" s="47"/>
      <c r="Y343" s="47"/>
    </row>
    <row r="344" spans="1:25" x14ac:dyDescent="0.2">
      <c r="A344" s="47"/>
      <c r="B344" s="47"/>
      <c r="C344" s="47"/>
      <c r="D344" s="47"/>
      <c r="E344" s="47"/>
      <c r="F344" s="47"/>
      <c r="G344" s="47"/>
      <c r="H344" s="47"/>
      <c r="I344" s="47"/>
      <c r="J344" s="47"/>
      <c r="K344" s="47"/>
      <c r="L344" s="47"/>
      <c r="Y344" s="47"/>
    </row>
    <row r="345" spans="1:25" x14ac:dyDescent="0.2">
      <c r="A345" s="47"/>
      <c r="B345" s="47"/>
      <c r="C345" s="47"/>
      <c r="D345" s="47"/>
      <c r="E345" s="47"/>
      <c r="F345" s="47"/>
      <c r="G345" s="47"/>
      <c r="H345" s="47"/>
      <c r="I345" s="47"/>
      <c r="J345" s="47"/>
      <c r="K345" s="47"/>
      <c r="L345" s="47"/>
      <c r="Y345" s="47"/>
    </row>
    <row r="346" spans="1:25" x14ac:dyDescent="0.2">
      <c r="A346" s="47"/>
      <c r="B346" s="47"/>
      <c r="C346" s="47"/>
      <c r="D346" s="47"/>
      <c r="E346" s="47"/>
      <c r="F346" s="47"/>
      <c r="G346" s="47"/>
      <c r="H346" s="47"/>
      <c r="I346" s="47"/>
      <c r="J346" s="47"/>
      <c r="K346" s="47"/>
      <c r="L346" s="47"/>
      <c r="Y346" s="47"/>
    </row>
    <row r="347" spans="1:25" x14ac:dyDescent="0.2">
      <c r="A347" s="47"/>
      <c r="B347" s="47"/>
      <c r="C347" s="47"/>
      <c r="D347" s="47"/>
      <c r="E347" s="47"/>
      <c r="F347" s="47"/>
      <c r="G347" s="47"/>
      <c r="H347" s="47"/>
      <c r="I347" s="47"/>
      <c r="J347" s="47"/>
      <c r="K347" s="47"/>
      <c r="L347" s="47"/>
      <c r="Y347" s="47"/>
    </row>
    <row r="348" spans="1:25" x14ac:dyDescent="0.2">
      <c r="A348" s="47"/>
      <c r="B348" s="47"/>
      <c r="C348" s="47"/>
      <c r="D348" s="47"/>
      <c r="E348" s="47"/>
      <c r="F348" s="47"/>
      <c r="G348" s="47"/>
      <c r="H348" s="47"/>
      <c r="I348" s="47"/>
      <c r="J348" s="47"/>
      <c r="K348" s="47"/>
      <c r="L348" s="47"/>
      <c r="Y348" s="47"/>
    </row>
    <row r="349" spans="1:25" x14ac:dyDescent="0.2">
      <c r="A349" s="47"/>
      <c r="B349" s="47"/>
      <c r="C349" s="47"/>
      <c r="D349" s="47"/>
      <c r="E349" s="47"/>
      <c r="F349" s="47"/>
      <c r="G349" s="47"/>
      <c r="H349" s="47"/>
      <c r="I349" s="47"/>
      <c r="J349" s="47"/>
      <c r="K349" s="47"/>
      <c r="L349" s="47"/>
      <c r="Y349" s="47"/>
    </row>
    <row r="350" spans="1:25" x14ac:dyDescent="0.2">
      <c r="A350" s="47"/>
      <c r="B350" s="47"/>
      <c r="C350" s="47"/>
      <c r="D350" s="47"/>
      <c r="E350" s="47"/>
      <c r="F350" s="47"/>
      <c r="G350" s="47"/>
      <c r="H350" s="47"/>
      <c r="I350" s="47"/>
      <c r="J350" s="47"/>
      <c r="K350" s="47"/>
      <c r="L350" s="47"/>
      <c r="Y350" s="47"/>
    </row>
    <row r="351" spans="1:25" x14ac:dyDescent="0.2">
      <c r="A351" s="47"/>
      <c r="B351" s="47"/>
      <c r="C351" s="47"/>
      <c r="D351" s="47"/>
      <c r="E351" s="47"/>
      <c r="F351" s="47"/>
      <c r="G351" s="47"/>
      <c r="H351" s="47"/>
      <c r="I351" s="47"/>
      <c r="J351" s="47"/>
      <c r="K351" s="47"/>
      <c r="L351" s="47"/>
      <c r="Y351" s="47"/>
    </row>
    <row r="352" spans="1:25" x14ac:dyDescent="0.2">
      <c r="A352" s="47"/>
      <c r="B352" s="47"/>
      <c r="C352" s="47"/>
      <c r="D352" s="47"/>
      <c r="E352" s="47"/>
      <c r="F352" s="47"/>
      <c r="G352" s="47"/>
      <c r="H352" s="47"/>
      <c r="I352" s="47"/>
      <c r="J352" s="47"/>
      <c r="K352" s="47"/>
      <c r="L352" s="47"/>
      <c r="Y352" s="47"/>
    </row>
    <row r="353" spans="1:25" x14ac:dyDescent="0.2">
      <c r="A353" s="47"/>
      <c r="B353" s="47"/>
      <c r="C353" s="47"/>
      <c r="D353" s="47"/>
      <c r="E353" s="47"/>
      <c r="F353" s="47"/>
      <c r="G353" s="47"/>
      <c r="H353" s="47"/>
      <c r="I353" s="47"/>
      <c r="J353" s="47"/>
      <c r="K353" s="47"/>
      <c r="L353" s="47"/>
      <c r="Y353" s="47"/>
    </row>
    <row r="354" spans="1:25" x14ac:dyDescent="0.2">
      <c r="A354" s="47"/>
      <c r="B354" s="47"/>
      <c r="C354" s="47"/>
      <c r="D354" s="47"/>
      <c r="E354" s="47"/>
      <c r="F354" s="47"/>
      <c r="G354" s="47"/>
      <c r="H354" s="47"/>
      <c r="I354" s="47"/>
      <c r="J354" s="47"/>
      <c r="K354" s="47"/>
      <c r="L354" s="47"/>
      <c r="Y354" s="47"/>
    </row>
    <row r="355" spans="1:25" x14ac:dyDescent="0.2">
      <c r="A355" s="47"/>
      <c r="B355" s="47"/>
      <c r="C355" s="47"/>
      <c r="D355" s="47"/>
      <c r="E355" s="47"/>
      <c r="F355" s="47"/>
      <c r="G355" s="47"/>
      <c r="H355" s="47"/>
      <c r="I355" s="47"/>
      <c r="J355" s="47"/>
      <c r="K355" s="47"/>
      <c r="L355" s="47"/>
      <c r="Y355" s="47"/>
    </row>
    <row r="356" spans="1:25" x14ac:dyDescent="0.2">
      <c r="A356" s="47"/>
      <c r="B356" s="47"/>
      <c r="C356" s="47"/>
      <c r="D356" s="47"/>
      <c r="E356" s="47"/>
      <c r="F356" s="47"/>
      <c r="G356" s="47"/>
      <c r="H356" s="47"/>
      <c r="I356" s="47"/>
      <c r="J356" s="47"/>
      <c r="K356" s="47"/>
      <c r="L356" s="47"/>
      <c r="Y356" s="47"/>
    </row>
  </sheetData>
  <dataValidations disablePrompts="1" count="1">
    <dataValidation type="list" allowBlank="1" showInputMessage="1" showErrorMessage="1" sqref="E5:Z5">
      <formula1>index_ahu</formula1>
    </dataValidation>
  </dataValidations>
  <pageMargins left="0.75" right="0.75" top="1" bottom="1" header="0.4921259845" footer="0.4921259845"/>
  <pageSetup paperSize="8" orientation="landscape" horizontalDpi="4294967292" verticalDpi="300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1265" r:id="rId4" name="Button 1">
              <controlPr defaultSize="0" print="0" autoFill="0" autoPict="0" macro="[0]!Template_Show">
                <anchor moveWithCells="1" sizeWithCells="1">
                  <from>
                    <xdr:col>11</xdr:col>
                    <xdr:colOff>447675</xdr:colOff>
                    <xdr:row>0</xdr:row>
                    <xdr:rowOff>38100</xdr:rowOff>
                  </from>
                  <to>
                    <xdr:col>13</xdr:col>
                    <xdr:colOff>323850</xdr:colOff>
                    <xdr:row>1</xdr:row>
                    <xdr:rowOff>57150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List8"/>
  <dimension ref="A1:AI356"/>
  <sheetViews>
    <sheetView topLeftCell="A4" zoomScaleNormal="100" workbookViewId="0">
      <selection activeCell="T12" sqref="T12"/>
    </sheetView>
  </sheetViews>
  <sheetFormatPr defaultRowHeight="12.75" x14ac:dyDescent="0.2"/>
  <cols>
    <col min="1" max="1" width="2.42578125" style="12" customWidth="1"/>
    <col min="2" max="2" width="16.7109375" style="12" customWidth="1"/>
    <col min="3" max="3" width="3.7109375" style="12" customWidth="1"/>
    <col min="4" max="4" width="9.140625" style="12"/>
    <col min="5" max="5" width="10.140625" style="12" customWidth="1"/>
    <col min="6" max="6" width="9.42578125" style="12" customWidth="1"/>
    <col min="7" max="7" width="9" style="12" customWidth="1"/>
    <col min="8" max="8" width="7.28515625" style="12" customWidth="1"/>
    <col min="9" max="9" width="7.42578125" style="12" customWidth="1"/>
    <col min="10" max="10" width="10.7109375" style="12" customWidth="1"/>
    <col min="11" max="11" width="9.42578125" style="12" customWidth="1"/>
    <col min="12" max="12" width="7.28515625" style="12" customWidth="1"/>
    <col min="13" max="13" width="7.28515625" style="110" customWidth="1"/>
    <col min="14" max="23" width="9.85546875" style="110" customWidth="1"/>
    <col min="24" max="24" width="9.140625" style="12"/>
    <col min="25" max="25" width="11" style="61" customWidth="1"/>
    <col min="26" max="26" width="12" style="61" customWidth="1"/>
    <col min="27" max="33" width="9.140625" style="56"/>
    <col min="34" max="16384" width="9.140625" style="12"/>
  </cols>
  <sheetData>
    <row r="1" spans="1:35" ht="20.25" x14ac:dyDescent="0.3">
      <c r="A1" s="7"/>
      <c r="B1" s="8"/>
      <c r="C1" s="9" t="s">
        <v>78</v>
      </c>
      <c r="D1" s="7"/>
      <c r="E1" s="7"/>
      <c r="F1" s="7"/>
      <c r="G1" s="7"/>
      <c r="H1" s="7"/>
      <c r="I1" s="7"/>
      <c r="J1" s="10" t="s">
        <v>75</v>
      </c>
      <c r="K1" s="11">
        <v>94.5</v>
      </c>
      <c r="L1" s="7" t="s">
        <v>11</v>
      </c>
      <c r="M1" s="93"/>
      <c r="N1" s="93"/>
      <c r="O1" s="93"/>
      <c r="P1" s="93"/>
      <c r="Q1" s="93"/>
      <c r="R1" s="93"/>
      <c r="S1" s="93"/>
      <c r="T1" s="93"/>
      <c r="U1" s="93"/>
      <c r="V1" s="93"/>
      <c r="W1" s="93"/>
      <c r="X1" s="7"/>
      <c r="Y1" s="90"/>
      <c r="Z1" s="90"/>
      <c r="AA1" s="90"/>
      <c r="AB1" s="90"/>
      <c r="AC1" s="90"/>
      <c r="AD1" s="58"/>
    </row>
    <row r="2" spans="1:35" ht="12.75" customHeight="1" x14ac:dyDescent="0.2">
      <c r="A2" s="7"/>
      <c r="B2" s="13"/>
      <c r="C2" s="52" t="s">
        <v>156</v>
      </c>
      <c r="D2" s="53"/>
      <c r="E2" s="53"/>
      <c r="F2" s="54"/>
      <c r="G2" s="7"/>
      <c r="H2" s="7"/>
      <c r="I2" s="7"/>
      <c r="J2" s="14" t="s">
        <v>76</v>
      </c>
      <c r="K2" s="11">
        <v>100</v>
      </c>
      <c r="L2" s="7" t="s">
        <v>5</v>
      </c>
      <c r="M2" s="94">
        <f>K2/100</f>
        <v>1</v>
      </c>
      <c r="N2" s="93"/>
      <c r="O2" s="93"/>
      <c r="P2" s="93"/>
      <c r="Q2" s="93"/>
      <c r="R2" s="93"/>
      <c r="S2" s="93"/>
      <c r="T2" s="93"/>
      <c r="U2" s="93"/>
      <c r="V2" s="93"/>
      <c r="W2" s="93"/>
      <c r="X2" s="7"/>
      <c r="Y2" s="90"/>
      <c r="Z2" s="90"/>
      <c r="AA2" s="90"/>
      <c r="AB2" s="90"/>
      <c r="AC2" s="90"/>
      <c r="AD2" s="58"/>
    </row>
    <row r="3" spans="1:35" ht="12.75" customHeight="1" x14ac:dyDescent="0.2">
      <c r="A3" s="7"/>
      <c r="B3" s="7"/>
      <c r="C3" s="7"/>
      <c r="D3" s="7"/>
      <c r="E3" s="7"/>
      <c r="F3" s="7"/>
      <c r="G3" s="7"/>
      <c r="H3" s="7"/>
      <c r="I3" s="7"/>
      <c r="J3" s="14" t="s">
        <v>77</v>
      </c>
      <c r="K3" s="11">
        <v>3</v>
      </c>
      <c r="L3" s="15" t="s">
        <v>4</v>
      </c>
      <c r="M3" s="93"/>
      <c r="N3" s="93"/>
      <c r="O3" s="93"/>
      <c r="P3" s="93"/>
      <c r="Q3" s="93"/>
      <c r="R3" s="93"/>
      <c r="S3" s="93"/>
      <c r="T3" s="93"/>
      <c r="U3" s="93"/>
      <c r="V3" s="93"/>
      <c r="W3" s="93"/>
      <c r="X3" s="7"/>
      <c r="Y3" s="90" t="s">
        <v>118</v>
      </c>
      <c r="Z3" s="90">
        <f>IF(Tchladice&lt;-50,#N/A,IF(Tchladice&lt;0,EXP((1738.4+28.74*Tchladice)/(271+Tchladice)),IF(Tchladice&lt;=100,EXP((1500.3+23.5*Tchladice)/(234+Tchladice)),#N/A)))</f>
        <v>755.8538982845879</v>
      </c>
      <c r="AA3" s="90"/>
      <c r="AB3" s="90"/>
      <c r="AC3" s="90"/>
      <c r="AD3" s="58"/>
    </row>
    <row r="4" spans="1:35" ht="12.75" customHeight="1" x14ac:dyDescent="0.2">
      <c r="A4" s="7"/>
      <c r="B4" s="16" t="s">
        <v>69</v>
      </c>
      <c r="C4" s="7"/>
      <c r="D4" s="7"/>
      <c r="E4" s="17">
        <v>1</v>
      </c>
      <c r="F4" s="17">
        <v>2</v>
      </c>
      <c r="G4" s="17">
        <v>3</v>
      </c>
      <c r="H4" s="17">
        <v>4</v>
      </c>
      <c r="I4" s="17">
        <v>5</v>
      </c>
      <c r="J4" s="17">
        <v>6</v>
      </c>
      <c r="K4" s="17">
        <v>7</v>
      </c>
      <c r="L4" s="17">
        <v>8</v>
      </c>
      <c r="M4" s="17">
        <v>9</v>
      </c>
      <c r="N4" s="17">
        <v>10</v>
      </c>
      <c r="O4" s="17">
        <v>11</v>
      </c>
      <c r="P4" s="17">
        <v>12</v>
      </c>
      <c r="Q4" s="17">
        <v>13</v>
      </c>
      <c r="R4" s="17">
        <v>14</v>
      </c>
      <c r="S4" s="17">
        <v>15</v>
      </c>
      <c r="T4" s="17">
        <v>17</v>
      </c>
      <c r="U4" s="17">
        <v>18</v>
      </c>
      <c r="V4" s="17">
        <v>19</v>
      </c>
      <c r="W4" s="17">
        <v>20</v>
      </c>
      <c r="X4" s="7"/>
      <c r="Y4" s="90" t="s">
        <v>119</v>
      </c>
      <c r="Z4" s="90">
        <f>0.6222*Z3/(Tlak_vzduchu-Z3/1000)</f>
        <v>5.0167644068397435</v>
      </c>
      <c r="AA4" s="90"/>
      <c r="AB4" s="91"/>
      <c r="AC4" s="91"/>
      <c r="AD4"/>
      <c r="AE4"/>
      <c r="AF4"/>
      <c r="AG4"/>
      <c r="AH4"/>
      <c r="AI4"/>
    </row>
    <row r="5" spans="1:35" ht="12.75" customHeight="1" x14ac:dyDescent="0.2">
      <c r="A5" s="7"/>
      <c r="B5" s="15" t="s">
        <v>61</v>
      </c>
      <c r="C5" s="7" t="s">
        <v>149</v>
      </c>
      <c r="D5" s="7" t="s">
        <v>150</v>
      </c>
      <c r="E5" s="92" t="s">
        <v>167</v>
      </c>
      <c r="F5" s="92" t="s">
        <v>160</v>
      </c>
      <c r="G5" s="92" t="s">
        <v>161</v>
      </c>
      <c r="H5" s="92" t="s">
        <v>164</v>
      </c>
      <c r="I5" s="92" t="s">
        <v>165</v>
      </c>
      <c r="J5" s="92" t="s">
        <v>166</v>
      </c>
      <c r="K5" s="92" t="s">
        <v>152</v>
      </c>
      <c r="L5" s="92" t="s">
        <v>153</v>
      </c>
      <c r="M5" s="92" t="s">
        <v>143</v>
      </c>
      <c r="N5" s="92" t="s">
        <v>144</v>
      </c>
      <c r="O5" s="92" t="s">
        <v>145</v>
      </c>
      <c r="P5" s="92" t="s">
        <v>146</v>
      </c>
      <c r="Q5" s="92" t="s">
        <v>147</v>
      </c>
      <c r="R5" s="92" t="s">
        <v>148</v>
      </c>
      <c r="S5" s="92" t="s">
        <v>195</v>
      </c>
      <c r="T5" s="92" t="s">
        <v>172</v>
      </c>
      <c r="U5" s="92" t="s">
        <v>170</v>
      </c>
      <c r="V5" s="92"/>
      <c r="W5" s="92"/>
      <c r="X5" s="7"/>
      <c r="Y5" s="90"/>
      <c r="Z5" s="90"/>
      <c r="AA5" s="90"/>
      <c r="AB5" s="91"/>
      <c r="AC5" s="91"/>
      <c r="AD5"/>
      <c r="AE5"/>
      <c r="AF5"/>
      <c r="AG5"/>
      <c r="AH5"/>
      <c r="AI5"/>
    </row>
    <row r="6" spans="1:35" x14ac:dyDescent="0.2">
      <c r="A6" s="7"/>
      <c r="B6" s="7" t="s">
        <v>62</v>
      </c>
      <c r="C6" s="18" t="s">
        <v>0</v>
      </c>
      <c r="D6" s="19" t="s">
        <v>4</v>
      </c>
      <c r="E6" s="2">
        <v>-25</v>
      </c>
      <c r="F6" s="2">
        <v>-25</v>
      </c>
      <c r="G6" s="2">
        <v>-25</v>
      </c>
      <c r="H6" s="2">
        <v>-25</v>
      </c>
      <c r="I6" s="2">
        <v>20</v>
      </c>
      <c r="J6" s="2"/>
      <c r="K6" s="122">
        <f>J16</f>
        <v>7.298095599907235</v>
      </c>
      <c r="L6" s="122">
        <v>8</v>
      </c>
      <c r="M6" s="123">
        <f>L6</f>
        <v>8</v>
      </c>
      <c r="N6" s="96">
        <v>20</v>
      </c>
      <c r="O6" s="96">
        <v>35</v>
      </c>
      <c r="P6" s="96">
        <v>16</v>
      </c>
      <c r="Q6" s="123">
        <f>P16</f>
        <v>16</v>
      </c>
      <c r="R6" s="2">
        <v>20</v>
      </c>
      <c r="S6" s="122">
        <f>R16</f>
        <v>20</v>
      </c>
      <c r="T6" s="122">
        <f t="shared" ref="T6:U6" si="0">S16</f>
        <v>20</v>
      </c>
      <c r="U6" s="122">
        <f t="shared" si="0"/>
        <v>20</v>
      </c>
      <c r="V6" s="96"/>
      <c r="W6" s="96"/>
      <c r="X6" s="7"/>
      <c r="Y6" s="90"/>
      <c r="Z6" s="90">
        <f>1.01*Tchladice+(2501+1.86*Tchladice)*Z4/1000</f>
        <v>15.604921326896363</v>
      </c>
      <c r="AA6" s="90"/>
      <c r="AB6" s="90"/>
      <c r="AC6" s="90"/>
      <c r="AD6" s="58"/>
    </row>
    <row r="7" spans="1:35" x14ac:dyDescent="0.2">
      <c r="A7" s="7"/>
      <c r="B7" s="7" t="s">
        <v>63</v>
      </c>
      <c r="C7" s="20" t="s">
        <v>1</v>
      </c>
      <c r="D7" s="19" t="s">
        <v>5</v>
      </c>
      <c r="E7" s="2">
        <v>20</v>
      </c>
      <c r="F7" s="2">
        <v>20</v>
      </c>
      <c r="G7" s="2">
        <v>20</v>
      </c>
      <c r="H7" s="2">
        <v>20</v>
      </c>
      <c r="I7" s="2">
        <v>60</v>
      </c>
      <c r="J7" s="2"/>
      <c r="K7" s="55">
        <f>J17</f>
        <v>0.98922192852820523</v>
      </c>
      <c r="L7" s="55"/>
      <c r="M7" s="97">
        <f>L17</f>
        <v>9.4279970713545061E-3</v>
      </c>
      <c r="N7" s="96"/>
      <c r="O7" s="96">
        <v>40</v>
      </c>
      <c r="P7" s="96"/>
      <c r="Q7" s="97">
        <f>P17</f>
        <v>0.75771330367416145</v>
      </c>
      <c r="R7" s="2"/>
      <c r="S7" s="55">
        <f>R17</f>
        <v>5.8899545819655012E-3</v>
      </c>
      <c r="T7" s="55">
        <f t="shared" ref="T7:U7" si="1">S17</f>
        <v>5.889954581965501E-5</v>
      </c>
      <c r="U7" s="55">
        <f t="shared" si="1"/>
        <v>5.8899545819655022E-7</v>
      </c>
      <c r="V7" s="96"/>
      <c r="W7" s="96"/>
      <c r="X7" s="7"/>
      <c r="Y7" s="90"/>
      <c r="Z7" s="90"/>
      <c r="AA7" s="90"/>
      <c r="AB7" s="90"/>
      <c r="AC7" s="90"/>
      <c r="AD7" s="58"/>
    </row>
    <row r="8" spans="1:35" x14ac:dyDescent="0.2">
      <c r="A8" s="7"/>
      <c r="B8" s="7" t="s">
        <v>67</v>
      </c>
      <c r="C8" s="18" t="s">
        <v>2</v>
      </c>
      <c r="D8" s="19" t="s">
        <v>6</v>
      </c>
      <c r="E8" s="2"/>
      <c r="F8" s="2"/>
      <c r="G8" s="2"/>
      <c r="H8" s="2"/>
      <c r="I8" s="2"/>
      <c r="J8" s="2"/>
      <c r="K8" s="2"/>
      <c r="L8" s="2"/>
      <c r="M8" s="96"/>
      <c r="N8" s="96"/>
      <c r="O8" s="96"/>
      <c r="P8" s="96"/>
      <c r="Q8" s="96"/>
      <c r="R8" s="2"/>
      <c r="S8" s="2"/>
      <c r="T8" s="2"/>
      <c r="U8" s="2"/>
      <c r="V8" s="96"/>
      <c r="W8" s="96"/>
      <c r="X8" s="7"/>
      <c r="Y8" s="90"/>
      <c r="Z8" s="90"/>
      <c r="AA8" s="90"/>
      <c r="AB8" s="90"/>
      <c r="AC8" s="90"/>
      <c r="AD8" s="58"/>
    </row>
    <row r="9" spans="1:35" ht="13.5" thickBot="1" x14ac:dyDescent="0.25">
      <c r="A9" s="7"/>
      <c r="B9" s="7" t="s">
        <v>65</v>
      </c>
      <c r="C9" s="18" t="s">
        <v>3</v>
      </c>
      <c r="D9" s="19" t="s">
        <v>7</v>
      </c>
      <c r="E9" s="3"/>
      <c r="F9" s="3"/>
      <c r="G9" s="3"/>
      <c r="H9" s="3"/>
      <c r="I9" s="3"/>
      <c r="J9" s="3"/>
      <c r="K9" s="3"/>
      <c r="L9" s="49"/>
      <c r="M9" s="98"/>
      <c r="N9" s="98"/>
      <c r="O9" s="98"/>
      <c r="P9" s="98"/>
      <c r="Q9" s="98"/>
      <c r="R9" s="49"/>
      <c r="S9" s="49"/>
      <c r="T9" s="49"/>
      <c r="U9" s="49"/>
      <c r="V9" s="98"/>
      <c r="W9" s="98"/>
      <c r="X9" s="7"/>
      <c r="Y9" s="90"/>
      <c r="Z9" s="90"/>
      <c r="AA9" s="90"/>
      <c r="AB9" s="90"/>
      <c r="AC9" s="90"/>
      <c r="AD9" s="58"/>
    </row>
    <row r="10" spans="1:35" ht="13.5" thickTop="1" x14ac:dyDescent="0.2">
      <c r="A10" s="7"/>
      <c r="B10" s="7" t="s">
        <v>68</v>
      </c>
      <c r="C10" s="22" t="s">
        <v>60</v>
      </c>
      <c r="D10" s="19"/>
      <c r="E10" s="4"/>
      <c r="F10" s="4"/>
      <c r="G10" s="4"/>
      <c r="H10" s="4"/>
      <c r="I10" s="4"/>
      <c r="J10" s="4" t="s">
        <v>142</v>
      </c>
      <c r="K10" s="4"/>
      <c r="L10" s="4" t="s">
        <v>53</v>
      </c>
      <c r="M10" s="99"/>
      <c r="N10" s="99" t="s">
        <v>53</v>
      </c>
      <c r="O10" s="99"/>
      <c r="P10" s="99" t="s">
        <v>58</v>
      </c>
      <c r="Q10" s="99"/>
      <c r="R10" s="4" t="s">
        <v>53</v>
      </c>
      <c r="S10" s="4"/>
      <c r="T10" s="4"/>
      <c r="U10" s="4"/>
      <c r="V10" s="99"/>
      <c r="W10" s="99"/>
      <c r="X10" s="7"/>
      <c r="Y10" s="90"/>
      <c r="Z10" s="90"/>
      <c r="AA10" s="90"/>
      <c r="AB10" s="90"/>
      <c r="AC10" s="90"/>
      <c r="AD10" s="58"/>
    </row>
    <row r="11" spans="1:35" x14ac:dyDescent="0.2">
      <c r="A11" s="7"/>
      <c r="B11" s="7" t="s">
        <v>64</v>
      </c>
      <c r="C11" s="16" t="s">
        <v>21</v>
      </c>
      <c r="D11" s="19" t="s">
        <v>22</v>
      </c>
      <c r="E11" s="6">
        <v>4000</v>
      </c>
      <c r="F11" s="6">
        <v>4000</v>
      </c>
      <c r="G11" s="6">
        <v>4000</v>
      </c>
      <c r="H11" s="6">
        <v>4000</v>
      </c>
      <c r="I11" s="6">
        <v>10000</v>
      </c>
      <c r="J11" s="6"/>
      <c r="K11" s="6">
        <f>H11+I11</f>
        <v>14000</v>
      </c>
      <c r="L11" s="6"/>
      <c r="M11" s="6">
        <f>J11+K11</f>
        <v>14000</v>
      </c>
      <c r="N11" s="100"/>
      <c r="O11" s="100">
        <f>K11</f>
        <v>14000</v>
      </c>
      <c r="P11" s="100"/>
      <c r="Q11" s="100">
        <f>O11</f>
        <v>14000</v>
      </c>
      <c r="R11" s="100"/>
      <c r="S11" s="6">
        <f>Q11</f>
        <v>14000</v>
      </c>
      <c r="T11" s="6">
        <f>S11</f>
        <v>14000</v>
      </c>
      <c r="U11" s="6">
        <f t="shared" ref="T11:U11" si="2">S11</f>
        <v>14000</v>
      </c>
      <c r="V11" s="100"/>
      <c r="W11" s="100"/>
      <c r="X11" s="7"/>
      <c r="Y11" s="90"/>
      <c r="Z11" s="90"/>
      <c r="AA11" s="90"/>
      <c r="AB11" s="90"/>
      <c r="AC11" s="90"/>
      <c r="AD11" s="58"/>
    </row>
    <row r="12" spans="1:35" x14ac:dyDescent="0.2">
      <c r="A12" s="7"/>
      <c r="B12" s="7"/>
      <c r="C12" s="7"/>
      <c r="D12" s="19" t="s">
        <v>23</v>
      </c>
      <c r="E12" s="2"/>
      <c r="F12" s="2"/>
      <c r="G12" s="2"/>
      <c r="H12" s="2"/>
      <c r="I12" s="2"/>
      <c r="J12" s="2"/>
      <c r="K12" s="2"/>
      <c r="L12" s="2"/>
      <c r="M12" s="96"/>
      <c r="N12" s="96"/>
      <c r="O12" s="96"/>
      <c r="P12" s="96"/>
      <c r="Q12" s="96"/>
      <c r="R12" s="2"/>
      <c r="S12" s="2"/>
      <c r="T12" s="2"/>
      <c r="U12" s="96"/>
      <c r="V12" s="96"/>
      <c r="W12" s="96"/>
      <c r="X12" s="7"/>
      <c r="Y12" s="90"/>
      <c r="Z12" s="90"/>
      <c r="AA12" s="90"/>
      <c r="AB12" s="90"/>
      <c r="AC12" s="90"/>
      <c r="AD12" s="58"/>
    </row>
    <row r="13" spans="1:35" x14ac:dyDescent="0.2">
      <c r="A13" s="7"/>
      <c r="B13" s="7" t="s">
        <v>66</v>
      </c>
      <c r="C13" s="16" t="s">
        <v>27</v>
      </c>
      <c r="D13" s="19" t="s">
        <v>28</v>
      </c>
      <c r="E13" s="2"/>
      <c r="F13" s="2"/>
      <c r="G13" s="2"/>
      <c r="H13" s="2"/>
      <c r="I13" s="2"/>
      <c r="J13" s="2"/>
      <c r="K13" s="2"/>
      <c r="L13" s="2"/>
      <c r="M13" s="96"/>
      <c r="N13" s="96"/>
      <c r="O13" s="96"/>
      <c r="P13" s="96"/>
      <c r="Q13" s="96"/>
      <c r="R13" s="2"/>
      <c r="S13" s="2"/>
      <c r="T13" s="2"/>
      <c r="U13" s="96"/>
      <c r="V13" s="96"/>
      <c r="W13" s="96"/>
      <c r="X13" s="7"/>
      <c r="Y13" s="90"/>
      <c r="Z13" s="90"/>
      <c r="AA13" s="90"/>
      <c r="AB13" s="90"/>
      <c r="AC13" s="90"/>
      <c r="AD13" s="58"/>
    </row>
    <row r="14" spans="1:35" x14ac:dyDescent="0.2">
      <c r="A14" s="7"/>
      <c r="B14" s="16"/>
      <c r="C14" s="7"/>
      <c r="D14" s="7"/>
      <c r="E14" s="23" t="str">
        <f t="shared" ref="E14:W14" si="3">IF(E96,"ERROR",IF(E97,"?",IF(E98,"-","")))</f>
        <v/>
      </c>
      <c r="F14" s="23" t="str">
        <f t="shared" si="3"/>
        <v/>
      </c>
      <c r="G14" s="23" t="str">
        <f t="shared" si="3"/>
        <v/>
      </c>
      <c r="H14" s="23"/>
      <c r="I14" s="23" t="str">
        <f t="shared" si="3"/>
        <v/>
      </c>
      <c r="J14" s="23" t="str">
        <f t="shared" si="3"/>
        <v/>
      </c>
      <c r="K14" s="23" t="str">
        <f t="shared" si="3"/>
        <v/>
      </c>
      <c r="L14" s="23" t="str">
        <f t="shared" si="3"/>
        <v/>
      </c>
      <c r="M14" s="95" t="str">
        <f t="shared" si="3"/>
        <v/>
      </c>
      <c r="N14" s="95" t="str">
        <f t="shared" si="3"/>
        <v/>
      </c>
      <c r="O14" s="95" t="str">
        <f t="shared" si="3"/>
        <v/>
      </c>
      <c r="P14" s="95" t="str">
        <f t="shared" si="3"/>
        <v/>
      </c>
      <c r="Q14" s="95" t="str">
        <f t="shared" si="3"/>
        <v/>
      </c>
      <c r="R14" s="95" t="str">
        <f t="shared" si="3"/>
        <v/>
      </c>
      <c r="S14" s="95" t="str">
        <f t="shared" si="3"/>
        <v/>
      </c>
      <c r="T14" s="95" t="str">
        <f t="shared" si="3"/>
        <v/>
      </c>
      <c r="U14" s="95" t="str">
        <f t="shared" si="3"/>
        <v/>
      </c>
      <c r="V14" s="95" t="str">
        <f t="shared" si="3"/>
        <v>-</v>
      </c>
      <c r="W14" s="95" t="str">
        <f t="shared" si="3"/>
        <v>-</v>
      </c>
      <c r="X14" s="7"/>
      <c r="Y14" s="90"/>
      <c r="Z14" s="90"/>
      <c r="AA14" s="90"/>
      <c r="AB14" s="90"/>
      <c r="AC14" s="90"/>
      <c r="AD14" s="58"/>
    </row>
    <row r="15" spans="1:35" ht="13.5" thickBot="1" x14ac:dyDescent="0.25">
      <c r="A15" s="7"/>
      <c r="B15" s="16" t="s">
        <v>151</v>
      </c>
      <c r="C15" s="7" t="s">
        <v>149</v>
      </c>
      <c r="D15" s="7" t="s">
        <v>150</v>
      </c>
      <c r="E15" s="21" t="str">
        <f>IF(E5&gt;0,E5,"")</f>
        <v>air_in_left</v>
      </c>
      <c r="F15" s="21" t="str">
        <f t="shared" ref="F15:W15" si="4">IF(F5&gt;0,F5,"")</f>
        <v>Filter_G4</v>
      </c>
      <c r="G15" s="21" t="str">
        <f t="shared" si="4"/>
        <v>Filter_F7</v>
      </c>
      <c r="H15" s="21" t="str">
        <f t="shared" si="4"/>
        <v>Mix_up1</v>
      </c>
      <c r="I15" s="21" t="str">
        <f t="shared" si="4"/>
        <v>Mix_up2</v>
      </c>
      <c r="J15" s="21" t="str">
        <f t="shared" si="4"/>
        <v>Mix_up_result</v>
      </c>
      <c r="K15" s="21" t="str">
        <f t="shared" si="4"/>
        <v>RE1_in</v>
      </c>
      <c r="L15" s="21" t="str">
        <f t="shared" si="4"/>
        <v>RE1_out</v>
      </c>
      <c r="M15" s="101" t="str">
        <f t="shared" si="4"/>
        <v>HE1_in</v>
      </c>
      <c r="N15" s="101" t="str">
        <f t="shared" si="4"/>
        <v>HE1_out</v>
      </c>
      <c r="O15" s="101" t="str">
        <f t="shared" si="4"/>
        <v>CE1_in</v>
      </c>
      <c r="P15" s="101" t="str">
        <f t="shared" si="4"/>
        <v>CE1_out</v>
      </c>
      <c r="Q15" s="101" t="str">
        <f t="shared" si="4"/>
        <v>HE2_in</v>
      </c>
      <c r="R15" s="101" t="str">
        <f t="shared" si="4"/>
        <v>HE2_out</v>
      </c>
      <c r="S15" s="101" t="str">
        <f t="shared" si="4"/>
        <v>fan</v>
      </c>
      <c r="T15" s="101" t="str">
        <f t="shared" si="4"/>
        <v>silencer</v>
      </c>
      <c r="U15" s="101" t="str">
        <f t="shared" si="4"/>
        <v>air_out_up</v>
      </c>
      <c r="V15" s="101" t="str">
        <f t="shared" si="4"/>
        <v/>
      </c>
      <c r="W15" s="101" t="str">
        <f t="shared" si="4"/>
        <v/>
      </c>
      <c r="X15" s="7"/>
      <c r="AA15" s="57"/>
      <c r="AB15" s="58"/>
      <c r="AC15" s="58"/>
      <c r="AD15" s="58"/>
    </row>
    <row r="16" spans="1:35" x14ac:dyDescent="0.2">
      <c r="A16" s="7"/>
      <c r="B16" s="7" t="s">
        <v>62</v>
      </c>
      <c r="C16" s="18" t="s">
        <v>0</v>
      </c>
      <c r="D16" s="19" t="s">
        <v>4</v>
      </c>
      <c r="E16" s="24">
        <f t="shared" ref="E16:W16" si="5">IF(E14="",E151,"")</f>
        <v>-25</v>
      </c>
      <c r="F16" s="24">
        <f t="shared" si="5"/>
        <v>-25</v>
      </c>
      <c r="G16" s="24">
        <f t="shared" si="5"/>
        <v>-25</v>
      </c>
      <c r="H16" s="24">
        <f t="shared" si="5"/>
        <v>-25</v>
      </c>
      <c r="I16" s="24">
        <f t="shared" si="5"/>
        <v>20</v>
      </c>
      <c r="J16" s="24">
        <f t="shared" si="5"/>
        <v>7.298095599907235</v>
      </c>
      <c r="K16" s="24">
        <f t="shared" si="5"/>
        <v>7.298095599907235</v>
      </c>
      <c r="L16" s="24">
        <f t="shared" si="5"/>
        <v>8</v>
      </c>
      <c r="M16" s="102">
        <f t="shared" si="5"/>
        <v>8</v>
      </c>
      <c r="N16" s="103">
        <f t="shared" si="5"/>
        <v>20</v>
      </c>
      <c r="O16" s="103">
        <f t="shared" si="5"/>
        <v>35</v>
      </c>
      <c r="P16" s="103">
        <f t="shared" si="5"/>
        <v>16</v>
      </c>
      <c r="Q16" s="103">
        <f t="shared" si="5"/>
        <v>16</v>
      </c>
      <c r="R16" s="103">
        <f t="shared" si="5"/>
        <v>20</v>
      </c>
      <c r="S16" s="103">
        <f t="shared" si="5"/>
        <v>20</v>
      </c>
      <c r="T16" s="103">
        <f t="shared" si="5"/>
        <v>20</v>
      </c>
      <c r="U16" s="103">
        <f t="shared" si="5"/>
        <v>20</v>
      </c>
      <c r="V16" s="103" t="str">
        <f t="shared" si="5"/>
        <v/>
      </c>
      <c r="W16" s="103" t="str">
        <f t="shared" si="5"/>
        <v/>
      </c>
      <c r="X16" s="7"/>
      <c r="AA16" s="57"/>
      <c r="AB16" s="58"/>
      <c r="AC16" s="58"/>
      <c r="AD16" s="58"/>
    </row>
    <row r="17" spans="1:30" x14ac:dyDescent="0.2">
      <c r="A17" s="7"/>
      <c r="B17" s="7" t="s">
        <v>94</v>
      </c>
      <c r="C17" s="20" t="s">
        <v>1</v>
      </c>
      <c r="D17" s="19" t="s">
        <v>5</v>
      </c>
      <c r="E17" s="25">
        <f t="shared" ref="E17:N17" si="6">IF(E14="",IF(E18=0,0,Tlak_vzduchu/E154*1000/(0.6222/E18*1000+1)),"")</f>
        <v>0.19999999999999998</v>
      </c>
      <c r="F17" s="25">
        <f t="shared" si="6"/>
        <v>0.19999999999999998</v>
      </c>
      <c r="G17" s="25">
        <f t="shared" si="6"/>
        <v>0.19999999999999998</v>
      </c>
      <c r="H17" s="25">
        <f t="shared" ref="H17" si="7">IF(H14="",IF(H18=0,0,Tlak_vzduchu/H154*1000/(0.6222/H18*1000+1)),"")</f>
        <v>0.19999999999999998</v>
      </c>
      <c r="I17" s="25">
        <f t="shared" si="6"/>
        <v>0.59999999999999987</v>
      </c>
      <c r="J17" s="25">
        <f t="shared" si="6"/>
        <v>0.98922192852820523</v>
      </c>
      <c r="K17" s="25">
        <f t="shared" si="6"/>
        <v>9.8922192852820522E-3</v>
      </c>
      <c r="L17" s="25">
        <f t="shared" si="6"/>
        <v>9.4279970713545061E-3</v>
      </c>
      <c r="M17" s="104">
        <f t="shared" si="6"/>
        <v>9.4279970713545051E-5</v>
      </c>
      <c r="N17" s="104">
        <f t="shared" si="6"/>
        <v>4.31908399362352E-5</v>
      </c>
      <c r="O17" s="104">
        <f t="shared" ref="O17:W17" si="8">IF(O14="",IF(O18=0,0,Tlak_vzduchu/O154*1000/(0.6222/O18*1000+1)),"")</f>
        <v>0.4</v>
      </c>
      <c r="P17" s="104">
        <f t="shared" si="8"/>
        <v>0.75771330367416145</v>
      </c>
      <c r="Q17" s="104">
        <f t="shared" si="8"/>
        <v>7.5771330367416147E-3</v>
      </c>
      <c r="R17" s="104">
        <f t="shared" si="8"/>
        <v>5.8899545819655012E-3</v>
      </c>
      <c r="S17" s="104">
        <f t="shared" si="8"/>
        <v>5.889954581965501E-5</v>
      </c>
      <c r="T17" s="104">
        <f t="shared" si="8"/>
        <v>5.8899545819655022E-7</v>
      </c>
      <c r="U17" s="104">
        <f t="shared" si="8"/>
        <v>5.889954581965502E-9</v>
      </c>
      <c r="V17" s="104" t="str">
        <f t="shared" si="8"/>
        <v/>
      </c>
      <c r="W17" s="104" t="str">
        <f t="shared" si="8"/>
        <v/>
      </c>
      <c r="X17" s="7"/>
      <c r="AA17" s="57"/>
      <c r="AB17" s="58"/>
      <c r="AC17" s="58"/>
      <c r="AD17" s="58"/>
    </row>
    <row r="18" spans="1:30" x14ac:dyDescent="0.2">
      <c r="A18" s="7"/>
      <c r="B18" s="7" t="s">
        <v>95</v>
      </c>
      <c r="C18" s="18" t="s">
        <v>2</v>
      </c>
      <c r="D18" s="19" t="s">
        <v>6</v>
      </c>
      <c r="E18" s="21">
        <f t="shared" ref="E18:W18" si="9">IF(E14="",E152,"")</f>
        <v>8.3203757830561539E-2</v>
      </c>
      <c r="F18" s="21">
        <f t="shared" si="9"/>
        <v>8.3203757830561539E-2</v>
      </c>
      <c r="G18" s="21">
        <f t="shared" si="9"/>
        <v>8.3203757830561539E-2</v>
      </c>
      <c r="H18" s="21">
        <f t="shared" si="9"/>
        <v>8.3203757830561539E-2</v>
      </c>
      <c r="I18" s="21">
        <f t="shared" si="9"/>
        <v>9.3757233081908904</v>
      </c>
      <c r="J18" s="21">
        <f t="shared" si="9"/>
        <v>6.7207177223736538</v>
      </c>
      <c r="K18" s="21">
        <f t="shared" si="9"/>
        <v>6.6496099596165939E-2</v>
      </c>
      <c r="L18" s="21">
        <f t="shared" si="9"/>
        <v>6.6496099596165939E-2</v>
      </c>
      <c r="M18" s="101">
        <f t="shared" si="9"/>
        <v>6.6489064798930036E-4</v>
      </c>
      <c r="N18" s="101">
        <f t="shared" si="9"/>
        <v>6.6489064798930036E-4</v>
      </c>
      <c r="O18" s="101">
        <f t="shared" si="9"/>
        <v>15.17511246915182</v>
      </c>
      <c r="P18" s="101">
        <f t="shared" si="9"/>
        <v>9.2012211080269264</v>
      </c>
      <c r="Q18" s="101">
        <f t="shared" si="9"/>
        <v>9.0684559843778378E-2</v>
      </c>
      <c r="R18" s="101">
        <f t="shared" si="9"/>
        <v>9.0684559843778378E-2</v>
      </c>
      <c r="S18" s="101">
        <f t="shared" si="9"/>
        <v>9.0671476786990859E-4</v>
      </c>
      <c r="T18" s="101">
        <f t="shared" si="9"/>
        <v>9.0671345975486622E-6</v>
      </c>
      <c r="U18" s="101">
        <f t="shared" si="9"/>
        <v>9.0671344667373509E-8</v>
      </c>
      <c r="V18" s="101" t="str">
        <f t="shared" si="9"/>
        <v/>
      </c>
      <c r="W18" s="101" t="str">
        <f t="shared" si="9"/>
        <v/>
      </c>
      <c r="X18" s="7"/>
      <c r="AA18" s="57"/>
      <c r="AB18" s="58"/>
      <c r="AC18" s="58"/>
      <c r="AD18" s="58"/>
    </row>
    <row r="19" spans="1:30" x14ac:dyDescent="0.2">
      <c r="A19" s="7"/>
      <c r="B19" s="7" t="s">
        <v>65</v>
      </c>
      <c r="C19" s="18" t="s">
        <v>3</v>
      </c>
      <c r="D19" s="19" t="s">
        <v>7</v>
      </c>
      <c r="E19" s="21">
        <f t="shared" ref="E19:W19" si="10">IF(E14="",E155,"")</f>
        <v>-25.045776376404888</v>
      </c>
      <c r="F19" s="21">
        <f t="shared" si="10"/>
        <v>-25.045776376404888</v>
      </c>
      <c r="G19" s="21">
        <f t="shared" si="10"/>
        <v>-25.045776376404888</v>
      </c>
      <c r="H19" s="21">
        <f t="shared" si="10"/>
        <v>-25.045776376404888</v>
      </c>
      <c r="I19" s="21">
        <f t="shared" si="10"/>
        <v>43.997460900850115</v>
      </c>
      <c r="J19" s="21">
        <f t="shared" si="10"/>
        <v>24.27082167877726</v>
      </c>
      <c r="K19" s="21">
        <f t="shared" si="10"/>
        <v>7.5382859494952035</v>
      </c>
      <c r="L19" s="21">
        <f t="shared" si="10"/>
        <v>8.2472962070520026</v>
      </c>
      <c r="M19" s="101">
        <f t="shared" si="10"/>
        <v>8.0816727850834642</v>
      </c>
      <c r="N19" s="101">
        <f t="shared" si="10"/>
        <v>20.201687625442727</v>
      </c>
      <c r="O19" s="101">
        <f t="shared" si="10"/>
        <v>74.290856107090491</v>
      </c>
      <c r="P19" s="101">
        <f t="shared" si="10"/>
        <v>39.446082331350226</v>
      </c>
      <c r="Q19" s="101">
        <f t="shared" si="10"/>
        <v>16.389500856670242</v>
      </c>
      <c r="R19" s="101">
        <f t="shared" si="10"/>
        <v>20.430175549795479</v>
      </c>
      <c r="S19" s="101">
        <f t="shared" si="10"/>
        <v>20.202301423423808</v>
      </c>
      <c r="T19" s="101">
        <f t="shared" si="10"/>
        <v>20.200023014201033</v>
      </c>
      <c r="U19" s="101">
        <f t="shared" si="10"/>
        <v>20.200000230142006</v>
      </c>
      <c r="V19" s="101" t="str">
        <f t="shared" si="10"/>
        <v/>
      </c>
      <c r="W19" s="101" t="str">
        <f t="shared" si="10"/>
        <v/>
      </c>
      <c r="X19" s="7"/>
      <c r="AA19" s="57"/>
    </row>
    <row r="20" spans="1:30" x14ac:dyDescent="0.2">
      <c r="A20" s="7"/>
      <c r="B20" s="7" t="s">
        <v>72</v>
      </c>
      <c r="C20" s="20" t="s">
        <v>24</v>
      </c>
      <c r="D20" s="19" t="s">
        <v>26</v>
      </c>
      <c r="E20" s="26">
        <f>IF(E14="",Tlak_vzduchu*1000*(E18/1000+1)/461.39/(273.15+E16)/(E18/1000+0.6222),"")</f>
        <v>1.3264699195276246</v>
      </c>
      <c r="F20" s="26">
        <f t="shared" ref="F20:N20" si="11">IF(F14="",Tlak_vzduchu*1000*(F18/1000+1)/461.39/(273.15+F16)/(F18/1000+0.6222),"")</f>
        <v>1.3264699195276246</v>
      </c>
      <c r="G20" s="26">
        <f t="shared" si="11"/>
        <v>1.3264699195276246</v>
      </c>
      <c r="H20" s="26">
        <f t="shared" ref="H20" si="12">IF(H14="",Tlak_vzduchu*1000*(H18/1000+1)/461.39/(273.15+H16)/(H18/1000+0.6222),"")</f>
        <v>1.3264699195276246</v>
      </c>
      <c r="I20" s="26">
        <f t="shared" si="11"/>
        <v>1.1166090914094011</v>
      </c>
      <c r="J20" s="26">
        <f t="shared" si="11"/>
        <v>1.1690261891682712</v>
      </c>
      <c r="K20" s="26">
        <f t="shared" si="11"/>
        <v>1.1737175412835978</v>
      </c>
      <c r="L20" s="26">
        <f t="shared" si="11"/>
        <v>1.1707872993960182</v>
      </c>
      <c r="M20" s="105">
        <f t="shared" si="11"/>
        <v>1.1708340957953258</v>
      </c>
      <c r="N20" s="105">
        <f t="shared" si="11"/>
        <v>1.1229063825101684</v>
      </c>
      <c r="O20" s="105">
        <f t="shared" ref="O20:W20" si="13">IF(O14="",Tlak_vzduchu*1000*(O18/1000+1)/461.39/(273.15+O16)/(O18/1000+0.6222),"")</f>
        <v>1.0586376113064897</v>
      </c>
      <c r="P20" s="105">
        <f t="shared" si="13"/>
        <v>1.1321729753566148</v>
      </c>
      <c r="Q20" s="105">
        <f t="shared" si="13"/>
        <v>1.1383780587890284</v>
      </c>
      <c r="R20" s="105">
        <f t="shared" si="13"/>
        <v>1.1228450134703996</v>
      </c>
      <c r="S20" s="105">
        <f t="shared" si="13"/>
        <v>1.1229062176278097</v>
      </c>
      <c r="T20" s="105">
        <f t="shared" si="13"/>
        <v>1.1229068296693836</v>
      </c>
      <c r="U20" s="105">
        <f t="shared" si="13"/>
        <v>1.1229068357897993</v>
      </c>
      <c r="V20" s="105" t="str">
        <f t="shared" si="13"/>
        <v/>
      </c>
      <c r="W20" s="105" t="str">
        <f t="shared" si="13"/>
        <v/>
      </c>
      <c r="X20" s="7"/>
      <c r="AA20" s="57"/>
    </row>
    <row r="21" spans="1:30" ht="13.5" thickBot="1" x14ac:dyDescent="0.25">
      <c r="A21" s="7"/>
      <c r="B21" s="7" t="s">
        <v>71</v>
      </c>
      <c r="C21" s="18" t="s">
        <v>25</v>
      </c>
      <c r="D21" s="19" t="s">
        <v>4</v>
      </c>
      <c r="E21" s="21">
        <f t="shared" ref="E21:W21" si="14">IF(E14="",E156,"")</f>
        <v>-25.736542713815986</v>
      </c>
      <c r="F21" s="21">
        <f t="shared" si="14"/>
        <v>-25.736542701112796</v>
      </c>
      <c r="G21" s="21">
        <f t="shared" si="14"/>
        <v>-25.736542710631916</v>
      </c>
      <c r="H21" s="21">
        <f t="shared" si="14"/>
        <v>-25.736542713815986</v>
      </c>
      <c r="I21" s="21">
        <f t="shared" si="14"/>
        <v>14.98170477717769</v>
      </c>
      <c r="J21" s="21">
        <f t="shared" si="14"/>
        <v>7.2137861699457364</v>
      </c>
      <c r="K21" s="21">
        <f t="shared" si="14"/>
        <v>-1.4266132023409732</v>
      </c>
      <c r="L21" s="21">
        <f t="shared" si="14"/>
        <v>-1.1207509577152117</v>
      </c>
      <c r="M21" s="101">
        <f t="shared" si="14"/>
        <v>-1.1213952521538815</v>
      </c>
      <c r="N21" s="101">
        <f t="shared" si="14"/>
        <v>5.3064115875936508</v>
      </c>
      <c r="O21" s="101">
        <f t="shared" si="14"/>
        <v>-2.6495095945477067</v>
      </c>
      <c r="P21" s="101">
        <f t="shared" si="14"/>
        <v>-2.6495095945477067</v>
      </c>
      <c r="Q21" s="101">
        <f t="shared" si="14"/>
        <v>-2.6495095945477067</v>
      </c>
      <c r="R21" s="101">
        <f t="shared" si="14"/>
        <v>-2.6495095945477067</v>
      </c>
      <c r="S21" s="101">
        <f t="shared" si="14"/>
        <v>-2.6495095945477067</v>
      </c>
      <c r="T21" s="101">
        <f t="shared" si="14"/>
        <v>-2.6495095945477067</v>
      </c>
      <c r="U21" s="101">
        <f t="shared" si="14"/>
        <v>-2.6495095945477067</v>
      </c>
      <c r="V21" s="101" t="str">
        <f t="shared" si="14"/>
        <v/>
      </c>
      <c r="W21" s="101" t="str">
        <f t="shared" si="14"/>
        <v/>
      </c>
      <c r="X21" s="7"/>
      <c r="AA21" s="57"/>
    </row>
    <row r="22" spans="1:30" ht="13.5" thickTop="1" x14ac:dyDescent="0.2">
      <c r="A22" s="7"/>
      <c r="B22" s="7" t="s">
        <v>64</v>
      </c>
      <c r="C22" s="16" t="s">
        <v>57</v>
      </c>
      <c r="D22" s="19" t="s">
        <v>22</v>
      </c>
      <c r="E22" s="27">
        <f>IF(E14="",E35*3600/E20*(1+E18/1000),"")</f>
        <v>3618.9281847771413</v>
      </c>
      <c r="F22" s="27">
        <f t="shared" ref="F22:W22" si="15">IF(F14="",F35*3600/F20*(1+F18/1000),"")</f>
        <v>3618.9281847771413</v>
      </c>
      <c r="G22" s="27">
        <f t="shared" si="15"/>
        <v>3618.9281847771413</v>
      </c>
      <c r="H22" s="27">
        <f t="shared" si="15"/>
        <v>3618.9281847771413</v>
      </c>
      <c r="I22" s="27">
        <f t="shared" si="15"/>
        <v>10847.58199882619</v>
      </c>
      <c r="J22" s="27">
        <f t="shared" si="15"/>
        <v>14467.51853332638</v>
      </c>
      <c r="K22" s="27">
        <f t="shared" si="15"/>
        <v>14314.446656475135</v>
      </c>
      <c r="L22" s="27">
        <f t="shared" si="15"/>
        <v>14350.272797749443</v>
      </c>
      <c r="M22" s="106">
        <f t="shared" si="15"/>
        <v>14348.754644654373</v>
      </c>
      <c r="N22" s="106">
        <f t="shared" si="15"/>
        <v>14961.185929505351</v>
      </c>
      <c r="O22" s="106">
        <f t="shared" si="15"/>
        <v>16110.273909911288</v>
      </c>
      <c r="P22" s="106">
        <f t="shared" si="15"/>
        <v>14975.256328896608</v>
      </c>
      <c r="Q22" s="106">
        <f t="shared" si="15"/>
        <v>14759.177209088442</v>
      </c>
      <c r="R22" s="106">
        <f t="shared" si="15"/>
        <v>14963.350506118888</v>
      </c>
      <c r="S22" s="106">
        <f t="shared" si="15"/>
        <v>14961.191744310483</v>
      </c>
      <c r="T22" s="106">
        <f t="shared" si="15"/>
        <v>14961.170159837986</v>
      </c>
      <c r="U22" s="106">
        <f t="shared" si="15"/>
        <v>14961.169943993573</v>
      </c>
      <c r="V22" s="106" t="str">
        <f t="shared" si="15"/>
        <v/>
      </c>
      <c r="W22" s="106" t="str">
        <f t="shared" si="15"/>
        <v/>
      </c>
      <c r="X22" s="7"/>
      <c r="AA22" s="57"/>
    </row>
    <row r="23" spans="1:30" x14ac:dyDescent="0.2">
      <c r="A23" s="7"/>
      <c r="B23" s="7" t="s">
        <v>73</v>
      </c>
      <c r="C23" s="16" t="s">
        <v>56</v>
      </c>
      <c r="D23" s="19" t="s">
        <v>22</v>
      </c>
      <c r="E23" s="28">
        <f>IF(E14="",E35*3600/1.2,"")</f>
        <v>4000</v>
      </c>
      <c r="F23" s="28">
        <f t="shared" ref="F23:W23" si="16">IF(F14="",F35*3600/1.2,"")</f>
        <v>4000</v>
      </c>
      <c r="G23" s="28">
        <f t="shared" si="16"/>
        <v>4000</v>
      </c>
      <c r="H23" s="28">
        <f t="shared" si="16"/>
        <v>4000</v>
      </c>
      <c r="I23" s="28">
        <f t="shared" si="16"/>
        <v>9999.9999999999982</v>
      </c>
      <c r="J23" s="28">
        <f t="shared" si="16"/>
        <v>13999.999999999998</v>
      </c>
      <c r="K23" s="28">
        <f t="shared" si="16"/>
        <v>13999.999999999998</v>
      </c>
      <c r="L23" s="28">
        <f t="shared" si="16"/>
        <v>13999.999999999998</v>
      </c>
      <c r="M23" s="107">
        <f t="shared" si="16"/>
        <v>13999.999999999998</v>
      </c>
      <c r="N23" s="108">
        <f t="shared" si="16"/>
        <v>13999.999999999998</v>
      </c>
      <c r="O23" s="108">
        <f t="shared" si="16"/>
        <v>13999.999999999998</v>
      </c>
      <c r="P23" s="108">
        <f t="shared" si="16"/>
        <v>13999.999999999998</v>
      </c>
      <c r="Q23" s="108">
        <f t="shared" si="16"/>
        <v>13999.999999999998</v>
      </c>
      <c r="R23" s="108">
        <f t="shared" si="16"/>
        <v>13999.999999999998</v>
      </c>
      <c r="S23" s="108">
        <f t="shared" si="16"/>
        <v>13999.999999999998</v>
      </c>
      <c r="T23" s="108">
        <f t="shared" si="16"/>
        <v>13999.999999999998</v>
      </c>
      <c r="U23" s="108">
        <f t="shared" si="16"/>
        <v>13999.999999999998</v>
      </c>
      <c r="V23" s="108" t="str">
        <f t="shared" si="16"/>
        <v/>
      </c>
      <c r="W23" s="108" t="str">
        <f t="shared" si="16"/>
        <v/>
      </c>
      <c r="X23" s="7"/>
      <c r="AA23" s="57"/>
    </row>
    <row r="24" spans="1:30" x14ac:dyDescent="0.2">
      <c r="A24" s="7"/>
      <c r="B24" s="7" t="s">
        <v>66</v>
      </c>
      <c r="C24" s="16" t="s">
        <v>27</v>
      </c>
      <c r="D24" s="19" t="s">
        <v>28</v>
      </c>
      <c r="E24" s="29" t="str">
        <f>IF(AND(E14="",E28&lt;&gt;5,E28&lt;&gt;0),E35*(E19-D19),"")</f>
        <v/>
      </c>
      <c r="F24" s="29" t="str">
        <f>IF(AND(F14="",F28&lt;&gt;5,F28&lt;&gt;0),F35*(F19-E19),"")</f>
        <v/>
      </c>
      <c r="G24" s="29" t="str">
        <f t="shared" ref="G24:W24" si="17">IF(AND(G14="",G28&lt;&gt;5,G28&lt;&gt;0),G35*(G19-F19),"")</f>
        <v/>
      </c>
      <c r="H24" s="29" t="str">
        <f t="shared" si="17"/>
        <v/>
      </c>
      <c r="I24" s="29" t="str">
        <f t="shared" si="17"/>
        <v/>
      </c>
      <c r="J24" s="29" t="str">
        <f t="shared" si="17"/>
        <v/>
      </c>
      <c r="K24" s="29" t="str">
        <f t="shared" si="17"/>
        <v/>
      </c>
      <c r="L24" s="29">
        <f t="shared" si="17"/>
        <v>3.3087145352650622</v>
      </c>
      <c r="M24" s="29" t="str">
        <f t="shared" si="17"/>
        <v/>
      </c>
      <c r="N24" s="29">
        <f t="shared" si="17"/>
        <v>56.560069255009886</v>
      </c>
      <c r="O24" s="29" t="str">
        <f t="shared" si="17"/>
        <v/>
      </c>
      <c r="P24" s="29">
        <f t="shared" si="17"/>
        <v>-162.60894428678787</v>
      </c>
      <c r="Q24" s="29" t="str">
        <f t="shared" si="17"/>
        <v/>
      </c>
      <c r="R24" s="29">
        <f t="shared" si="17"/>
        <v>18.856481901251101</v>
      </c>
      <c r="S24" s="29" t="str">
        <f t="shared" si="17"/>
        <v/>
      </c>
      <c r="T24" s="29" t="str">
        <f>IF(AND(T14="",T28&lt;&gt;5,T28&lt;&gt;0),T35*(T19-#REF!),"")</f>
        <v/>
      </c>
      <c r="U24" s="29" t="str">
        <f t="shared" si="17"/>
        <v/>
      </c>
      <c r="V24" s="29" t="str">
        <f t="shared" si="17"/>
        <v/>
      </c>
      <c r="W24" s="29" t="str">
        <f t="shared" si="17"/>
        <v/>
      </c>
      <c r="X24" s="7"/>
      <c r="AA24" s="57"/>
    </row>
    <row r="25" spans="1:30" x14ac:dyDescent="0.2">
      <c r="A25" s="7"/>
      <c r="B25" s="7" t="s">
        <v>74</v>
      </c>
      <c r="C25" s="16" t="s">
        <v>29</v>
      </c>
      <c r="D25" s="19" t="s">
        <v>30</v>
      </c>
      <c r="E25" s="29" t="str">
        <f>IF(AND(E14="",E28&lt;&gt;0),IF(E28&lt;&gt;5,E35*(E18-D18)*3.6,(E35*E18-D35*D18-C35*C18)*3.6),"")</f>
        <v/>
      </c>
      <c r="F25" s="29" t="str">
        <f t="shared" ref="F25:W25" si="18">IF(AND(F14="",F28&lt;&gt;0),IF(F28&lt;&gt;5,F35*(F18-E18)*3.6,(F35*F18-E35*E18-D35*D18)*3.6),"")</f>
        <v/>
      </c>
      <c r="G25" s="29" t="str">
        <f t="shared" si="18"/>
        <v/>
      </c>
      <c r="H25" s="29" t="str">
        <f t="shared" si="18"/>
        <v/>
      </c>
      <c r="I25" s="29" t="str">
        <f t="shared" si="18"/>
        <v/>
      </c>
      <c r="J25" s="29">
        <f t="shared" si="18"/>
        <v>-6.2949645496246379E-15</v>
      </c>
      <c r="K25" s="29" t="str">
        <f t="shared" si="18"/>
        <v/>
      </c>
      <c r="L25" s="29">
        <f t="shared" si="18"/>
        <v>0</v>
      </c>
      <c r="M25" s="109" t="str">
        <f t="shared" si="18"/>
        <v/>
      </c>
      <c r="N25" s="101">
        <f t="shared" si="18"/>
        <v>0</v>
      </c>
      <c r="O25" s="101" t="str">
        <f t="shared" si="18"/>
        <v/>
      </c>
      <c r="P25" s="101">
        <f t="shared" si="18"/>
        <v>-100.3613748668982</v>
      </c>
      <c r="Q25" s="101" t="str">
        <f t="shared" si="18"/>
        <v/>
      </c>
      <c r="R25" s="101">
        <f t="shared" si="18"/>
        <v>0</v>
      </c>
      <c r="S25" s="101" t="str">
        <f t="shared" si="18"/>
        <v/>
      </c>
      <c r="T25" s="101" t="str">
        <f>IF(AND(T14="",T28&lt;&gt;0),IF(T28&lt;&gt;5,T35*(T18-#REF!)*3.6,(T35*T18-#REF!*#REF!-S35*S18)*3.6),"")</f>
        <v/>
      </c>
      <c r="U25" s="101" t="str">
        <f>IF(AND(U14="",U28&lt;&gt;0),IF(U28&lt;&gt;5,U35*(U18-T18)*3.6,(U35*U18-T35*T18-#REF!*#REF!)*3.6),"")</f>
        <v/>
      </c>
      <c r="V25" s="101" t="str">
        <f t="shared" si="18"/>
        <v/>
      </c>
      <c r="W25" s="101" t="str">
        <f t="shared" si="18"/>
        <v/>
      </c>
      <c r="X25" s="7"/>
      <c r="AA25" s="57"/>
    </row>
    <row r="26" spans="1:30" x14ac:dyDescent="0.2">
      <c r="A26" s="7"/>
      <c r="B26" s="7"/>
      <c r="C26" s="7"/>
      <c r="D26" s="7"/>
      <c r="E26" s="7"/>
      <c r="F26" s="7"/>
      <c r="G26" s="7"/>
      <c r="H26" s="7"/>
      <c r="I26" s="7"/>
      <c r="J26" s="7"/>
      <c r="K26" s="7"/>
      <c r="L26" s="7"/>
      <c r="M26" s="93"/>
      <c r="N26" s="93"/>
      <c r="O26" s="93"/>
      <c r="P26" s="93"/>
      <c r="Q26" s="93"/>
      <c r="R26" s="93"/>
      <c r="S26" s="93"/>
      <c r="T26" s="93"/>
      <c r="U26" s="93"/>
      <c r="V26" s="93"/>
      <c r="W26" s="93"/>
      <c r="X26" s="7"/>
      <c r="AA26" s="57"/>
    </row>
    <row r="27" spans="1:30" s="59" customFormat="1" x14ac:dyDescent="0.2">
      <c r="B27" s="65" t="s">
        <v>89</v>
      </c>
      <c r="Y27" s="61"/>
      <c r="Z27" s="61"/>
      <c r="AA27" s="61"/>
    </row>
    <row r="28" spans="1:30" s="59" customFormat="1" x14ac:dyDescent="0.2">
      <c r="B28" s="60" t="s">
        <v>103</v>
      </c>
      <c r="C28" s="59" t="s">
        <v>44</v>
      </c>
      <c r="E28" s="59">
        <f>IF(OR(E10="-",E10=""),0,IF(OR(E10="o",E10="O"),1,IF(OR(E10="c",E10="C"),2,IF(OR(E10="a",E10="A"),3,IF(OR(E10="p",E10="P"),4,IF(OR(E10="s",E10="S"),5,IF(OR(E10="x",E10="X"),6,10)))))))</f>
        <v>0</v>
      </c>
      <c r="F28" s="59">
        <f t="shared" ref="F28:W28" si="19">IF(OR(F10="-",F10=""),0,IF(OR(F10="o",F10="O"),1,IF(OR(F10="c",F10="C"),2,IF(OR(F10="a",F10="A"),3,IF(OR(F10="p",F10="P"),4,IF(OR(F10="s",F10="S"),5,IF(OR(F10="x",F10="X"),6,10)))))))</f>
        <v>0</v>
      </c>
      <c r="G28" s="59">
        <f t="shared" si="19"/>
        <v>0</v>
      </c>
      <c r="H28" s="59">
        <f t="shared" si="19"/>
        <v>0</v>
      </c>
      <c r="I28" s="59">
        <f t="shared" si="19"/>
        <v>0</v>
      </c>
      <c r="J28" s="59">
        <f t="shared" si="19"/>
        <v>5</v>
      </c>
      <c r="K28" s="59">
        <f t="shared" si="19"/>
        <v>0</v>
      </c>
      <c r="L28" s="59">
        <f t="shared" si="19"/>
        <v>1</v>
      </c>
      <c r="M28" s="59">
        <f t="shared" si="19"/>
        <v>0</v>
      </c>
      <c r="N28" s="59">
        <f t="shared" si="19"/>
        <v>1</v>
      </c>
      <c r="O28" s="59">
        <f t="shared" si="19"/>
        <v>0</v>
      </c>
      <c r="P28" s="59">
        <f t="shared" si="19"/>
        <v>2</v>
      </c>
      <c r="Q28" s="59">
        <f t="shared" si="19"/>
        <v>0</v>
      </c>
      <c r="R28" s="59">
        <f>IF(OR(R10="-",R10=""),0,IF(OR(R10="o",R10="O"),1,IF(OR(R10="c",R10="C"),2,IF(OR(R10="a",R10="A"),3,IF(OR(R10="p",R10="P"),4,IF(OR(R10="s",R10="S"),5,IF(OR(R10="x",R10="X"),6,10)))))))</f>
        <v>1</v>
      </c>
      <c r="S28" s="59">
        <f>IF(OR(S10="-",S10=""),0,IF(OR(S10="o",S10="O"),1,IF(OR(S10="c",S10="C"),2,IF(OR(S10="a",S10="A"),3,IF(OR(S10="p",S10="P"),4,IF(OR(S10="s",S10="S"),5,IF(OR(S10="x",S10="X"),6,10)))))))</f>
        <v>0</v>
      </c>
      <c r="T28" s="59">
        <f t="shared" si="19"/>
        <v>0</v>
      </c>
      <c r="U28" s="59">
        <f>IF(OR(U10="-",U10=""),0,IF(OR(U10="o",U10="O"),1,IF(OR(U10="c",U10="C"),2,IF(OR(U10="a",U10="A"),3,IF(OR(U10="p",U10="P"),4,IF(OR(U10="s",U10="S"),5,IF(OR(U10="x",U10="X"),6,10)))))))</f>
        <v>0</v>
      </c>
      <c r="V28" s="59">
        <f>IF(OR(V10="-",V10=""),0,IF(OR(V10="o",V10="O"),1,IF(OR(V10="c",V10="C"),2,IF(OR(V10="a",V10="A"),3,IF(OR(V10="p",V10="P"),4,IF(OR(V10="s",V10="S"),5,IF(OR(V10="x",V10="X"),6,10)))))))</f>
        <v>0</v>
      </c>
      <c r="W28" s="59">
        <f t="shared" si="19"/>
        <v>0</v>
      </c>
      <c r="Y28" s="61"/>
      <c r="Z28" s="61"/>
      <c r="AA28" s="61"/>
    </row>
    <row r="29" spans="1:30" s="59" customFormat="1" x14ac:dyDescent="0.2">
      <c r="C29" s="62" t="s">
        <v>0</v>
      </c>
      <c r="E29" s="59">
        <f>IF(E6="",0,1)</f>
        <v>1</v>
      </c>
      <c r="F29" s="59">
        <f>IF(F6="",0,1)</f>
        <v>1</v>
      </c>
      <c r="G29" s="59">
        <f t="shared" ref="G29:W32" si="20">IF(G6="",0,1)</f>
        <v>1</v>
      </c>
      <c r="H29" s="59">
        <f t="shared" si="20"/>
        <v>1</v>
      </c>
      <c r="I29" s="59">
        <f t="shared" si="20"/>
        <v>1</v>
      </c>
      <c r="J29" s="59">
        <f t="shared" si="20"/>
        <v>0</v>
      </c>
      <c r="K29" s="59">
        <f t="shared" si="20"/>
        <v>1</v>
      </c>
      <c r="L29" s="59">
        <f t="shared" si="20"/>
        <v>1</v>
      </c>
      <c r="M29" s="59">
        <f t="shared" si="20"/>
        <v>1</v>
      </c>
      <c r="N29" s="59">
        <f t="shared" si="20"/>
        <v>1</v>
      </c>
      <c r="O29" s="59">
        <f t="shared" si="20"/>
        <v>1</v>
      </c>
      <c r="P29" s="59">
        <f t="shared" si="20"/>
        <v>1</v>
      </c>
      <c r="Q29" s="59">
        <f t="shared" si="20"/>
        <v>1</v>
      </c>
      <c r="R29" s="59">
        <f t="shared" si="20"/>
        <v>1</v>
      </c>
      <c r="S29" s="59">
        <f t="shared" si="20"/>
        <v>1</v>
      </c>
      <c r="T29" s="59">
        <f t="shared" si="20"/>
        <v>1</v>
      </c>
      <c r="U29" s="59">
        <f t="shared" si="20"/>
        <v>1</v>
      </c>
      <c r="V29" s="59">
        <f t="shared" si="20"/>
        <v>0</v>
      </c>
      <c r="W29" s="59">
        <f t="shared" si="20"/>
        <v>0</v>
      </c>
      <c r="Y29" s="61"/>
      <c r="Z29" s="61"/>
      <c r="AA29" s="61"/>
    </row>
    <row r="30" spans="1:30" s="59" customFormat="1" x14ac:dyDescent="0.2">
      <c r="C30" s="63" t="s">
        <v>1</v>
      </c>
      <c r="E30" s="59">
        <f t="shared" ref="E30:F32" si="21">IF(E7="",0,1)</f>
        <v>1</v>
      </c>
      <c r="F30" s="59">
        <f t="shared" si="21"/>
        <v>1</v>
      </c>
      <c r="G30" s="59">
        <f t="shared" si="20"/>
        <v>1</v>
      </c>
      <c r="H30" s="59">
        <f t="shared" si="20"/>
        <v>1</v>
      </c>
      <c r="I30" s="59">
        <f t="shared" si="20"/>
        <v>1</v>
      </c>
      <c r="J30" s="59">
        <f t="shared" si="20"/>
        <v>0</v>
      </c>
      <c r="K30" s="59">
        <f t="shared" si="20"/>
        <v>1</v>
      </c>
      <c r="L30" s="59">
        <f t="shared" si="20"/>
        <v>0</v>
      </c>
      <c r="M30" s="59">
        <f t="shared" si="20"/>
        <v>1</v>
      </c>
      <c r="N30" s="59">
        <f t="shared" si="20"/>
        <v>0</v>
      </c>
      <c r="O30" s="59">
        <f t="shared" si="20"/>
        <v>1</v>
      </c>
      <c r="P30" s="59">
        <f t="shared" si="20"/>
        <v>0</v>
      </c>
      <c r="Q30" s="59">
        <f t="shared" si="20"/>
        <v>1</v>
      </c>
      <c r="R30" s="59">
        <f t="shared" si="20"/>
        <v>0</v>
      </c>
      <c r="S30" s="59">
        <f t="shared" si="20"/>
        <v>1</v>
      </c>
      <c r="T30" s="59">
        <f t="shared" si="20"/>
        <v>1</v>
      </c>
      <c r="U30" s="59">
        <f t="shared" si="20"/>
        <v>1</v>
      </c>
      <c r="V30" s="59">
        <f t="shared" si="20"/>
        <v>0</v>
      </c>
      <c r="W30" s="59">
        <f t="shared" si="20"/>
        <v>0</v>
      </c>
      <c r="Y30" s="61"/>
      <c r="Z30" s="61"/>
      <c r="AA30" s="61"/>
    </row>
    <row r="31" spans="1:30" s="59" customFormat="1" x14ac:dyDescent="0.2">
      <c r="C31" s="62" t="s">
        <v>2</v>
      </c>
      <c r="E31" s="59">
        <f t="shared" si="21"/>
        <v>0</v>
      </c>
      <c r="F31" s="59">
        <f t="shared" si="21"/>
        <v>0</v>
      </c>
      <c r="G31" s="59">
        <f t="shared" si="20"/>
        <v>0</v>
      </c>
      <c r="H31" s="59">
        <f t="shared" si="20"/>
        <v>0</v>
      </c>
      <c r="I31" s="59">
        <f t="shared" si="20"/>
        <v>0</v>
      </c>
      <c r="J31" s="59">
        <f t="shared" si="20"/>
        <v>0</v>
      </c>
      <c r="K31" s="59">
        <f t="shared" si="20"/>
        <v>0</v>
      </c>
      <c r="L31" s="59">
        <f t="shared" si="20"/>
        <v>0</v>
      </c>
      <c r="M31" s="59">
        <f t="shared" si="20"/>
        <v>0</v>
      </c>
      <c r="N31" s="59">
        <f t="shared" si="20"/>
        <v>0</v>
      </c>
      <c r="O31" s="59">
        <f t="shared" si="20"/>
        <v>0</v>
      </c>
      <c r="P31" s="59">
        <f t="shared" si="20"/>
        <v>0</v>
      </c>
      <c r="Q31" s="59">
        <f t="shared" si="20"/>
        <v>0</v>
      </c>
      <c r="R31" s="59">
        <f t="shared" si="20"/>
        <v>0</v>
      </c>
      <c r="S31" s="59">
        <f t="shared" si="20"/>
        <v>0</v>
      </c>
      <c r="T31" s="59">
        <f t="shared" si="20"/>
        <v>0</v>
      </c>
      <c r="U31" s="59">
        <f t="shared" si="20"/>
        <v>0</v>
      </c>
      <c r="V31" s="59">
        <f t="shared" si="20"/>
        <v>0</v>
      </c>
      <c r="W31" s="59">
        <f t="shared" si="20"/>
        <v>0</v>
      </c>
      <c r="Y31" s="61"/>
      <c r="Z31" s="61"/>
      <c r="AA31" s="61"/>
    </row>
    <row r="32" spans="1:30" s="59" customFormat="1" x14ac:dyDescent="0.2">
      <c r="C32" s="62" t="s">
        <v>3</v>
      </c>
      <c r="E32" s="59">
        <f t="shared" si="21"/>
        <v>0</v>
      </c>
      <c r="F32" s="59">
        <f t="shared" si="21"/>
        <v>0</v>
      </c>
      <c r="G32" s="59">
        <f t="shared" si="20"/>
        <v>0</v>
      </c>
      <c r="H32" s="59">
        <f t="shared" si="20"/>
        <v>0</v>
      </c>
      <c r="I32" s="59">
        <f t="shared" si="20"/>
        <v>0</v>
      </c>
      <c r="J32" s="59">
        <f t="shared" si="20"/>
        <v>0</v>
      </c>
      <c r="K32" s="59">
        <f t="shared" si="20"/>
        <v>0</v>
      </c>
      <c r="L32" s="59">
        <f t="shared" si="20"/>
        <v>0</v>
      </c>
      <c r="M32" s="59">
        <f t="shared" si="20"/>
        <v>0</v>
      </c>
      <c r="N32" s="59">
        <f t="shared" si="20"/>
        <v>0</v>
      </c>
      <c r="O32" s="59">
        <f t="shared" si="20"/>
        <v>0</v>
      </c>
      <c r="P32" s="59">
        <f t="shared" si="20"/>
        <v>0</v>
      </c>
      <c r="Q32" s="59">
        <f t="shared" si="20"/>
        <v>0</v>
      </c>
      <c r="R32" s="59">
        <f t="shared" si="20"/>
        <v>0</v>
      </c>
      <c r="S32" s="59">
        <f t="shared" si="20"/>
        <v>0</v>
      </c>
      <c r="T32" s="59">
        <f t="shared" si="20"/>
        <v>0</v>
      </c>
      <c r="U32" s="59">
        <f t="shared" si="20"/>
        <v>0</v>
      </c>
      <c r="V32" s="59">
        <f t="shared" si="20"/>
        <v>0</v>
      </c>
      <c r="W32" s="59">
        <f t="shared" si="20"/>
        <v>0</v>
      </c>
      <c r="Y32" s="61"/>
      <c r="Z32" s="61"/>
      <c r="AA32" s="61"/>
    </row>
    <row r="33" spans="2:27" s="59" customFormat="1" x14ac:dyDescent="0.2">
      <c r="C33" s="62" t="s">
        <v>27</v>
      </c>
      <c r="E33" s="59">
        <f>IF(E13="",0,1)</f>
        <v>0</v>
      </c>
      <c r="F33" s="59">
        <f t="shared" ref="F33:W33" si="22">IF(F13="",0,1)</f>
        <v>0</v>
      </c>
      <c r="G33" s="59">
        <f t="shared" si="22"/>
        <v>0</v>
      </c>
      <c r="H33" s="59">
        <f t="shared" si="22"/>
        <v>0</v>
      </c>
      <c r="I33" s="59">
        <f t="shared" si="22"/>
        <v>0</v>
      </c>
      <c r="J33" s="59">
        <f t="shared" si="22"/>
        <v>0</v>
      </c>
      <c r="K33" s="59">
        <f t="shared" si="22"/>
        <v>0</v>
      </c>
      <c r="L33" s="59">
        <f t="shared" si="22"/>
        <v>0</v>
      </c>
      <c r="M33" s="59">
        <f t="shared" si="22"/>
        <v>0</v>
      </c>
      <c r="N33" s="59">
        <f t="shared" si="22"/>
        <v>0</v>
      </c>
      <c r="O33" s="59">
        <f t="shared" si="22"/>
        <v>0</v>
      </c>
      <c r="P33" s="59">
        <f t="shared" si="22"/>
        <v>0</v>
      </c>
      <c r="Q33" s="59">
        <f t="shared" si="22"/>
        <v>0</v>
      </c>
      <c r="R33" s="59">
        <f>IF(R13="",0,1)</f>
        <v>0</v>
      </c>
      <c r="S33" s="59">
        <f>IF(S13="",0,1)</f>
        <v>0</v>
      </c>
      <c r="T33" s="59">
        <f t="shared" si="22"/>
        <v>0</v>
      </c>
      <c r="U33" s="59">
        <f>IF(U13="",0,1)</f>
        <v>0</v>
      </c>
      <c r="V33" s="59">
        <f>IF(V13="",0,1)</f>
        <v>0</v>
      </c>
      <c r="W33" s="59">
        <f t="shared" si="22"/>
        <v>0</v>
      </c>
      <c r="Y33" s="61"/>
      <c r="Z33" s="61"/>
      <c r="AA33" s="61"/>
    </row>
    <row r="34" spans="2:27" s="59" customFormat="1" ht="25.5" x14ac:dyDescent="0.2">
      <c r="B34" s="64" t="s">
        <v>104</v>
      </c>
      <c r="C34" s="65"/>
      <c r="E34" s="59">
        <f>E29+E30+E31+E32</f>
        <v>2</v>
      </c>
      <c r="F34" s="59">
        <f t="shared" ref="F34:W34" si="23">F29+F30+F31+F32</f>
        <v>2</v>
      </c>
      <c r="G34" s="59">
        <f t="shared" si="23"/>
        <v>2</v>
      </c>
      <c r="H34" s="59">
        <f t="shared" si="23"/>
        <v>2</v>
      </c>
      <c r="I34" s="59">
        <f t="shared" si="23"/>
        <v>2</v>
      </c>
      <c r="J34" s="59">
        <f t="shared" si="23"/>
        <v>0</v>
      </c>
      <c r="K34" s="59">
        <f t="shared" si="23"/>
        <v>2</v>
      </c>
      <c r="L34" s="59">
        <f t="shared" si="23"/>
        <v>1</v>
      </c>
      <c r="M34" s="59">
        <f t="shared" si="23"/>
        <v>2</v>
      </c>
      <c r="N34" s="59">
        <f t="shared" si="23"/>
        <v>1</v>
      </c>
      <c r="O34" s="59">
        <f t="shared" si="23"/>
        <v>2</v>
      </c>
      <c r="P34" s="59">
        <f t="shared" si="23"/>
        <v>1</v>
      </c>
      <c r="Q34" s="59">
        <f t="shared" si="23"/>
        <v>2</v>
      </c>
      <c r="R34" s="59">
        <f t="shared" si="23"/>
        <v>1</v>
      </c>
      <c r="S34" s="59">
        <f t="shared" si="23"/>
        <v>2</v>
      </c>
      <c r="T34" s="59">
        <f t="shared" si="23"/>
        <v>2</v>
      </c>
      <c r="U34" s="59">
        <f t="shared" si="23"/>
        <v>2</v>
      </c>
      <c r="V34" s="59">
        <f t="shared" si="23"/>
        <v>0</v>
      </c>
      <c r="W34" s="59">
        <f t="shared" si="23"/>
        <v>0</v>
      </c>
      <c r="Y34" s="61"/>
      <c r="Z34" s="61"/>
      <c r="AA34" s="61"/>
    </row>
    <row r="35" spans="2:27" s="59" customFormat="1" x14ac:dyDescent="0.2">
      <c r="B35" s="59" t="s">
        <v>90</v>
      </c>
      <c r="C35" s="65" t="s">
        <v>91</v>
      </c>
      <c r="E35" s="59">
        <f>IF(E11&lt;&gt;"",E11/3600*1.2,IF(E12&lt;&gt;"",E12*1.2,0))</f>
        <v>1.3333333333333333</v>
      </c>
      <c r="F35" s="59">
        <f>IF(OR(F11&lt;&gt;"",F12&lt;&gt;"",F28=0),IF(F11&lt;&gt;"",F11/3600*1.2,IF(F12&lt;&gt;"",F12*1.2,0)),IF(OR(F28&lt;=4,F28=6),E35,#N/A))</f>
        <v>1.3333333333333333</v>
      </c>
      <c r="G35" s="59">
        <f>IF(OR(G11&lt;&gt;"",G12&lt;&gt;"",G28=0),IF(G11&lt;&gt;"",G11/3600*1.2,IF(G12&lt;&gt;"",G12*1.2,0)),IF(OR(G28&lt;=4,G28=6),F35,IF(G28=5,F35+E35,#N/A)))</f>
        <v>1.3333333333333333</v>
      </c>
      <c r="H35" s="59">
        <f t="shared" ref="H35:Q35" si="24">IF(OR(H11&lt;&gt;"",H12&lt;&gt;"",H28=0),IF(H11&lt;&gt;"",H11/3600*1.2,IF(H12&lt;&gt;"",H12*1.2,0)),IF(OR(H28&lt;=4,H28=6),G35,IF(H28=5,G35+F35,#N/A)))</f>
        <v>1.3333333333333333</v>
      </c>
      <c r="I35" s="59">
        <f t="shared" si="24"/>
        <v>3.333333333333333</v>
      </c>
      <c r="J35" s="59">
        <f t="shared" si="24"/>
        <v>4.6666666666666661</v>
      </c>
      <c r="K35" s="59">
        <f t="shared" si="24"/>
        <v>4.6666666666666661</v>
      </c>
      <c r="L35" s="59">
        <f t="shared" si="24"/>
        <v>4.6666666666666661</v>
      </c>
      <c r="M35" s="59">
        <f t="shared" si="24"/>
        <v>4.6666666666666661</v>
      </c>
      <c r="N35" s="59">
        <f t="shared" si="24"/>
        <v>4.6666666666666661</v>
      </c>
      <c r="O35" s="59">
        <f t="shared" si="24"/>
        <v>4.6666666666666661</v>
      </c>
      <c r="P35" s="59">
        <f t="shared" si="24"/>
        <v>4.6666666666666661</v>
      </c>
      <c r="Q35" s="59">
        <f t="shared" si="24"/>
        <v>4.6666666666666661</v>
      </c>
      <c r="R35" s="59">
        <f>IF(OR(R11&lt;&gt;"",R12&lt;&gt;"",R28=0),IF(R11&lt;&gt;"",R11/3600*1.2,IF(R12&lt;&gt;"",R12*1.2,0)),IF(OR(R28&lt;=4,R28=6),Q35,IF(R28=5,Q35+P35,#N/A)))</f>
        <v>4.6666666666666661</v>
      </c>
      <c r="S35" s="59">
        <f>IF(OR(S11&lt;&gt;"",S12&lt;&gt;"",S28=0),IF(S11&lt;&gt;"",S11/3600*1.2,IF(S12&lt;&gt;"",S12*1.2,0)),IF(OR(S28&lt;=4,S28=6),R35,IF(S28=5,R35+Q35,#N/A)))</f>
        <v>4.6666666666666661</v>
      </c>
      <c r="T35" s="59">
        <f>IF(OR(T11&lt;&gt;"",T12&lt;&gt;"",T28=0),IF(T11&lt;&gt;"",T11/3600*1.2,IF(T12&lt;&gt;"",T12*1.2,0)),IF(OR(T28&lt;=4,T28=6),#REF!,IF(T28=5,#REF!+S35,#N/A)))</f>
        <v>4.6666666666666661</v>
      </c>
      <c r="U35" s="59">
        <f>IF(OR(U11&lt;&gt;"",U12&lt;&gt;"",U28=0),IF(U11&lt;&gt;"",U11/3600*1.2,IF(U12&lt;&gt;"",U12*1.2,0)),IF(OR(U28&lt;=4,U28=6),T35,IF(U28=5,T35+#REF!,#N/A)))</f>
        <v>4.6666666666666661</v>
      </c>
      <c r="V35" s="59">
        <f>IF(OR(V11&lt;&gt;"",V12&lt;&gt;"",V28=0),IF(V11&lt;&gt;"",V11/3600*1.2,IF(V12&lt;&gt;"",V12*1.2,0)),IF(OR(V28&lt;=4,V28=6),U35,IF(V28=5,U35+T35,#N/A)))</f>
        <v>0</v>
      </c>
      <c r="W35" s="59">
        <f t="shared" ref="W35" si="25">IF(OR(W11&lt;&gt;"",W12&lt;&gt;"",W28=0),IF(W11&lt;&gt;"",W11/3600*1.2,IF(W12&lt;&gt;"",W12*1.2,0)),IF(OR(W28&lt;=4,W28=6),V35,IF(W28=5,V35+U35,#N/A)))</f>
        <v>0</v>
      </c>
      <c r="Y35" s="61"/>
      <c r="Z35" s="61"/>
      <c r="AA35" s="61"/>
    </row>
    <row r="36" spans="2:27" s="59" customFormat="1" ht="25.5" x14ac:dyDescent="0.2">
      <c r="B36" s="66" t="s">
        <v>132</v>
      </c>
      <c r="C36" s="62" t="s">
        <v>0</v>
      </c>
      <c r="E36" s="59">
        <f>IF(E29=1,E6,"")</f>
        <v>-25</v>
      </c>
      <c r="F36" s="59">
        <f t="shared" ref="F36:W36" si="26">IF(F29=1,F6,"")</f>
        <v>-25</v>
      </c>
      <c r="G36" s="59">
        <f t="shared" si="26"/>
        <v>-25</v>
      </c>
      <c r="H36" s="59">
        <f t="shared" si="26"/>
        <v>-25</v>
      </c>
      <c r="I36" s="59">
        <f t="shared" si="26"/>
        <v>20</v>
      </c>
      <c r="J36" s="59" t="str">
        <f t="shared" si="26"/>
        <v/>
      </c>
      <c r="K36" s="59">
        <f t="shared" si="26"/>
        <v>7.298095599907235</v>
      </c>
      <c r="L36" s="59">
        <f t="shared" si="26"/>
        <v>8</v>
      </c>
      <c r="M36" s="59">
        <f t="shared" si="26"/>
        <v>8</v>
      </c>
      <c r="N36" s="59">
        <f t="shared" si="26"/>
        <v>20</v>
      </c>
      <c r="O36" s="59">
        <f t="shared" si="26"/>
        <v>35</v>
      </c>
      <c r="P36" s="59">
        <f t="shared" si="26"/>
        <v>16</v>
      </c>
      <c r="Q36" s="59">
        <f t="shared" si="26"/>
        <v>16</v>
      </c>
      <c r="R36" s="59">
        <f>IF(R29=1,R6,"")</f>
        <v>20</v>
      </c>
      <c r="S36" s="59">
        <f>IF(S29=1,S6,"")</f>
        <v>20</v>
      </c>
      <c r="T36" s="59">
        <f t="shared" si="26"/>
        <v>20</v>
      </c>
      <c r="U36" s="59">
        <f>IF(U29=1,U6,"")</f>
        <v>20</v>
      </c>
      <c r="V36" s="59" t="str">
        <f>IF(V29=1,V6,"")</f>
        <v/>
      </c>
      <c r="W36" s="59" t="str">
        <f t="shared" si="26"/>
        <v/>
      </c>
      <c r="Y36" s="61"/>
      <c r="Z36" s="61"/>
      <c r="AA36" s="61"/>
    </row>
    <row r="37" spans="2:27" s="59" customFormat="1" x14ac:dyDescent="0.2">
      <c r="C37" s="63" t="s">
        <v>1</v>
      </c>
      <c r="E37" s="59">
        <f>IF(E30=1,E7/100,"")</f>
        <v>0.2</v>
      </c>
      <c r="F37" s="59">
        <f t="shared" ref="F37:W37" si="27">IF(F30=1,F7/100,"")</f>
        <v>0.2</v>
      </c>
      <c r="G37" s="59">
        <f t="shared" si="27"/>
        <v>0.2</v>
      </c>
      <c r="H37" s="59">
        <f t="shared" si="27"/>
        <v>0.2</v>
      </c>
      <c r="I37" s="59">
        <f t="shared" si="27"/>
        <v>0.6</v>
      </c>
      <c r="J37" s="59" t="str">
        <f t="shared" si="27"/>
        <v/>
      </c>
      <c r="K37" s="59">
        <f t="shared" si="27"/>
        <v>9.8922192852820522E-3</v>
      </c>
      <c r="L37" s="59" t="str">
        <f t="shared" si="27"/>
        <v/>
      </c>
      <c r="M37" s="59">
        <f t="shared" si="27"/>
        <v>9.4279970713545064E-5</v>
      </c>
      <c r="N37" s="59" t="str">
        <f t="shared" si="27"/>
        <v/>
      </c>
      <c r="O37" s="59">
        <f t="shared" si="27"/>
        <v>0.4</v>
      </c>
      <c r="P37" s="59" t="str">
        <f t="shared" si="27"/>
        <v/>
      </c>
      <c r="Q37" s="59">
        <f t="shared" si="27"/>
        <v>7.5771330367416147E-3</v>
      </c>
      <c r="R37" s="59" t="str">
        <f>IF(R30=1,R7/100,"")</f>
        <v/>
      </c>
      <c r="S37" s="59">
        <f>IF(S30=1,S7/100,"")</f>
        <v>5.889954581965501E-5</v>
      </c>
      <c r="T37" s="59">
        <f t="shared" si="27"/>
        <v>5.8899545819655011E-7</v>
      </c>
      <c r="U37" s="59">
        <f>IF(U30=1,U7/100,"")</f>
        <v>5.889954581965502E-9</v>
      </c>
      <c r="V37" s="59" t="str">
        <f>IF(V30=1,V7/100,"")</f>
        <v/>
      </c>
      <c r="W37" s="59" t="str">
        <f t="shared" si="27"/>
        <v/>
      </c>
      <c r="Y37" s="61"/>
      <c r="Z37" s="61"/>
      <c r="AA37" s="61"/>
    </row>
    <row r="38" spans="2:27" s="59" customFormat="1" x14ac:dyDescent="0.2">
      <c r="C38" s="62" t="s">
        <v>2</v>
      </c>
      <c r="E38" s="59" t="str">
        <f>IF(E31=1,E8,"")</f>
        <v/>
      </c>
      <c r="F38" s="59" t="str">
        <f t="shared" ref="F38:W39" si="28">IF(F31=1,F8,"")</f>
        <v/>
      </c>
      <c r="G38" s="59" t="str">
        <f t="shared" si="28"/>
        <v/>
      </c>
      <c r="H38" s="59" t="str">
        <f t="shared" si="28"/>
        <v/>
      </c>
      <c r="I38" s="59" t="str">
        <f t="shared" si="28"/>
        <v/>
      </c>
      <c r="J38" s="59" t="str">
        <f t="shared" si="28"/>
        <v/>
      </c>
      <c r="K38" s="59" t="str">
        <f t="shared" si="28"/>
        <v/>
      </c>
      <c r="L38" s="59" t="str">
        <f t="shared" si="28"/>
        <v/>
      </c>
      <c r="M38" s="59" t="str">
        <f t="shared" si="28"/>
        <v/>
      </c>
      <c r="N38" s="59" t="str">
        <f t="shared" si="28"/>
        <v/>
      </c>
      <c r="O38" s="59" t="str">
        <f t="shared" si="28"/>
        <v/>
      </c>
      <c r="P38" s="59" t="str">
        <f t="shared" si="28"/>
        <v/>
      </c>
      <c r="Q38" s="59" t="str">
        <f t="shared" si="28"/>
        <v/>
      </c>
      <c r="R38" s="59" t="str">
        <f>IF(R31=1,R8,"")</f>
        <v/>
      </c>
      <c r="S38" s="59" t="str">
        <f>IF(S31=1,S8,"")</f>
        <v/>
      </c>
      <c r="T38" s="59" t="str">
        <f t="shared" si="28"/>
        <v/>
      </c>
      <c r="U38" s="59" t="str">
        <f>IF(U31=1,U8,"")</f>
        <v/>
      </c>
      <c r="V38" s="59" t="str">
        <f>IF(V31=1,V8,"")</f>
        <v/>
      </c>
      <c r="W38" s="59" t="str">
        <f t="shared" si="28"/>
        <v/>
      </c>
      <c r="Y38" s="61"/>
      <c r="Z38" s="61"/>
      <c r="AA38" s="61"/>
    </row>
    <row r="39" spans="2:27" s="59" customFormat="1" x14ac:dyDescent="0.2">
      <c r="C39" s="62" t="s">
        <v>3</v>
      </c>
      <c r="E39" s="59" t="str">
        <f>IF(E32=1,E9,"")</f>
        <v/>
      </c>
      <c r="F39" s="59" t="str">
        <f t="shared" si="28"/>
        <v/>
      </c>
      <c r="G39" s="59" t="str">
        <f t="shared" si="28"/>
        <v/>
      </c>
      <c r="H39" s="59" t="str">
        <f t="shared" si="28"/>
        <v/>
      </c>
      <c r="I39" s="59" t="str">
        <f t="shared" si="28"/>
        <v/>
      </c>
      <c r="J39" s="59" t="str">
        <f t="shared" si="28"/>
        <v/>
      </c>
      <c r="K39" s="59" t="str">
        <f t="shared" si="28"/>
        <v/>
      </c>
      <c r="L39" s="59" t="str">
        <f t="shared" si="28"/>
        <v/>
      </c>
      <c r="M39" s="59" t="str">
        <f t="shared" si="28"/>
        <v/>
      </c>
      <c r="N39" s="59" t="str">
        <f t="shared" si="28"/>
        <v/>
      </c>
      <c r="O39" s="59" t="str">
        <f t="shared" si="28"/>
        <v/>
      </c>
      <c r="P39" s="59" t="str">
        <f t="shared" si="28"/>
        <v/>
      </c>
      <c r="Q39" s="59" t="str">
        <f t="shared" si="28"/>
        <v/>
      </c>
      <c r="R39" s="59" t="str">
        <f>IF(R32=1,R9,"")</f>
        <v/>
      </c>
      <c r="S39" s="59" t="str">
        <f>IF(S32=1,S9,"")</f>
        <v/>
      </c>
      <c r="T39" s="59" t="str">
        <f t="shared" si="28"/>
        <v/>
      </c>
      <c r="U39" s="59" t="str">
        <f>IF(U32=1,U9,"")</f>
        <v/>
      </c>
      <c r="V39" s="59" t="str">
        <f>IF(V32=1,V9,"")</f>
        <v/>
      </c>
      <c r="W39" s="59" t="str">
        <f t="shared" si="28"/>
        <v/>
      </c>
      <c r="Y39" s="61"/>
      <c r="Z39" s="61"/>
      <c r="AA39" s="61"/>
    </row>
    <row r="40" spans="2:27" s="59" customFormat="1" x14ac:dyDescent="0.2">
      <c r="B40" s="59" t="s">
        <v>105</v>
      </c>
      <c r="C40" s="59" t="s">
        <v>36</v>
      </c>
      <c r="E40" s="67" t="b">
        <f>OR(E34&gt;2,E33=1)</f>
        <v>0</v>
      </c>
      <c r="F40" s="67" t="b">
        <f t="shared" ref="F40:W40" si="29">OR(F34&gt;2,F33=1)</f>
        <v>0</v>
      </c>
      <c r="G40" s="67" t="b">
        <f t="shared" si="29"/>
        <v>0</v>
      </c>
      <c r="H40" s="67" t="b">
        <f t="shared" si="29"/>
        <v>0</v>
      </c>
      <c r="I40" s="67" t="b">
        <f t="shared" si="29"/>
        <v>0</v>
      </c>
      <c r="J40" s="67" t="b">
        <f t="shared" si="29"/>
        <v>0</v>
      </c>
      <c r="K40" s="67" t="b">
        <f t="shared" si="29"/>
        <v>0</v>
      </c>
      <c r="L40" s="67" t="b">
        <f t="shared" si="29"/>
        <v>0</v>
      </c>
      <c r="M40" s="111" t="b">
        <f t="shared" si="29"/>
        <v>0</v>
      </c>
      <c r="N40" s="111" t="b">
        <f t="shared" si="29"/>
        <v>0</v>
      </c>
      <c r="O40" s="111" t="b">
        <f t="shared" si="29"/>
        <v>0</v>
      </c>
      <c r="P40" s="111" t="b">
        <f t="shared" si="29"/>
        <v>0</v>
      </c>
      <c r="Q40" s="111" t="b">
        <f t="shared" si="29"/>
        <v>0</v>
      </c>
      <c r="R40" s="111" t="b">
        <f t="shared" si="29"/>
        <v>0</v>
      </c>
      <c r="S40" s="111" t="b">
        <f t="shared" si="29"/>
        <v>0</v>
      </c>
      <c r="T40" s="111" t="b">
        <f t="shared" si="29"/>
        <v>0</v>
      </c>
      <c r="U40" s="111" t="b">
        <f t="shared" si="29"/>
        <v>0</v>
      </c>
      <c r="V40" s="111" t="b">
        <f t="shared" si="29"/>
        <v>0</v>
      </c>
      <c r="W40" s="111" t="b">
        <f t="shared" si="29"/>
        <v>0</v>
      </c>
      <c r="Y40" s="61"/>
      <c r="Z40" s="61"/>
      <c r="AA40" s="61"/>
    </row>
    <row r="41" spans="2:27" s="59" customFormat="1" x14ac:dyDescent="0.2">
      <c r="B41" s="59" t="s">
        <v>47</v>
      </c>
      <c r="C41" s="59" t="s">
        <v>36</v>
      </c>
      <c r="E41" s="67" t="b">
        <f>E34=1</f>
        <v>0</v>
      </c>
      <c r="F41" s="67" t="b">
        <f t="shared" ref="F41:W41" si="30">F34=1</f>
        <v>0</v>
      </c>
      <c r="G41" s="67" t="b">
        <f t="shared" si="30"/>
        <v>0</v>
      </c>
      <c r="H41" s="67" t="b">
        <f t="shared" si="30"/>
        <v>0</v>
      </c>
      <c r="I41" s="67" t="b">
        <f t="shared" si="30"/>
        <v>0</v>
      </c>
      <c r="J41" s="67" t="b">
        <f t="shared" si="30"/>
        <v>0</v>
      </c>
      <c r="K41" s="67" t="b">
        <f t="shared" si="30"/>
        <v>0</v>
      </c>
      <c r="L41" s="67" t="b">
        <f t="shared" si="30"/>
        <v>1</v>
      </c>
      <c r="M41" s="111" t="b">
        <f t="shared" si="30"/>
        <v>0</v>
      </c>
      <c r="N41" s="111" t="b">
        <f t="shared" si="30"/>
        <v>1</v>
      </c>
      <c r="O41" s="111" t="b">
        <f t="shared" si="30"/>
        <v>0</v>
      </c>
      <c r="P41" s="111" t="b">
        <f t="shared" si="30"/>
        <v>1</v>
      </c>
      <c r="Q41" s="111" t="b">
        <f t="shared" si="30"/>
        <v>0</v>
      </c>
      <c r="R41" s="111" t="b">
        <f t="shared" si="30"/>
        <v>1</v>
      </c>
      <c r="S41" s="111" t="b">
        <f t="shared" si="30"/>
        <v>0</v>
      </c>
      <c r="T41" s="111" t="b">
        <f t="shared" si="30"/>
        <v>0</v>
      </c>
      <c r="U41" s="111" t="b">
        <f t="shared" si="30"/>
        <v>0</v>
      </c>
      <c r="V41" s="111" t="b">
        <f t="shared" si="30"/>
        <v>0</v>
      </c>
      <c r="W41" s="111" t="b">
        <f t="shared" si="30"/>
        <v>0</v>
      </c>
      <c r="Y41" s="61"/>
      <c r="Z41" s="61"/>
      <c r="AA41" s="61"/>
    </row>
    <row r="42" spans="2:27" s="59" customFormat="1" x14ac:dyDescent="0.2">
      <c r="B42" s="59" t="s">
        <v>36</v>
      </c>
      <c r="C42" s="59" t="s">
        <v>36</v>
      </c>
      <c r="E42" s="67" t="b">
        <f>E34=0</f>
        <v>0</v>
      </c>
      <c r="F42" s="67" t="b">
        <f t="shared" ref="F42:W42" si="31">F34=0</f>
        <v>0</v>
      </c>
      <c r="G42" s="67" t="b">
        <f t="shared" si="31"/>
        <v>0</v>
      </c>
      <c r="H42" s="67" t="b">
        <f t="shared" si="31"/>
        <v>0</v>
      </c>
      <c r="I42" s="67" t="b">
        <f t="shared" si="31"/>
        <v>0</v>
      </c>
      <c r="J42" s="67" t="b">
        <f t="shared" si="31"/>
        <v>1</v>
      </c>
      <c r="K42" s="67" t="b">
        <f t="shared" si="31"/>
        <v>0</v>
      </c>
      <c r="L42" s="67" t="b">
        <f t="shared" si="31"/>
        <v>0</v>
      </c>
      <c r="M42" s="111" t="b">
        <f t="shared" si="31"/>
        <v>0</v>
      </c>
      <c r="N42" s="111" t="b">
        <f t="shared" si="31"/>
        <v>0</v>
      </c>
      <c r="O42" s="111" t="b">
        <f t="shared" si="31"/>
        <v>0</v>
      </c>
      <c r="P42" s="111" t="b">
        <f t="shared" si="31"/>
        <v>0</v>
      </c>
      <c r="Q42" s="111" t="b">
        <f t="shared" si="31"/>
        <v>0</v>
      </c>
      <c r="R42" s="111" t="b">
        <f t="shared" si="31"/>
        <v>0</v>
      </c>
      <c r="S42" s="111" t="b">
        <f t="shared" si="31"/>
        <v>0</v>
      </c>
      <c r="T42" s="111" t="b">
        <f t="shared" si="31"/>
        <v>0</v>
      </c>
      <c r="U42" s="111" t="b">
        <f t="shared" si="31"/>
        <v>0</v>
      </c>
      <c r="V42" s="111" t="b">
        <f t="shared" si="31"/>
        <v>1</v>
      </c>
      <c r="W42" s="111" t="b">
        <f t="shared" si="31"/>
        <v>1</v>
      </c>
      <c r="Y42" s="61"/>
      <c r="Z42" s="61"/>
      <c r="AA42" s="61"/>
    </row>
    <row r="43" spans="2:27" s="59" customFormat="1" x14ac:dyDescent="0.2">
      <c r="B43" s="65"/>
      <c r="Y43" s="61"/>
      <c r="Z43" s="61"/>
      <c r="AA43" s="61"/>
    </row>
    <row r="44" spans="2:27" s="59" customFormat="1" ht="25.5" x14ac:dyDescent="0.2">
      <c r="B44" s="66" t="s">
        <v>96</v>
      </c>
      <c r="C44" s="62" t="s">
        <v>0</v>
      </c>
      <c r="E44" s="68" t="str">
        <f>""</f>
        <v/>
      </c>
      <c r="F44" s="59">
        <f t="shared" ref="F44:W44" si="32">IF(F29=1,F6,"")</f>
        <v>-25</v>
      </c>
      <c r="G44" s="59">
        <f t="shared" si="32"/>
        <v>-25</v>
      </c>
      <c r="H44" s="59">
        <f t="shared" si="32"/>
        <v>-25</v>
      </c>
      <c r="I44" s="59">
        <f t="shared" si="32"/>
        <v>20</v>
      </c>
      <c r="J44" s="59" t="str">
        <f t="shared" si="32"/>
        <v/>
      </c>
      <c r="K44" s="59">
        <f t="shared" si="32"/>
        <v>7.298095599907235</v>
      </c>
      <c r="L44" s="59">
        <f t="shared" si="32"/>
        <v>8</v>
      </c>
      <c r="M44" s="59">
        <f t="shared" si="32"/>
        <v>8</v>
      </c>
      <c r="N44" s="59">
        <f t="shared" si="32"/>
        <v>20</v>
      </c>
      <c r="O44" s="59">
        <f t="shared" si="32"/>
        <v>35</v>
      </c>
      <c r="P44" s="59">
        <f t="shared" si="32"/>
        <v>16</v>
      </c>
      <c r="Q44" s="59">
        <f t="shared" si="32"/>
        <v>16</v>
      </c>
      <c r="R44" s="59">
        <f>IF(R29=1,R6,"")</f>
        <v>20</v>
      </c>
      <c r="S44" s="59">
        <f>IF(S29=1,S6,"")</f>
        <v>20</v>
      </c>
      <c r="T44" s="59">
        <f t="shared" si="32"/>
        <v>20</v>
      </c>
      <c r="U44" s="59">
        <f>IF(U29=1,U6,"")</f>
        <v>20</v>
      </c>
      <c r="V44" s="59" t="str">
        <f>IF(V29=1,V6,"")</f>
        <v/>
      </c>
      <c r="W44" s="59" t="str">
        <f t="shared" si="32"/>
        <v/>
      </c>
      <c r="Y44" s="61"/>
      <c r="Z44" s="61"/>
      <c r="AA44" s="61"/>
    </row>
    <row r="45" spans="2:27" s="59" customFormat="1" x14ac:dyDescent="0.2">
      <c r="C45" s="63" t="s">
        <v>1</v>
      </c>
      <c r="E45" s="68" t="str">
        <f>""</f>
        <v/>
      </c>
      <c r="F45" s="68" t="str">
        <f>""</f>
        <v/>
      </c>
      <c r="G45" s="68" t="str">
        <f>""</f>
        <v/>
      </c>
      <c r="H45" s="68" t="str">
        <f>""</f>
        <v/>
      </c>
      <c r="I45" s="68" t="str">
        <f>""</f>
        <v/>
      </c>
      <c r="J45" s="68" t="str">
        <f>""</f>
        <v/>
      </c>
      <c r="K45" s="68" t="str">
        <f>""</f>
        <v/>
      </c>
      <c r="L45" s="68" t="str">
        <f>""</f>
        <v/>
      </c>
      <c r="M45" s="68" t="str">
        <f>""</f>
        <v/>
      </c>
      <c r="N45" s="68" t="str">
        <f>""</f>
        <v/>
      </c>
      <c r="O45" s="68" t="str">
        <f>""</f>
        <v/>
      </c>
      <c r="P45" s="68" t="str">
        <f>""</f>
        <v/>
      </c>
      <c r="Q45" s="68" t="str">
        <f>""</f>
        <v/>
      </c>
      <c r="R45" s="68" t="str">
        <f>""</f>
        <v/>
      </c>
      <c r="S45" s="68" t="str">
        <f>""</f>
        <v/>
      </c>
      <c r="T45" s="68" t="str">
        <f>""</f>
        <v/>
      </c>
      <c r="U45" s="68" t="str">
        <f>""</f>
        <v/>
      </c>
      <c r="V45" s="68" t="str">
        <f>""</f>
        <v/>
      </c>
      <c r="W45" s="68" t="str">
        <f>""</f>
        <v/>
      </c>
      <c r="Y45" s="61"/>
      <c r="Z45" s="61"/>
      <c r="AA45" s="61"/>
    </row>
    <row r="46" spans="2:27" s="59" customFormat="1" x14ac:dyDescent="0.2">
      <c r="C46" s="62" t="s">
        <v>2</v>
      </c>
      <c r="E46" s="68" t="str">
        <f>""</f>
        <v/>
      </c>
      <c r="F46" s="69">
        <f>E18</f>
        <v>8.3203757830561539E-2</v>
      </c>
      <c r="G46" s="69">
        <f t="shared" ref="G46:W46" si="33">F18</f>
        <v>8.3203757830561539E-2</v>
      </c>
      <c r="H46" s="69">
        <f t="shared" si="33"/>
        <v>8.3203757830561539E-2</v>
      </c>
      <c r="I46" s="69">
        <f t="shared" si="33"/>
        <v>8.3203757830561539E-2</v>
      </c>
      <c r="J46" s="69">
        <f t="shared" si="33"/>
        <v>9.3757233081908904</v>
      </c>
      <c r="K46" s="69">
        <f t="shared" si="33"/>
        <v>6.7207177223736538</v>
      </c>
      <c r="L46" s="69">
        <f t="shared" si="33"/>
        <v>6.6496099596165939E-2</v>
      </c>
      <c r="M46" s="69">
        <f t="shared" si="33"/>
        <v>6.6496099596165939E-2</v>
      </c>
      <c r="N46" s="69">
        <f t="shared" si="33"/>
        <v>6.6489064798930036E-4</v>
      </c>
      <c r="O46" s="69">
        <f t="shared" si="33"/>
        <v>6.6489064798930036E-4</v>
      </c>
      <c r="P46" s="69">
        <f t="shared" si="33"/>
        <v>15.17511246915182</v>
      </c>
      <c r="Q46" s="69">
        <f t="shared" si="33"/>
        <v>9.2012211080269264</v>
      </c>
      <c r="R46" s="69">
        <f t="shared" si="33"/>
        <v>9.0684559843778378E-2</v>
      </c>
      <c r="S46" s="69">
        <f t="shared" si="33"/>
        <v>9.0684559843778378E-2</v>
      </c>
      <c r="T46" s="69" t="e">
        <f>#REF!</f>
        <v>#REF!</v>
      </c>
      <c r="U46" s="69">
        <f t="shared" si="33"/>
        <v>9.0671345975486622E-6</v>
      </c>
      <c r="V46" s="69">
        <f t="shared" si="33"/>
        <v>9.0671344667373509E-8</v>
      </c>
      <c r="W46" s="69" t="str">
        <f t="shared" si="33"/>
        <v/>
      </c>
      <c r="Y46" s="61"/>
      <c r="Z46" s="61"/>
      <c r="AA46" s="61"/>
    </row>
    <row r="47" spans="2:27" s="59" customFormat="1" x14ac:dyDescent="0.2">
      <c r="C47" s="62" t="s">
        <v>3</v>
      </c>
      <c r="E47" s="68" t="str">
        <f>IF(E29=1,"",D47+ABS(E13/E35))</f>
        <v/>
      </c>
      <c r="F47" s="68" t="str">
        <f>IF(F29=1,"",E19+ABS(F13/F35))</f>
        <v/>
      </c>
      <c r="G47" s="68" t="str">
        <f t="shared" ref="G47:Q47" si="34">IF(G29=1,"",F19+ABS(G13/G35))</f>
        <v/>
      </c>
      <c r="H47" s="68" t="str">
        <f t="shared" si="34"/>
        <v/>
      </c>
      <c r="I47" s="68" t="str">
        <f t="shared" si="34"/>
        <v/>
      </c>
      <c r="J47" s="68">
        <f t="shared" si="34"/>
        <v>43.997460900850115</v>
      </c>
      <c r="K47" s="68" t="str">
        <f t="shared" si="34"/>
        <v/>
      </c>
      <c r="L47" s="68" t="str">
        <f t="shared" si="34"/>
        <v/>
      </c>
      <c r="M47" s="68" t="str">
        <f t="shared" si="34"/>
        <v/>
      </c>
      <c r="N47" s="68" t="str">
        <f t="shared" si="34"/>
        <v/>
      </c>
      <c r="O47" s="68" t="str">
        <f t="shared" si="34"/>
        <v/>
      </c>
      <c r="P47" s="68" t="str">
        <f t="shared" si="34"/>
        <v/>
      </c>
      <c r="Q47" s="68" t="str">
        <f t="shared" si="34"/>
        <v/>
      </c>
      <c r="R47" s="68" t="str">
        <f>IF(R29=1,"",Q19+ABS(R13/R35))</f>
        <v/>
      </c>
      <c r="S47" s="68" t="str">
        <f>IF(S29=1,"",R19+ABS(S13/S35))</f>
        <v/>
      </c>
      <c r="T47" s="68" t="str">
        <f>IF(T29=1,"",#REF!+ABS(T13/T35))</f>
        <v/>
      </c>
      <c r="U47" s="68" t="str">
        <f>IF(U29=1,"",T19+ABS(U13/U35))</f>
        <v/>
      </c>
      <c r="V47" s="68" t="e">
        <f>IF(V29=1,"",U19+ABS(V13/V35))</f>
        <v>#DIV/0!</v>
      </c>
      <c r="W47" s="68" t="e">
        <f t="shared" ref="W47" si="35">IF(W29=1,"",V19+ABS(W13/W35))</f>
        <v>#VALUE!</v>
      </c>
      <c r="Y47" s="61"/>
      <c r="Z47" s="61"/>
      <c r="AA47" s="61"/>
    </row>
    <row r="48" spans="2:27" s="59" customFormat="1" x14ac:dyDescent="0.2">
      <c r="B48" s="59" t="s">
        <v>105</v>
      </c>
      <c r="C48" s="59" t="s">
        <v>36</v>
      </c>
      <c r="E48" s="67" t="b">
        <f>TRUE</f>
        <v>1</v>
      </c>
      <c r="F48" s="67" t="b">
        <f>OR(F30=1,F31=1,F32=1,(F29+F33)=2)</f>
        <v>1</v>
      </c>
      <c r="G48" s="67" t="b">
        <f t="shared" ref="G48:W48" si="36">OR(G30=1,G31=1,G32=1,(G29+G33)=2)</f>
        <v>1</v>
      </c>
      <c r="H48" s="67" t="b">
        <f t="shared" si="36"/>
        <v>1</v>
      </c>
      <c r="I48" s="67" t="b">
        <f t="shared" si="36"/>
        <v>1</v>
      </c>
      <c r="J48" s="67" t="b">
        <f t="shared" si="36"/>
        <v>0</v>
      </c>
      <c r="K48" s="67" t="b">
        <f t="shared" si="36"/>
        <v>1</v>
      </c>
      <c r="L48" s="67" t="b">
        <f t="shared" si="36"/>
        <v>0</v>
      </c>
      <c r="M48" s="111" t="b">
        <f t="shared" si="36"/>
        <v>1</v>
      </c>
      <c r="N48" s="111" t="b">
        <f t="shared" si="36"/>
        <v>0</v>
      </c>
      <c r="O48" s="111" t="b">
        <f t="shared" si="36"/>
        <v>1</v>
      </c>
      <c r="P48" s="111" t="b">
        <f t="shared" si="36"/>
        <v>0</v>
      </c>
      <c r="Q48" s="111" t="b">
        <f t="shared" si="36"/>
        <v>1</v>
      </c>
      <c r="R48" s="111" t="b">
        <f t="shared" si="36"/>
        <v>0</v>
      </c>
      <c r="S48" s="111" t="b">
        <f t="shared" si="36"/>
        <v>1</v>
      </c>
      <c r="T48" s="111" t="b">
        <f t="shared" si="36"/>
        <v>1</v>
      </c>
      <c r="U48" s="111" t="b">
        <f t="shared" si="36"/>
        <v>1</v>
      </c>
      <c r="V48" s="111" t="b">
        <f t="shared" si="36"/>
        <v>0</v>
      </c>
      <c r="W48" s="111" t="b">
        <f t="shared" si="36"/>
        <v>0</v>
      </c>
      <c r="Y48" s="61"/>
      <c r="Z48" s="61"/>
      <c r="AA48" s="61"/>
    </row>
    <row r="49" spans="2:27" s="59" customFormat="1" x14ac:dyDescent="0.2">
      <c r="B49" s="59" t="s">
        <v>47</v>
      </c>
      <c r="C49" s="59" t="s">
        <v>36</v>
      </c>
      <c r="E49" s="67" t="b">
        <f>FALSE</f>
        <v>0</v>
      </c>
      <c r="F49" s="67" t="b">
        <f>(F29+F33)=0</f>
        <v>0</v>
      </c>
      <c r="G49" s="67" t="b">
        <f t="shared" ref="G49:W49" si="37">(G29+G33)=0</f>
        <v>0</v>
      </c>
      <c r="H49" s="67" t="b">
        <f t="shared" si="37"/>
        <v>0</v>
      </c>
      <c r="I49" s="67" t="b">
        <f t="shared" si="37"/>
        <v>0</v>
      </c>
      <c r="J49" s="67" t="b">
        <f t="shared" si="37"/>
        <v>1</v>
      </c>
      <c r="K49" s="67" t="b">
        <f t="shared" si="37"/>
        <v>0</v>
      </c>
      <c r="L49" s="67" t="b">
        <f t="shared" si="37"/>
        <v>0</v>
      </c>
      <c r="M49" s="111" t="b">
        <f t="shared" si="37"/>
        <v>0</v>
      </c>
      <c r="N49" s="111" t="b">
        <f t="shared" si="37"/>
        <v>0</v>
      </c>
      <c r="O49" s="111" t="b">
        <f t="shared" si="37"/>
        <v>0</v>
      </c>
      <c r="P49" s="111" t="b">
        <f t="shared" si="37"/>
        <v>0</v>
      </c>
      <c r="Q49" s="111" t="b">
        <f t="shared" si="37"/>
        <v>0</v>
      </c>
      <c r="R49" s="111" t="b">
        <f t="shared" si="37"/>
        <v>0</v>
      </c>
      <c r="S49" s="111" t="b">
        <f t="shared" si="37"/>
        <v>0</v>
      </c>
      <c r="T49" s="111" t="b">
        <f t="shared" si="37"/>
        <v>0</v>
      </c>
      <c r="U49" s="111" t="b">
        <f t="shared" si="37"/>
        <v>0</v>
      </c>
      <c r="V49" s="111" t="b">
        <f t="shared" si="37"/>
        <v>1</v>
      </c>
      <c r="W49" s="111" t="b">
        <f t="shared" si="37"/>
        <v>1</v>
      </c>
      <c r="Y49" s="61"/>
      <c r="Z49" s="61"/>
      <c r="AA49" s="61"/>
    </row>
    <row r="50" spans="2:27" s="59" customFormat="1" x14ac:dyDescent="0.2">
      <c r="B50" s="59" t="s">
        <v>36</v>
      </c>
      <c r="C50" s="59" t="s">
        <v>36</v>
      </c>
      <c r="E50" s="67" t="b">
        <f>FALSE</f>
        <v>0</v>
      </c>
      <c r="F50" s="67" t="b">
        <f>FALSE</f>
        <v>0</v>
      </c>
      <c r="G50" s="67" t="b">
        <f>FALSE</f>
        <v>0</v>
      </c>
      <c r="H50" s="67" t="b">
        <f>FALSE</f>
        <v>0</v>
      </c>
      <c r="I50" s="67" t="b">
        <f>FALSE</f>
        <v>0</v>
      </c>
      <c r="J50" s="67" t="b">
        <f>FALSE</f>
        <v>0</v>
      </c>
      <c r="K50" s="67" t="b">
        <f>FALSE</f>
        <v>0</v>
      </c>
      <c r="L50" s="67" t="b">
        <f>FALSE</f>
        <v>0</v>
      </c>
      <c r="M50" s="111" t="b">
        <f>FALSE</f>
        <v>0</v>
      </c>
      <c r="N50" s="111" t="b">
        <f>FALSE</f>
        <v>0</v>
      </c>
      <c r="O50" s="111" t="b">
        <f>FALSE</f>
        <v>0</v>
      </c>
      <c r="P50" s="111" t="b">
        <f>FALSE</f>
        <v>0</v>
      </c>
      <c r="Q50" s="111" t="b">
        <f>FALSE</f>
        <v>0</v>
      </c>
      <c r="R50" s="111" t="b">
        <f>FALSE</f>
        <v>0</v>
      </c>
      <c r="S50" s="111" t="b">
        <f>FALSE</f>
        <v>0</v>
      </c>
      <c r="T50" s="111" t="b">
        <f>FALSE</f>
        <v>0</v>
      </c>
      <c r="U50" s="111" t="b">
        <f>FALSE</f>
        <v>0</v>
      </c>
      <c r="V50" s="111" t="b">
        <f>FALSE</f>
        <v>0</v>
      </c>
      <c r="W50" s="111" t="b">
        <f>FALSE</f>
        <v>0</v>
      </c>
      <c r="Y50" s="61"/>
      <c r="Z50" s="61"/>
      <c r="AA50" s="61"/>
    </row>
    <row r="51" spans="2:27" s="59" customFormat="1" x14ac:dyDescent="0.2">
      <c r="B51" s="65"/>
      <c r="E51" s="68"/>
      <c r="Y51" s="61"/>
      <c r="Z51" s="61"/>
      <c r="AA51" s="61"/>
    </row>
    <row r="52" spans="2:27" s="59" customFormat="1" ht="25.5" x14ac:dyDescent="0.2">
      <c r="B52" s="66" t="s">
        <v>97</v>
      </c>
      <c r="C52" s="62" t="s">
        <v>0</v>
      </c>
      <c r="E52" s="68" t="str">
        <f>""</f>
        <v/>
      </c>
      <c r="F52" s="59">
        <f>IF(F29=1,F6,"")</f>
        <v>-25</v>
      </c>
      <c r="G52" s="59">
        <f t="shared" ref="G52:W52" si="38">IF(G29=1,G6,"")</f>
        <v>-25</v>
      </c>
      <c r="H52" s="59">
        <f t="shared" si="38"/>
        <v>-25</v>
      </c>
      <c r="I52" s="59">
        <f t="shared" si="38"/>
        <v>20</v>
      </c>
      <c r="J52" s="59" t="str">
        <f t="shared" si="38"/>
        <v/>
      </c>
      <c r="K52" s="59">
        <f t="shared" si="38"/>
        <v>7.298095599907235</v>
      </c>
      <c r="L52" s="59">
        <f t="shared" si="38"/>
        <v>8</v>
      </c>
      <c r="M52" s="59">
        <f t="shared" si="38"/>
        <v>8</v>
      </c>
      <c r="N52" s="59">
        <f t="shared" si="38"/>
        <v>20</v>
      </c>
      <c r="O52" s="59">
        <f t="shared" si="38"/>
        <v>35</v>
      </c>
      <c r="P52" s="59">
        <f t="shared" si="38"/>
        <v>16</v>
      </c>
      <c r="Q52" s="59">
        <f t="shared" si="38"/>
        <v>16</v>
      </c>
      <c r="R52" s="59">
        <f>IF(R29=1,R6,"")</f>
        <v>20</v>
      </c>
      <c r="S52" s="59">
        <f>IF(S29=1,S6,"")</f>
        <v>20</v>
      </c>
      <c r="T52" s="59">
        <f t="shared" si="38"/>
        <v>20</v>
      </c>
      <c r="U52" s="59">
        <f>IF(U29=1,U6,"")</f>
        <v>20</v>
      </c>
      <c r="V52" s="59" t="str">
        <f>IF(V29=1,V6,"")</f>
        <v/>
      </c>
      <c r="W52" s="59" t="str">
        <f t="shared" si="38"/>
        <v/>
      </c>
      <c r="Y52" s="61"/>
      <c r="Z52" s="61"/>
      <c r="AA52" s="61"/>
    </row>
    <row r="53" spans="2:27" s="59" customFormat="1" x14ac:dyDescent="0.2">
      <c r="C53" s="63" t="s">
        <v>1</v>
      </c>
      <c r="E53" s="68" t="str">
        <f>""</f>
        <v/>
      </c>
      <c r="F53" s="59" t="str">
        <f>""</f>
        <v/>
      </c>
      <c r="G53" s="59" t="str">
        <f>""</f>
        <v/>
      </c>
      <c r="H53" s="59" t="str">
        <f>""</f>
        <v/>
      </c>
      <c r="I53" s="59" t="str">
        <f>""</f>
        <v/>
      </c>
      <c r="J53" s="59" t="str">
        <f>""</f>
        <v/>
      </c>
      <c r="K53" s="59" t="str">
        <f>""</f>
        <v/>
      </c>
      <c r="L53" s="59" t="str">
        <f>""</f>
        <v/>
      </c>
      <c r="M53" s="59" t="str">
        <f>""</f>
        <v/>
      </c>
      <c r="N53" s="59" t="str">
        <f>""</f>
        <v/>
      </c>
      <c r="O53" s="59" t="str">
        <f>""</f>
        <v/>
      </c>
      <c r="P53" s="59" t="str">
        <f>""</f>
        <v/>
      </c>
      <c r="Q53" s="59" t="str">
        <f>""</f>
        <v/>
      </c>
      <c r="R53" s="59" t="str">
        <f>""</f>
        <v/>
      </c>
      <c r="S53" s="59" t="str">
        <f>""</f>
        <v/>
      </c>
      <c r="T53" s="59" t="str">
        <f>""</f>
        <v/>
      </c>
      <c r="U53" s="59" t="str">
        <f>""</f>
        <v/>
      </c>
      <c r="V53" s="59" t="str">
        <f>""</f>
        <v/>
      </c>
      <c r="W53" s="59" t="str">
        <f>""</f>
        <v/>
      </c>
      <c r="Y53" s="61"/>
      <c r="Z53" s="61"/>
      <c r="AA53" s="61"/>
    </row>
    <row r="54" spans="2:27" s="59" customFormat="1" x14ac:dyDescent="0.2">
      <c r="C54" s="62" t="s">
        <v>2</v>
      </c>
      <c r="E54" s="68" t="str">
        <f>""</f>
        <v/>
      </c>
      <c r="F54" s="59">
        <f>IF(F33=1,MIN(E18,E18+(xchladice-E18)*(E19-F55)/(E19-Hchladice)),IF(AND(F29=1,xchladice&gt;=E18),E18,""))</f>
        <v>8.3203757830561539E-2</v>
      </c>
      <c r="G54" s="59">
        <f t="shared" ref="G54:N54" si="39">IF(G33=1,MIN(F18,F18+(xchladice-F18)*(F19-G55)/(F19-Hchladice)),IF(AND(G29=1,xchladice&gt;=F18),F18,""))</f>
        <v>8.3203757830561539E-2</v>
      </c>
      <c r="H54" s="59">
        <f t="shared" si="39"/>
        <v>8.3203757830561539E-2</v>
      </c>
      <c r="I54" s="59">
        <f t="shared" si="39"/>
        <v>8.3203757830561539E-2</v>
      </c>
      <c r="J54" s="59" t="str">
        <f t="shared" si="39"/>
        <v/>
      </c>
      <c r="K54" s="59" t="str">
        <f t="shared" si="39"/>
        <v/>
      </c>
      <c r="L54" s="59">
        <f t="shared" si="39"/>
        <v>6.6496099596165939E-2</v>
      </c>
      <c r="M54" s="59">
        <f t="shared" si="39"/>
        <v>6.6496099596165939E-2</v>
      </c>
      <c r="N54" s="59">
        <f t="shared" si="39"/>
        <v>6.6489064798930036E-4</v>
      </c>
      <c r="O54" s="59">
        <f t="shared" ref="O54" si="40">IF(O33=1,MIN(N18,N18+(xchladice-N18)*(N19-O55)/(N19-Hchladice)),IF(AND(O29=1,xchladice&gt;=N18),N18,""))</f>
        <v>6.6489064798930036E-4</v>
      </c>
      <c r="P54" s="59" t="str">
        <f t="shared" ref="P54" si="41">IF(P33=1,MIN(O18,O18+(xchladice-O18)*(O19-P55)/(O19-Hchladice)),IF(AND(P29=1,xchladice&gt;=O18),O18,""))</f>
        <v/>
      </c>
      <c r="Q54" s="59" t="str">
        <f t="shared" ref="Q54" si="42">IF(Q33=1,MIN(P18,P18+(xchladice-P18)*(P19-Q55)/(P19-Hchladice)),IF(AND(Q29=1,xchladice&gt;=P18),P18,""))</f>
        <v/>
      </c>
      <c r="R54" s="59">
        <f t="shared" ref="R54" si="43">IF(R33=1,MIN(Q18,Q18+(xchladice-Q18)*(Q19-R55)/(Q19-Hchladice)),IF(AND(R29=1,xchladice&gt;=Q18),Q18,""))</f>
        <v>9.0684559843778378E-2</v>
      </c>
      <c r="S54" s="59">
        <f t="shared" ref="S54" si="44">IF(S33=1,MIN(R18,R18+(xchladice-R18)*(R19-S55)/(R19-Hchladice)),IF(AND(S29=1,xchladice&gt;=R18),R18,""))</f>
        <v>9.0684559843778378E-2</v>
      </c>
      <c r="T54" s="59" t="e">
        <f>IF(T33=1,MIN(#REF!,#REF!+(xchladice-#REF!)*(#REF!-T55)/(#REF!-Hchladice)),IF(AND(T29=1,xchladice&gt;=#REF!),#REF!,""))</f>
        <v>#REF!</v>
      </c>
      <c r="U54" s="59">
        <f t="shared" ref="U54" si="45">IF(U33=1,MIN(T18,T18+(xchladice-T18)*(T19-U55)/(T19-Hchladice)),IF(AND(U29=1,xchladice&gt;=T18),T18,""))</f>
        <v>9.0671345975486622E-6</v>
      </c>
      <c r="V54" s="59" t="str">
        <f t="shared" ref="V54" si="46">IF(V33=1,MIN(U18,U18+(xchladice-U18)*(U19-V55)/(U19-Hchladice)),IF(AND(V29=1,xchladice&gt;=U18),U18,""))</f>
        <v/>
      </c>
      <c r="W54" s="59" t="str">
        <f t="shared" ref="W54" si="47">IF(W33=1,MIN(V18,V18+(xchladice-V18)*(V19-W55)/(V19-Hchladice)),IF(AND(W29=1,xchladice&gt;=V18),V18,""))</f>
        <v/>
      </c>
      <c r="Y54" s="61"/>
      <c r="Z54" s="61"/>
      <c r="AA54" s="61"/>
    </row>
    <row r="55" spans="2:27" s="59" customFormat="1" x14ac:dyDescent="0.2">
      <c r="C55" s="62" t="s">
        <v>3</v>
      </c>
      <c r="E55" s="68" t="str">
        <f>""</f>
        <v/>
      </c>
      <c r="F55" s="59" t="str">
        <f>IF(F33=1,E19-ABS(F13/F35),IF(xchladice&lt;E18,E19-(E19-Hchladice)*(F6-E16)/(Tchladice-E16),""))</f>
        <v/>
      </c>
      <c r="G55" s="59" t="str">
        <f t="shared" ref="G55:N55" si="48">IF(G33=1,F19-ABS(G13/G35),IF(xchladice&lt;F18,F19-(F19-Hchladice)*(G6-F16)/(Tchladice-F16),""))</f>
        <v/>
      </c>
      <c r="H55" s="59" t="str">
        <f t="shared" si="48"/>
        <v/>
      </c>
      <c r="I55" s="59" t="str">
        <f t="shared" si="48"/>
        <v/>
      </c>
      <c r="J55" s="59">
        <f t="shared" si="48"/>
        <v>10.594473166786877</v>
      </c>
      <c r="K55" s="59">
        <f t="shared" si="48"/>
        <v>24.27082167877726</v>
      </c>
      <c r="L55" s="59" t="str">
        <f t="shared" si="48"/>
        <v/>
      </c>
      <c r="M55" s="59" t="str">
        <f t="shared" si="48"/>
        <v/>
      </c>
      <c r="N55" s="59" t="str">
        <f t="shared" si="48"/>
        <v/>
      </c>
      <c r="O55" s="59" t="str">
        <f t="shared" ref="O55" si="49">IF(O33=1,N19-ABS(O13/O35),IF(xchladice&lt;N18,N19-(N19-Hchladice)*(O6-N16)/(Tchladice-N16),""))</f>
        <v/>
      </c>
      <c r="P55" s="59">
        <f t="shared" ref="P55" si="50">IF(P33=1,O19-ABS(P13/P35),IF(xchladice&lt;O18,O19-(O19-Hchladice)*(P6-O16)/(Tchladice-O16),""))</f>
        <v>39.446082331350226</v>
      </c>
      <c r="Q55" s="59">
        <f t="shared" ref="Q55" si="51">IF(Q33=1,P19-ABS(Q13/Q35),IF(xchladice&lt;P18,P19-(P19-Hchladice)*(Q6-P16)/(Tchladice-P16),""))</f>
        <v>39.446082331350226</v>
      </c>
      <c r="R55" s="59" t="str">
        <f>IF(R33=1,Q19-ABS(R13/R35),IF(xchladice&lt;Q18,Q19-(Q19-Hchladice)*(R6-Q16)/(Tchladice-Q16),""))</f>
        <v/>
      </c>
      <c r="S55" s="59" t="str">
        <f>IF(S33=1,R19-ABS(S13/S35),IF(xchladice&lt;R18,R19-(R19-Hchladice)*(S6-R16)/(Tchladice-R16),""))</f>
        <v/>
      </c>
      <c r="T55" s="59" t="e">
        <f>IF(T33=1,#REF!-ABS(T13/T35),IF(xchladice&lt;#REF!,#REF!-(#REF!-Hchladice)*(T6-#REF!)/(Tchladice-#REF!),""))</f>
        <v>#REF!</v>
      </c>
      <c r="U55" s="59" t="str">
        <f>IF(U33=1,T19-ABS(U13/U35),IF(xchladice&lt;T18,T19-(T19-Hchladice)*(U6-T16)/(Tchladice-T16),""))</f>
        <v/>
      </c>
      <c r="V55" s="59" t="str">
        <f>IF(V33=1,U19-ABS(V13/V35),IF(xchladice&lt;U18,U19-(U19-Hchladice)*(V6-U16)/(Tchladice-U16),""))</f>
        <v/>
      </c>
      <c r="W55" s="59" t="e">
        <f t="shared" ref="W55" si="52">IF(W33=1,V19-ABS(W13/W35),IF(xchladice&lt;V18,V19-(V19-Hchladice)*(W6-V16)/(Tchladice-V16),""))</f>
        <v>#VALUE!</v>
      </c>
      <c r="Y55" s="61"/>
      <c r="Z55" s="61"/>
      <c r="AA55" s="61"/>
    </row>
    <row r="56" spans="2:27" s="59" customFormat="1" x14ac:dyDescent="0.2">
      <c r="B56" s="59" t="s">
        <v>105</v>
      </c>
      <c r="C56" s="59" t="s">
        <v>36</v>
      </c>
      <c r="E56" s="67" t="b">
        <f>TRUE</f>
        <v>1</v>
      </c>
      <c r="F56" s="67" t="b">
        <f>OR(F30=1,F31=1,F32=1,(F29+F33)=2)</f>
        <v>1</v>
      </c>
      <c r="G56" s="67" t="b">
        <f t="shared" ref="G56:W56" si="53">OR(G30=1,G31=1,G32=1,(G29+G33)=2)</f>
        <v>1</v>
      </c>
      <c r="H56" s="67" t="b">
        <f t="shared" si="53"/>
        <v>1</v>
      </c>
      <c r="I56" s="67" t="b">
        <f t="shared" si="53"/>
        <v>1</v>
      </c>
      <c r="J56" s="67" t="b">
        <f t="shared" si="53"/>
        <v>0</v>
      </c>
      <c r="K56" s="67" t="b">
        <f t="shared" si="53"/>
        <v>1</v>
      </c>
      <c r="L56" s="67" t="b">
        <f t="shared" si="53"/>
        <v>0</v>
      </c>
      <c r="M56" s="111" t="b">
        <f t="shared" si="53"/>
        <v>1</v>
      </c>
      <c r="N56" s="111" t="b">
        <f t="shared" si="53"/>
        <v>0</v>
      </c>
      <c r="O56" s="111" t="b">
        <f t="shared" si="53"/>
        <v>1</v>
      </c>
      <c r="P56" s="111" t="b">
        <f t="shared" si="53"/>
        <v>0</v>
      </c>
      <c r="Q56" s="111" t="b">
        <f t="shared" si="53"/>
        <v>1</v>
      </c>
      <c r="R56" s="111" t="b">
        <f t="shared" si="53"/>
        <v>0</v>
      </c>
      <c r="S56" s="111" t="b">
        <f t="shared" si="53"/>
        <v>1</v>
      </c>
      <c r="T56" s="111" t="b">
        <f t="shared" si="53"/>
        <v>1</v>
      </c>
      <c r="U56" s="111" t="b">
        <f t="shared" si="53"/>
        <v>1</v>
      </c>
      <c r="V56" s="111" t="b">
        <f t="shared" si="53"/>
        <v>0</v>
      </c>
      <c r="W56" s="111" t="b">
        <f t="shared" si="53"/>
        <v>0</v>
      </c>
      <c r="Y56" s="61"/>
      <c r="Z56" s="61"/>
      <c r="AA56" s="61"/>
    </row>
    <row r="57" spans="2:27" s="59" customFormat="1" x14ac:dyDescent="0.2">
      <c r="B57" s="59" t="s">
        <v>47</v>
      </c>
      <c r="C57" s="59" t="s">
        <v>36</v>
      </c>
      <c r="E57" s="67" t="b">
        <f>FALSE</f>
        <v>0</v>
      </c>
      <c r="F57" s="67" t="b">
        <f>(F29+F33)=0</f>
        <v>0</v>
      </c>
      <c r="G57" s="67" t="b">
        <f t="shared" ref="G57:W57" si="54">(G29+G33)=0</f>
        <v>0</v>
      </c>
      <c r="H57" s="67" t="b">
        <f t="shared" si="54"/>
        <v>0</v>
      </c>
      <c r="I57" s="67" t="b">
        <f t="shared" si="54"/>
        <v>0</v>
      </c>
      <c r="J57" s="67" t="b">
        <f t="shared" si="54"/>
        <v>1</v>
      </c>
      <c r="K57" s="67" t="b">
        <f t="shared" si="54"/>
        <v>0</v>
      </c>
      <c r="L57" s="67" t="b">
        <f t="shared" si="54"/>
        <v>0</v>
      </c>
      <c r="M57" s="111" t="b">
        <f t="shared" si="54"/>
        <v>0</v>
      </c>
      <c r="N57" s="111" t="b">
        <f t="shared" si="54"/>
        <v>0</v>
      </c>
      <c r="O57" s="111" t="b">
        <f t="shared" si="54"/>
        <v>0</v>
      </c>
      <c r="P57" s="111" t="b">
        <f t="shared" si="54"/>
        <v>0</v>
      </c>
      <c r="Q57" s="111" t="b">
        <f t="shared" si="54"/>
        <v>0</v>
      </c>
      <c r="R57" s="111" t="b">
        <f t="shared" si="54"/>
        <v>0</v>
      </c>
      <c r="S57" s="111" t="b">
        <f t="shared" si="54"/>
        <v>0</v>
      </c>
      <c r="T57" s="111" t="b">
        <f t="shared" si="54"/>
        <v>0</v>
      </c>
      <c r="U57" s="111" t="b">
        <f t="shared" si="54"/>
        <v>0</v>
      </c>
      <c r="V57" s="111" t="b">
        <f t="shared" si="54"/>
        <v>1</v>
      </c>
      <c r="W57" s="111" t="b">
        <f t="shared" si="54"/>
        <v>1</v>
      </c>
      <c r="Y57" s="61"/>
      <c r="Z57" s="61"/>
      <c r="AA57" s="61"/>
    </row>
    <row r="58" spans="2:27" s="59" customFormat="1" x14ac:dyDescent="0.2">
      <c r="B58" s="59" t="s">
        <v>36</v>
      </c>
      <c r="C58" s="59" t="s">
        <v>36</v>
      </c>
      <c r="E58" s="67" t="b">
        <f>FALSE</f>
        <v>0</v>
      </c>
      <c r="F58" s="67" t="b">
        <f>FALSE</f>
        <v>0</v>
      </c>
      <c r="G58" s="67" t="b">
        <f>FALSE</f>
        <v>0</v>
      </c>
      <c r="H58" s="67" t="b">
        <f>FALSE</f>
        <v>0</v>
      </c>
      <c r="I58" s="67" t="b">
        <f>FALSE</f>
        <v>0</v>
      </c>
      <c r="J58" s="67" t="b">
        <f>FALSE</f>
        <v>0</v>
      </c>
      <c r="K58" s="67" t="b">
        <f>FALSE</f>
        <v>0</v>
      </c>
      <c r="L58" s="67" t="b">
        <f>FALSE</f>
        <v>0</v>
      </c>
      <c r="M58" s="111" t="b">
        <f>FALSE</f>
        <v>0</v>
      </c>
      <c r="N58" s="111" t="b">
        <f>FALSE</f>
        <v>0</v>
      </c>
      <c r="O58" s="111" t="b">
        <f>FALSE</f>
        <v>0</v>
      </c>
      <c r="P58" s="111" t="b">
        <f>FALSE</f>
        <v>0</v>
      </c>
      <c r="Q58" s="111" t="b">
        <f>FALSE</f>
        <v>0</v>
      </c>
      <c r="R58" s="111" t="b">
        <f>FALSE</f>
        <v>0</v>
      </c>
      <c r="S58" s="111" t="b">
        <f>FALSE</f>
        <v>0</v>
      </c>
      <c r="T58" s="111" t="b">
        <f>FALSE</f>
        <v>0</v>
      </c>
      <c r="U58" s="111" t="b">
        <f>FALSE</f>
        <v>0</v>
      </c>
      <c r="V58" s="111" t="b">
        <f>FALSE</f>
        <v>0</v>
      </c>
      <c r="W58" s="111" t="b">
        <f>FALSE</f>
        <v>0</v>
      </c>
      <c r="Y58" s="61"/>
      <c r="Z58" s="61"/>
      <c r="AA58" s="61"/>
    </row>
    <row r="59" spans="2:27" s="59" customFormat="1" x14ac:dyDescent="0.2">
      <c r="B59" s="65"/>
      <c r="E59" s="68"/>
      <c r="Y59" s="61"/>
      <c r="Z59" s="61"/>
      <c r="AA59" s="61"/>
    </row>
    <row r="60" spans="2:27" s="59" customFormat="1" ht="38.25" x14ac:dyDescent="0.2">
      <c r="B60" s="66" t="s">
        <v>102</v>
      </c>
      <c r="C60" s="62" t="s">
        <v>0</v>
      </c>
      <c r="E60" s="68" t="str">
        <f>""</f>
        <v/>
      </c>
      <c r="F60" s="59">
        <f>IF(F29=1,MAX(F6,E21),"")</f>
        <v>-25</v>
      </c>
      <c r="G60" s="59">
        <f t="shared" ref="G60:W60" si="55">IF(G29=1,G6,"")</f>
        <v>-25</v>
      </c>
      <c r="H60" s="59">
        <f t="shared" si="55"/>
        <v>-25</v>
      </c>
      <c r="I60" s="59">
        <f t="shared" si="55"/>
        <v>20</v>
      </c>
      <c r="J60" s="59" t="str">
        <f t="shared" si="55"/>
        <v/>
      </c>
      <c r="K60" s="59">
        <f t="shared" si="55"/>
        <v>7.298095599907235</v>
      </c>
      <c r="L60" s="59">
        <f t="shared" si="55"/>
        <v>8</v>
      </c>
      <c r="M60" s="59">
        <f t="shared" si="55"/>
        <v>8</v>
      </c>
      <c r="N60" s="59">
        <f t="shared" si="55"/>
        <v>20</v>
      </c>
      <c r="O60" s="59">
        <f t="shared" si="55"/>
        <v>35</v>
      </c>
      <c r="P60" s="59">
        <f t="shared" si="55"/>
        <v>16</v>
      </c>
      <c r="Q60" s="59">
        <f t="shared" si="55"/>
        <v>16</v>
      </c>
      <c r="R60" s="59">
        <f>IF(R29=1,R6,"")</f>
        <v>20</v>
      </c>
      <c r="S60" s="59">
        <f>IF(S29=1,S6,"")</f>
        <v>20</v>
      </c>
      <c r="T60" s="59">
        <f t="shared" si="55"/>
        <v>20</v>
      </c>
      <c r="U60" s="59">
        <f>IF(U29=1,U6,"")</f>
        <v>20</v>
      </c>
      <c r="V60" s="59" t="str">
        <f>IF(V29=1,V6,"")</f>
        <v/>
      </c>
      <c r="W60" s="59" t="str">
        <f t="shared" si="55"/>
        <v/>
      </c>
      <c r="Y60" s="61"/>
      <c r="Z60" s="61"/>
      <c r="AA60" s="61"/>
    </row>
    <row r="61" spans="2:27" s="59" customFormat="1" x14ac:dyDescent="0.2">
      <c r="C61" s="63" t="s">
        <v>1</v>
      </c>
      <c r="E61" s="68" t="str">
        <f>""</f>
        <v/>
      </c>
      <c r="F61" s="59">
        <f>IF(F30=1,F7/100,"")</f>
        <v>0.2</v>
      </c>
      <c r="G61" s="59">
        <f t="shared" ref="G61:W61" si="56">IF(G30=1,G7/100,"")</f>
        <v>0.2</v>
      </c>
      <c r="H61" s="59">
        <f t="shared" si="56"/>
        <v>0.2</v>
      </c>
      <c r="I61" s="59">
        <f t="shared" si="56"/>
        <v>0.6</v>
      </c>
      <c r="J61" s="59" t="str">
        <f t="shared" si="56"/>
        <v/>
      </c>
      <c r="K61" s="59">
        <f t="shared" si="56"/>
        <v>9.8922192852820522E-3</v>
      </c>
      <c r="L61" s="59" t="str">
        <f t="shared" si="56"/>
        <v/>
      </c>
      <c r="M61" s="59">
        <f t="shared" si="56"/>
        <v>9.4279970713545064E-5</v>
      </c>
      <c r="N61" s="59" t="str">
        <f t="shared" si="56"/>
        <v/>
      </c>
      <c r="O61" s="59">
        <f t="shared" si="56"/>
        <v>0.4</v>
      </c>
      <c r="P61" s="59" t="str">
        <f t="shared" si="56"/>
        <v/>
      </c>
      <c r="Q61" s="59">
        <f t="shared" si="56"/>
        <v>7.5771330367416147E-3</v>
      </c>
      <c r="R61" s="59" t="str">
        <f>IF(R30=1,R7/100,"")</f>
        <v/>
      </c>
      <c r="S61" s="59">
        <f>IF(S30=1,S7/100,"")</f>
        <v>5.889954581965501E-5</v>
      </c>
      <c r="T61" s="59">
        <f t="shared" si="56"/>
        <v>5.8899545819655011E-7</v>
      </c>
      <c r="U61" s="59">
        <f>IF(U30=1,U7/100,"")</f>
        <v>5.889954581965502E-9</v>
      </c>
      <c r="V61" s="59" t="str">
        <f>IF(V30=1,V7/100,"")</f>
        <v/>
      </c>
      <c r="W61" s="59" t="str">
        <f t="shared" si="56"/>
        <v/>
      </c>
      <c r="Y61" s="61"/>
      <c r="Z61" s="61"/>
      <c r="AA61" s="61"/>
    </row>
    <row r="62" spans="2:27" s="59" customFormat="1" x14ac:dyDescent="0.2">
      <c r="C62" s="62" t="s">
        <v>2</v>
      </c>
      <c r="E62" s="68" t="str">
        <f>""</f>
        <v/>
      </c>
      <c r="F62" s="59" t="str">
        <f>IF(F31=1,F8,"")</f>
        <v/>
      </c>
      <c r="G62" s="59" t="str">
        <f t="shared" ref="G62:W62" si="57">IF(G31=1,G8,"")</f>
        <v/>
      </c>
      <c r="H62" s="59" t="str">
        <f t="shared" si="57"/>
        <v/>
      </c>
      <c r="I62" s="59" t="str">
        <f t="shared" si="57"/>
        <v/>
      </c>
      <c r="J62" s="59" t="str">
        <f t="shared" si="57"/>
        <v/>
      </c>
      <c r="K62" s="59" t="str">
        <f t="shared" si="57"/>
        <v/>
      </c>
      <c r="L62" s="59" t="str">
        <f t="shared" si="57"/>
        <v/>
      </c>
      <c r="M62" s="59" t="str">
        <f t="shared" si="57"/>
        <v/>
      </c>
      <c r="N62" s="59" t="str">
        <f t="shared" si="57"/>
        <v/>
      </c>
      <c r="O62" s="59" t="str">
        <f t="shared" si="57"/>
        <v/>
      </c>
      <c r="P62" s="59" t="str">
        <f t="shared" si="57"/>
        <v/>
      </c>
      <c r="Q62" s="59" t="str">
        <f t="shared" si="57"/>
        <v/>
      </c>
      <c r="R62" s="59" t="str">
        <f>IF(R31=1,R8,"")</f>
        <v/>
      </c>
      <c r="S62" s="59" t="str">
        <f>IF(S31=1,S8,"")</f>
        <v/>
      </c>
      <c r="T62" s="59" t="str">
        <f t="shared" si="57"/>
        <v/>
      </c>
      <c r="U62" s="59" t="str">
        <f>IF(U31=1,U8,"")</f>
        <v/>
      </c>
      <c r="V62" s="59" t="str">
        <f>IF(V31=1,V8,"")</f>
        <v/>
      </c>
      <c r="W62" s="59" t="str">
        <f t="shared" si="57"/>
        <v/>
      </c>
      <c r="Y62" s="61"/>
      <c r="Z62" s="61"/>
      <c r="AA62" s="61"/>
    </row>
    <row r="63" spans="2:27" s="59" customFormat="1" x14ac:dyDescent="0.2">
      <c r="C63" s="62" t="s">
        <v>3</v>
      </c>
      <c r="E63" s="68" t="str">
        <f>""</f>
        <v/>
      </c>
      <c r="F63" s="70">
        <f>E19</f>
        <v>-25.045776376404888</v>
      </c>
      <c r="G63" s="70">
        <f t="shared" ref="G63:W63" si="58">F19</f>
        <v>-25.045776376404888</v>
      </c>
      <c r="H63" s="70">
        <f t="shared" si="58"/>
        <v>-25.045776376404888</v>
      </c>
      <c r="I63" s="70">
        <f t="shared" si="58"/>
        <v>-25.045776376404888</v>
      </c>
      <c r="J63" s="70">
        <f t="shared" si="58"/>
        <v>43.997460900850115</v>
      </c>
      <c r="K63" s="70">
        <f t="shared" si="58"/>
        <v>24.27082167877726</v>
      </c>
      <c r="L63" s="70">
        <f t="shared" si="58"/>
        <v>7.5382859494952035</v>
      </c>
      <c r="M63" s="70">
        <f t="shared" si="58"/>
        <v>8.2472962070520026</v>
      </c>
      <c r="N63" s="70">
        <f t="shared" si="58"/>
        <v>8.0816727850834642</v>
      </c>
      <c r="O63" s="70">
        <f t="shared" si="58"/>
        <v>20.201687625442727</v>
      </c>
      <c r="P63" s="70">
        <f t="shared" si="58"/>
        <v>74.290856107090491</v>
      </c>
      <c r="Q63" s="70">
        <f t="shared" si="58"/>
        <v>39.446082331350226</v>
      </c>
      <c r="R63" s="70">
        <f t="shared" si="58"/>
        <v>16.389500856670242</v>
      </c>
      <c r="S63" s="70">
        <f t="shared" si="58"/>
        <v>20.430175549795479</v>
      </c>
      <c r="T63" s="70" t="e">
        <f>#REF!</f>
        <v>#REF!</v>
      </c>
      <c r="U63" s="70">
        <f t="shared" si="58"/>
        <v>20.200023014201033</v>
      </c>
      <c r="V63" s="70">
        <f t="shared" si="58"/>
        <v>20.200000230142006</v>
      </c>
      <c r="W63" s="70" t="str">
        <f t="shared" si="58"/>
        <v/>
      </c>
      <c r="Y63" s="61"/>
      <c r="Z63" s="61"/>
      <c r="AA63" s="61"/>
    </row>
    <row r="64" spans="2:27" s="59" customFormat="1" x14ac:dyDescent="0.2">
      <c r="B64" s="59" t="s">
        <v>105</v>
      </c>
      <c r="C64" s="59" t="s">
        <v>36</v>
      </c>
      <c r="E64" s="67" t="b">
        <f>TRUE</f>
        <v>1</v>
      </c>
      <c r="F64" s="67" t="b">
        <f>OR(F33=1,F32=1,(F29+F30+F31)&gt;=2)</f>
        <v>1</v>
      </c>
      <c r="G64" s="67" t="b">
        <f t="shared" ref="G64:W64" si="59">OR(G33=1,G32=1,(G29+G30+G31)&gt;=2)</f>
        <v>1</v>
      </c>
      <c r="H64" s="67" t="b">
        <f t="shared" si="59"/>
        <v>1</v>
      </c>
      <c r="I64" s="67" t="b">
        <f t="shared" si="59"/>
        <v>1</v>
      </c>
      <c r="J64" s="67" t="b">
        <f t="shared" si="59"/>
        <v>0</v>
      </c>
      <c r="K64" s="67" t="b">
        <f t="shared" si="59"/>
        <v>1</v>
      </c>
      <c r="L64" s="67" t="b">
        <f t="shared" si="59"/>
        <v>0</v>
      </c>
      <c r="M64" s="111" t="b">
        <f t="shared" si="59"/>
        <v>1</v>
      </c>
      <c r="N64" s="111" t="b">
        <f t="shared" si="59"/>
        <v>0</v>
      </c>
      <c r="O64" s="111" t="b">
        <f t="shared" si="59"/>
        <v>1</v>
      </c>
      <c r="P64" s="111" t="b">
        <f t="shared" si="59"/>
        <v>0</v>
      </c>
      <c r="Q64" s="111" t="b">
        <f t="shared" si="59"/>
        <v>1</v>
      </c>
      <c r="R64" s="111" t="b">
        <f t="shared" si="59"/>
        <v>0</v>
      </c>
      <c r="S64" s="111" t="b">
        <f t="shared" si="59"/>
        <v>1</v>
      </c>
      <c r="T64" s="111" t="b">
        <f t="shared" si="59"/>
        <v>1</v>
      </c>
      <c r="U64" s="111" t="b">
        <f t="shared" si="59"/>
        <v>1</v>
      </c>
      <c r="V64" s="111" t="b">
        <f t="shared" si="59"/>
        <v>0</v>
      </c>
      <c r="W64" s="111" t="b">
        <f t="shared" si="59"/>
        <v>0</v>
      </c>
      <c r="Y64" s="61"/>
      <c r="Z64" s="61"/>
      <c r="AA64" s="61"/>
    </row>
    <row r="65" spans="2:27" s="59" customFormat="1" x14ac:dyDescent="0.2">
      <c r="B65" s="59" t="s">
        <v>47</v>
      </c>
      <c r="C65" s="59" t="s">
        <v>36</v>
      </c>
      <c r="E65" s="67" t="b">
        <f>FALSE</f>
        <v>0</v>
      </c>
      <c r="F65" s="67" t="b">
        <f>F30+F31+F29=0</f>
        <v>0</v>
      </c>
      <c r="G65" s="67" t="b">
        <f t="shared" ref="G65:W65" si="60">G30+G31+G29=0</f>
        <v>0</v>
      </c>
      <c r="H65" s="67" t="b">
        <f t="shared" si="60"/>
        <v>0</v>
      </c>
      <c r="I65" s="67" t="b">
        <f t="shared" si="60"/>
        <v>0</v>
      </c>
      <c r="J65" s="67" t="b">
        <f t="shared" si="60"/>
        <v>1</v>
      </c>
      <c r="K65" s="67" t="b">
        <f t="shared" si="60"/>
        <v>0</v>
      </c>
      <c r="L65" s="67" t="b">
        <f t="shared" si="60"/>
        <v>0</v>
      </c>
      <c r="M65" s="111" t="b">
        <f t="shared" si="60"/>
        <v>0</v>
      </c>
      <c r="N65" s="111" t="b">
        <f t="shared" si="60"/>
        <v>0</v>
      </c>
      <c r="O65" s="111" t="b">
        <f t="shared" si="60"/>
        <v>0</v>
      </c>
      <c r="P65" s="111" t="b">
        <f t="shared" si="60"/>
        <v>0</v>
      </c>
      <c r="Q65" s="111" t="b">
        <f t="shared" si="60"/>
        <v>0</v>
      </c>
      <c r="R65" s="111" t="b">
        <f t="shared" si="60"/>
        <v>0</v>
      </c>
      <c r="S65" s="111" t="b">
        <f t="shared" si="60"/>
        <v>0</v>
      </c>
      <c r="T65" s="111" t="b">
        <f t="shared" si="60"/>
        <v>0</v>
      </c>
      <c r="U65" s="111" t="b">
        <f t="shared" si="60"/>
        <v>0</v>
      </c>
      <c r="V65" s="111" t="b">
        <f t="shared" si="60"/>
        <v>1</v>
      </c>
      <c r="W65" s="111" t="b">
        <f t="shared" si="60"/>
        <v>1</v>
      </c>
      <c r="Y65" s="61"/>
      <c r="Z65" s="61"/>
      <c r="AA65" s="61"/>
    </row>
    <row r="66" spans="2:27" s="59" customFormat="1" x14ac:dyDescent="0.2">
      <c r="B66" s="59" t="s">
        <v>36</v>
      </c>
      <c r="C66" s="59" t="s">
        <v>36</v>
      </c>
      <c r="E66" s="67" t="b">
        <f>FALSE</f>
        <v>0</v>
      </c>
      <c r="F66" s="67" t="b">
        <f>FALSE</f>
        <v>0</v>
      </c>
      <c r="G66" s="67" t="b">
        <f>FALSE</f>
        <v>0</v>
      </c>
      <c r="H66" s="67" t="b">
        <f>FALSE</f>
        <v>0</v>
      </c>
      <c r="I66" s="67" t="b">
        <f>FALSE</f>
        <v>0</v>
      </c>
      <c r="J66" s="67" t="b">
        <f>FALSE</f>
        <v>0</v>
      </c>
      <c r="K66" s="67" t="b">
        <f>FALSE</f>
        <v>0</v>
      </c>
      <c r="L66" s="67" t="b">
        <f>FALSE</f>
        <v>0</v>
      </c>
      <c r="M66" s="111" t="b">
        <f>FALSE</f>
        <v>0</v>
      </c>
      <c r="N66" s="111" t="b">
        <f>FALSE</f>
        <v>0</v>
      </c>
      <c r="O66" s="111" t="b">
        <f>FALSE</f>
        <v>0</v>
      </c>
      <c r="P66" s="111" t="b">
        <f>FALSE</f>
        <v>0</v>
      </c>
      <c r="Q66" s="111" t="b">
        <f>FALSE</f>
        <v>0</v>
      </c>
      <c r="R66" s="111" t="b">
        <f>FALSE</f>
        <v>0</v>
      </c>
      <c r="S66" s="111" t="b">
        <f>FALSE</f>
        <v>0</v>
      </c>
      <c r="T66" s="111" t="b">
        <f>FALSE</f>
        <v>0</v>
      </c>
      <c r="U66" s="111" t="b">
        <f>FALSE</f>
        <v>0</v>
      </c>
      <c r="V66" s="111" t="b">
        <f>FALSE</f>
        <v>0</v>
      </c>
      <c r="W66" s="111" t="b">
        <f>FALSE</f>
        <v>0</v>
      </c>
      <c r="Y66" s="61"/>
      <c r="Z66" s="61"/>
      <c r="AA66" s="61"/>
    </row>
    <row r="67" spans="2:27" s="59" customFormat="1" x14ac:dyDescent="0.2">
      <c r="B67" s="65"/>
      <c r="E67" s="68"/>
      <c r="Y67" s="61"/>
      <c r="Z67" s="61"/>
      <c r="AA67" s="61"/>
    </row>
    <row r="68" spans="2:27" s="59" customFormat="1" ht="25.5" x14ac:dyDescent="0.2">
      <c r="B68" s="66" t="s">
        <v>98</v>
      </c>
      <c r="C68" s="62" t="s">
        <v>0</v>
      </c>
      <c r="E68" s="68" t="str">
        <f>""</f>
        <v/>
      </c>
      <c r="F68" s="70">
        <f>E16</f>
        <v>-25</v>
      </c>
      <c r="G68" s="70">
        <f t="shared" ref="G68:W68" si="61">F16</f>
        <v>-25</v>
      </c>
      <c r="H68" s="70">
        <f t="shared" si="61"/>
        <v>-25</v>
      </c>
      <c r="I68" s="70">
        <f t="shared" si="61"/>
        <v>-25</v>
      </c>
      <c r="J68" s="70">
        <f t="shared" si="61"/>
        <v>20</v>
      </c>
      <c r="K68" s="70">
        <f t="shared" si="61"/>
        <v>7.298095599907235</v>
      </c>
      <c r="L68" s="70">
        <f t="shared" si="61"/>
        <v>7.298095599907235</v>
      </c>
      <c r="M68" s="70">
        <f t="shared" si="61"/>
        <v>8</v>
      </c>
      <c r="N68" s="70">
        <f t="shared" si="61"/>
        <v>8</v>
      </c>
      <c r="O68" s="70">
        <f t="shared" si="61"/>
        <v>20</v>
      </c>
      <c r="P68" s="70">
        <f t="shared" si="61"/>
        <v>35</v>
      </c>
      <c r="Q68" s="70">
        <f t="shared" si="61"/>
        <v>16</v>
      </c>
      <c r="R68" s="70">
        <f t="shared" si="61"/>
        <v>16</v>
      </c>
      <c r="S68" s="70">
        <f t="shared" si="61"/>
        <v>20</v>
      </c>
      <c r="T68" s="70" t="e">
        <f>#REF!</f>
        <v>#REF!</v>
      </c>
      <c r="U68" s="70">
        <f t="shared" si="61"/>
        <v>20</v>
      </c>
      <c r="V68" s="70">
        <f t="shared" si="61"/>
        <v>20</v>
      </c>
      <c r="W68" s="70" t="str">
        <f t="shared" si="61"/>
        <v/>
      </c>
      <c r="Y68" s="61"/>
      <c r="Z68" s="61"/>
      <c r="AA68" s="61"/>
    </row>
    <row r="69" spans="2:27" s="59" customFormat="1" x14ac:dyDescent="0.2">
      <c r="C69" s="63" t="s">
        <v>1</v>
      </c>
      <c r="E69" s="68" t="str">
        <f>""</f>
        <v/>
      </c>
      <c r="F69" s="59">
        <f>IF(F30=1,F7/100,"")</f>
        <v>0.2</v>
      </c>
      <c r="G69" s="59">
        <f t="shared" ref="G69:W69" si="62">IF(G30=1,G7/100,"")</f>
        <v>0.2</v>
      </c>
      <c r="H69" s="59">
        <f t="shared" si="62"/>
        <v>0.2</v>
      </c>
      <c r="I69" s="59">
        <f t="shared" si="62"/>
        <v>0.6</v>
      </c>
      <c r="J69" s="59" t="str">
        <f t="shared" si="62"/>
        <v/>
      </c>
      <c r="K69" s="59">
        <f t="shared" si="62"/>
        <v>9.8922192852820522E-3</v>
      </c>
      <c r="L69" s="59" t="str">
        <f t="shared" si="62"/>
        <v/>
      </c>
      <c r="M69" s="59">
        <f t="shared" si="62"/>
        <v>9.4279970713545064E-5</v>
      </c>
      <c r="N69" s="59" t="str">
        <f t="shared" si="62"/>
        <v/>
      </c>
      <c r="O69" s="59">
        <f t="shared" si="62"/>
        <v>0.4</v>
      </c>
      <c r="P69" s="59" t="str">
        <f t="shared" si="62"/>
        <v/>
      </c>
      <c r="Q69" s="59">
        <f t="shared" si="62"/>
        <v>7.5771330367416147E-3</v>
      </c>
      <c r="R69" s="59" t="str">
        <f>IF(R30=1,R7/100,"")</f>
        <v/>
      </c>
      <c r="S69" s="59">
        <f>IF(S30=1,S7/100,"")</f>
        <v>5.889954581965501E-5</v>
      </c>
      <c r="T69" s="59">
        <f t="shared" si="62"/>
        <v>5.8899545819655011E-7</v>
      </c>
      <c r="U69" s="59">
        <f>IF(U30=1,U7/100,"")</f>
        <v>5.889954581965502E-9</v>
      </c>
      <c r="V69" s="59" t="str">
        <f>IF(V30=1,V7/100,"")</f>
        <v/>
      </c>
      <c r="W69" s="59" t="str">
        <f t="shared" si="62"/>
        <v/>
      </c>
      <c r="Y69" s="61"/>
      <c r="Z69" s="61"/>
      <c r="AA69" s="61"/>
    </row>
    <row r="70" spans="2:27" s="59" customFormat="1" x14ac:dyDescent="0.2">
      <c r="C70" s="62" t="s">
        <v>2</v>
      </c>
      <c r="E70" s="68" t="str">
        <f>""</f>
        <v/>
      </c>
      <c r="F70" s="59" t="str">
        <f>IF(F31=1,F8,"")</f>
        <v/>
      </c>
      <c r="G70" s="59" t="str">
        <f t="shared" ref="G70:W70" si="63">IF(G31=1,G8,"")</f>
        <v/>
      </c>
      <c r="H70" s="59" t="str">
        <f t="shared" si="63"/>
        <v/>
      </c>
      <c r="I70" s="59" t="str">
        <f t="shared" si="63"/>
        <v/>
      </c>
      <c r="J70" s="59" t="str">
        <f t="shared" si="63"/>
        <v/>
      </c>
      <c r="K70" s="59" t="str">
        <f t="shared" si="63"/>
        <v/>
      </c>
      <c r="L70" s="59" t="str">
        <f t="shared" si="63"/>
        <v/>
      </c>
      <c r="M70" s="59" t="str">
        <f t="shared" si="63"/>
        <v/>
      </c>
      <c r="N70" s="59" t="str">
        <f t="shared" si="63"/>
        <v/>
      </c>
      <c r="O70" s="59" t="str">
        <f t="shared" si="63"/>
        <v/>
      </c>
      <c r="P70" s="59" t="str">
        <f t="shared" si="63"/>
        <v/>
      </c>
      <c r="Q70" s="59" t="str">
        <f t="shared" si="63"/>
        <v/>
      </c>
      <c r="R70" s="59" t="str">
        <f>IF(R31=1,R8,"")</f>
        <v/>
      </c>
      <c r="S70" s="59" t="str">
        <f>IF(S31=1,S8,"")</f>
        <v/>
      </c>
      <c r="T70" s="59" t="str">
        <f t="shared" si="63"/>
        <v/>
      </c>
      <c r="U70" s="59" t="str">
        <f>IF(U31=1,U8,"")</f>
        <v/>
      </c>
      <c r="V70" s="59" t="str">
        <f>IF(V31=1,V8,"")</f>
        <v/>
      </c>
      <c r="W70" s="59" t="str">
        <f t="shared" si="63"/>
        <v/>
      </c>
      <c r="Y70" s="61"/>
      <c r="Z70" s="61"/>
      <c r="AA70" s="61"/>
    </row>
    <row r="71" spans="2:27" s="59" customFormat="1" x14ac:dyDescent="0.2">
      <c r="C71" s="62" t="s">
        <v>3</v>
      </c>
      <c r="E71" s="68" t="str">
        <f>""</f>
        <v/>
      </c>
      <c r="F71" s="59" t="str">
        <f>""</f>
        <v/>
      </c>
      <c r="G71" s="59" t="str">
        <f>""</f>
        <v/>
      </c>
      <c r="H71" s="59" t="str">
        <f>""</f>
        <v/>
      </c>
      <c r="I71" s="59" t="str">
        <f>""</f>
        <v/>
      </c>
      <c r="J71" s="59" t="str">
        <f>""</f>
        <v/>
      </c>
      <c r="K71" s="59" t="str">
        <f>""</f>
        <v/>
      </c>
      <c r="L71" s="59" t="str">
        <f>""</f>
        <v/>
      </c>
      <c r="M71" s="59" t="str">
        <f>""</f>
        <v/>
      </c>
      <c r="N71" s="59" t="str">
        <f>""</f>
        <v/>
      </c>
      <c r="O71" s="59" t="str">
        <f>""</f>
        <v/>
      </c>
      <c r="P71" s="59" t="str">
        <f>""</f>
        <v/>
      </c>
      <c r="Q71" s="59" t="str">
        <f>""</f>
        <v/>
      </c>
      <c r="R71" s="59" t="str">
        <f>""</f>
        <v/>
      </c>
      <c r="S71" s="59" t="str">
        <f>""</f>
        <v/>
      </c>
      <c r="T71" s="59" t="str">
        <f>""</f>
        <v/>
      </c>
      <c r="U71" s="59" t="str">
        <f>""</f>
        <v/>
      </c>
      <c r="V71" s="59" t="str">
        <f>""</f>
        <v/>
      </c>
      <c r="W71" s="59" t="str">
        <f>""</f>
        <v/>
      </c>
      <c r="Y71" s="61"/>
      <c r="Z71" s="61"/>
      <c r="AA71" s="61"/>
    </row>
    <row r="72" spans="2:27" s="59" customFormat="1" x14ac:dyDescent="0.2">
      <c r="B72" s="59" t="s">
        <v>105</v>
      </c>
      <c r="C72" s="59" t="s">
        <v>36</v>
      </c>
      <c r="E72" s="67" t="b">
        <f>TRUE</f>
        <v>1</v>
      </c>
      <c r="F72" s="67" t="b">
        <f>OR(F29=1,(F30+F31)=2,F32=1,F33=1)</f>
        <v>1</v>
      </c>
      <c r="G72" s="67" t="b">
        <f t="shared" ref="G72:W72" si="64">OR(G29=1,(G30+G31)=2,G32=1,G33=1)</f>
        <v>1</v>
      </c>
      <c r="H72" s="67" t="b">
        <f t="shared" si="64"/>
        <v>1</v>
      </c>
      <c r="I72" s="67" t="b">
        <f t="shared" si="64"/>
        <v>1</v>
      </c>
      <c r="J72" s="67" t="b">
        <f t="shared" si="64"/>
        <v>0</v>
      </c>
      <c r="K72" s="67" t="b">
        <f t="shared" si="64"/>
        <v>1</v>
      </c>
      <c r="L72" s="67" t="b">
        <f t="shared" si="64"/>
        <v>1</v>
      </c>
      <c r="M72" s="111" t="b">
        <f t="shared" si="64"/>
        <v>1</v>
      </c>
      <c r="N72" s="111" t="b">
        <f t="shared" si="64"/>
        <v>1</v>
      </c>
      <c r="O72" s="111" t="b">
        <f t="shared" si="64"/>
        <v>1</v>
      </c>
      <c r="P72" s="111" t="b">
        <f t="shared" si="64"/>
        <v>1</v>
      </c>
      <c r="Q72" s="111" t="b">
        <f t="shared" si="64"/>
        <v>1</v>
      </c>
      <c r="R72" s="111" t="b">
        <f t="shared" si="64"/>
        <v>1</v>
      </c>
      <c r="S72" s="111" t="b">
        <f t="shared" si="64"/>
        <v>1</v>
      </c>
      <c r="T72" s="111" t="b">
        <f t="shared" si="64"/>
        <v>1</v>
      </c>
      <c r="U72" s="111" t="b">
        <f t="shared" si="64"/>
        <v>1</v>
      </c>
      <c r="V72" s="111" t="b">
        <f t="shared" si="64"/>
        <v>0</v>
      </c>
      <c r="W72" s="111" t="b">
        <f t="shared" si="64"/>
        <v>0</v>
      </c>
      <c r="Y72" s="61"/>
      <c r="Z72" s="61"/>
      <c r="AA72" s="61"/>
    </row>
    <row r="73" spans="2:27" s="59" customFormat="1" x14ac:dyDescent="0.2">
      <c r="B73" s="59" t="s">
        <v>47</v>
      </c>
      <c r="C73" s="59" t="s">
        <v>36</v>
      </c>
      <c r="E73" s="67" t="b">
        <f>FALSE</f>
        <v>0</v>
      </c>
      <c r="F73" s="67" t="b">
        <f>(F30+F31)=0</f>
        <v>0</v>
      </c>
      <c r="G73" s="67" t="b">
        <f t="shared" ref="G73:W73" si="65">(G30+G31)=0</f>
        <v>0</v>
      </c>
      <c r="H73" s="67" t="b">
        <f t="shared" si="65"/>
        <v>0</v>
      </c>
      <c r="I73" s="67" t="b">
        <f t="shared" si="65"/>
        <v>0</v>
      </c>
      <c r="J73" s="67" t="b">
        <f t="shared" si="65"/>
        <v>1</v>
      </c>
      <c r="K73" s="67" t="b">
        <f t="shared" si="65"/>
        <v>0</v>
      </c>
      <c r="L73" s="67" t="b">
        <f t="shared" si="65"/>
        <v>1</v>
      </c>
      <c r="M73" s="111" t="b">
        <f t="shared" si="65"/>
        <v>0</v>
      </c>
      <c r="N73" s="111" t="b">
        <f t="shared" si="65"/>
        <v>1</v>
      </c>
      <c r="O73" s="111" t="b">
        <f t="shared" si="65"/>
        <v>0</v>
      </c>
      <c r="P73" s="111" t="b">
        <f t="shared" si="65"/>
        <v>1</v>
      </c>
      <c r="Q73" s="111" t="b">
        <f t="shared" si="65"/>
        <v>0</v>
      </c>
      <c r="R73" s="111" t="b">
        <f t="shared" si="65"/>
        <v>1</v>
      </c>
      <c r="S73" s="111" t="b">
        <f t="shared" si="65"/>
        <v>0</v>
      </c>
      <c r="T73" s="111" t="b">
        <f t="shared" si="65"/>
        <v>0</v>
      </c>
      <c r="U73" s="111" t="b">
        <f t="shared" si="65"/>
        <v>0</v>
      </c>
      <c r="V73" s="111" t="b">
        <f t="shared" si="65"/>
        <v>1</v>
      </c>
      <c r="W73" s="111" t="b">
        <f t="shared" si="65"/>
        <v>1</v>
      </c>
      <c r="Y73" s="61"/>
      <c r="Z73" s="61"/>
      <c r="AA73" s="61"/>
    </row>
    <row r="74" spans="2:27" s="59" customFormat="1" x14ac:dyDescent="0.2">
      <c r="B74" s="59" t="s">
        <v>36</v>
      </c>
      <c r="C74" s="59" t="s">
        <v>36</v>
      </c>
      <c r="E74" s="67" t="b">
        <f>FALSE</f>
        <v>0</v>
      </c>
      <c r="F74" s="67" t="b">
        <f>FALSE</f>
        <v>0</v>
      </c>
      <c r="G74" s="67" t="b">
        <f>FALSE</f>
        <v>0</v>
      </c>
      <c r="H74" s="67" t="b">
        <f>FALSE</f>
        <v>0</v>
      </c>
      <c r="I74" s="67" t="b">
        <f>FALSE</f>
        <v>0</v>
      </c>
      <c r="J74" s="67" t="b">
        <f>FALSE</f>
        <v>0</v>
      </c>
      <c r="K74" s="67" t="b">
        <f>FALSE</f>
        <v>0</v>
      </c>
      <c r="L74" s="67" t="b">
        <f>FALSE</f>
        <v>0</v>
      </c>
      <c r="M74" s="111" t="b">
        <f>FALSE</f>
        <v>0</v>
      </c>
      <c r="N74" s="111" t="b">
        <f>FALSE</f>
        <v>0</v>
      </c>
      <c r="O74" s="111" t="b">
        <f>FALSE</f>
        <v>0</v>
      </c>
      <c r="P74" s="111" t="b">
        <f>FALSE</f>
        <v>0</v>
      </c>
      <c r="Q74" s="111" t="b">
        <f>FALSE</f>
        <v>0</v>
      </c>
      <c r="R74" s="111" t="b">
        <f>FALSE</f>
        <v>0</v>
      </c>
      <c r="S74" s="111" t="b">
        <f>FALSE</f>
        <v>0</v>
      </c>
      <c r="T74" s="111" t="b">
        <f>FALSE</f>
        <v>0</v>
      </c>
      <c r="U74" s="111" t="b">
        <f>FALSE</f>
        <v>0</v>
      </c>
      <c r="V74" s="111" t="b">
        <f>FALSE</f>
        <v>0</v>
      </c>
      <c r="W74" s="111" t="b">
        <f>FALSE</f>
        <v>0</v>
      </c>
      <c r="Y74" s="61"/>
      <c r="Z74" s="61"/>
      <c r="AA74" s="61"/>
    </row>
    <row r="75" spans="2:27" s="59" customFormat="1" x14ac:dyDescent="0.2">
      <c r="E75" s="68"/>
      <c r="Y75" s="61"/>
      <c r="Z75" s="61"/>
      <c r="AA75" s="61"/>
    </row>
    <row r="76" spans="2:27" s="59" customFormat="1" ht="25.5" x14ac:dyDescent="0.2">
      <c r="B76" s="66" t="s">
        <v>99</v>
      </c>
      <c r="C76" s="62" t="s">
        <v>0</v>
      </c>
      <c r="E76" s="68" t="str">
        <f>""</f>
        <v/>
      </c>
      <c r="F76" s="68" t="str">
        <f>""</f>
        <v/>
      </c>
      <c r="G76" s="59" t="str">
        <f>""</f>
        <v/>
      </c>
      <c r="H76" s="59" t="str">
        <f>""</f>
        <v/>
      </c>
      <c r="I76" s="59" t="str">
        <f>""</f>
        <v/>
      </c>
      <c r="J76" s="59" t="str">
        <f>""</f>
        <v/>
      </c>
      <c r="K76" s="59" t="str">
        <f>""</f>
        <v/>
      </c>
      <c r="L76" s="59" t="str">
        <f>""</f>
        <v/>
      </c>
      <c r="M76" s="59" t="str">
        <f>""</f>
        <v/>
      </c>
      <c r="N76" s="59" t="str">
        <f>""</f>
        <v/>
      </c>
      <c r="O76" s="59" t="str">
        <f>""</f>
        <v/>
      </c>
      <c r="P76" s="59" t="str">
        <f>""</f>
        <v/>
      </c>
      <c r="Q76" s="59" t="str">
        <f>""</f>
        <v/>
      </c>
      <c r="R76" s="59" t="str">
        <f>""</f>
        <v/>
      </c>
      <c r="S76" s="59" t="str">
        <f>""</f>
        <v/>
      </c>
      <c r="T76" s="59" t="str">
        <f>""</f>
        <v/>
      </c>
      <c r="U76" s="59" t="str">
        <f>""</f>
        <v/>
      </c>
      <c r="V76" s="59" t="str">
        <f>""</f>
        <v/>
      </c>
      <c r="W76" s="59" t="str">
        <f>""</f>
        <v/>
      </c>
      <c r="Y76" s="61"/>
      <c r="Z76" s="61"/>
      <c r="AA76" s="61"/>
    </row>
    <row r="77" spans="2:27" s="59" customFormat="1" x14ac:dyDescent="0.2">
      <c r="C77" s="63" t="s">
        <v>1</v>
      </c>
      <c r="E77" s="68" t="str">
        <f>""</f>
        <v/>
      </c>
      <c r="F77" s="68" t="str">
        <f>""</f>
        <v/>
      </c>
      <c r="G77" s="59" t="str">
        <f>""</f>
        <v/>
      </c>
      <c r="H77" s="59" t="str">
        <f>""</f>
        <v/>
      </c>
      <c r="I77" s="59" t="str">
        <f>""</f>
        <v/>
      </c>
      <c r="J77" s="59" t="str">
        <f>""</f>
        <v/>
      </c>
      <c r="K77" s="59" t="str">
        <f>""</f>
        <v/>
      </c>
      <c r="L77" s="59" t="str">
        <f>""</f>
        <v/>
      </c>
      <c r="M77" s="59" t="str">
        <f>""</f>
        <v/>
      </c>
      <c r="N77" s="59" t="str">
        <f>""</f>
        <v/>
      </c>
      <c r="O77" s="59" t="str">
        <f>""</f>
        <v/>
      </c>
      <c r="P77" s="59" t="str">
        <f>""</f>
        <v/>
      </c>
      <c r="Q77" s="59" t="str">
        <f>""</f>
        <v/>
      </c>
      <c r="R77" s="59" t="str">
        <f>""</f>
        <v/>
      </c>
      <c r="S77" s="59" t="str">
        <f>""</f>
        <v/>
      </c>
      <c r="T77" s="59" t="str">
        <f>""</f>
        <v/>
      </c>
      <c r="U77" s="59" t="str">
        <f>""</f>
        <v/>
      </c>
      <c r="V77" s="59" t="str">
        <f>""</f>
        <v/>
      </c>
      <c r="W77" s="59" t="str">
        <f>""</f>
        <v/>
      </c>
      <c r="Y77" s="61"/>
      <c r="Z77" s="61"/>
      <c r="AA77" s="61"/>
    </row>
    <row r="78" spans="2:27" s="59" customFormat="1" x14ac:dyDescent="0.2">
      <c r="C78" s="62" t="s">
        <v>2</v>
      </c>
      <c r="E78" s="68" t="str">
        <f>""</f>
        <v/>
      </c>
      <c r="F78" s="68" t="str">
        <f>""</f>
        <v/>
      </c>
      <c r="G78" s="67">
        <f>(E18*E35+F35*F18)/(E35+F35)</f>
        <v>8.3203757830561539E-2</v>
      </c>
      <c r="H78" s="67">
        <f t="shared" ref="H78:W78" si="66">(F18*F35+G35*G18)/(F35+G35)</f>
        <v>8.3203757830561539E-2</v>
      </c>
      <c r="I78" s="67">
        <f t="shared" si="66"/>
        <v>8.3203757830561539E-2</v>
      </c>
      <c r="J78" s="67">
        <f t="shared" si="66"/>
        <v>6.7207177223736538</v>
      </c>
      <c r="K78" s="67">
        <f t="shared" si="66"/>
        <v>7.8269700497975023</v>
      </c>
      <c r="L78" s="67">
        <f t="shared" si="66"/>
        <v>3.3936069109849099</v>
      </c>
      <c r="M78" s="111">
        <f t="shared" si="66"/>
        <v>6.6496099596165939E-2</v>
      </c>
      <c r="N78" s="111">
        <f t="shared" si="66"/>
        <v>3.3580495122077614E-2</v>
      </c>
      <c r="O78" s="111">
        <f t="shared" si="66"/>
        <v>6.6489064798930036E-4</v>
      </c>
      <c r="P78" s="111">
        <f t="shared" si="66"/>
        <v>7.5878886798999048</v>
      </c>
      <c r="Q78" s="111">
        <f t="shared" si="66"/>
        <v>12.188166788589372</v>
      </c>
      <c r="R78" s="111">
        <f t="shared" si="66"/>
        <v>4.6459528339353522</v>
      </c>
      <c r="S78" s="111">
        <f t="shared" si="66"/>
        <v>9.0684559843778378E-2</v>
      </c>
      <c r="T78" s="111" t="e">
        <f>(S18*S35+#REF!*#REF!)/(S35+#REF!)</f>
        <v>#REF!</v>
      </c>
      <c r="U78" s="111" t="e">
        <f>(#REF!*#REF!+T35*T18)/(#REF!+T35)</f>
        <v>#REF!</v>
      </c>
      <c r="V78" s="111">
        <f t="shared" si="66"/>
        <v>4.5789029711080181E-6</v>
      </c>
      <c r="W78" s="111" t="e">
        <f t="shared" si="66"/>
        <v>#VALUE!</v>
      </c>
      <c r="Y78" s="61"/>
      <c r="Z78" s="61"/>
      <c r="AA78" s="61"/>
    </row>
    <row r="79" spans="2:27" s="59" customFormat="1" x14ac:dyDescent="0.2">
      <c r="C79" s="62" t="s">
        <v>3</v>
      </c>
      <c r="E79" s="68" t="str">
        <f>""</f>
        <v/>
      </c>
      <c r="F79" s="68" t="str">
        <f>""</f>
        <v/>
      </c>
      <c r="G79" s="67">
        <f>(E19*E35+F35*F19)/(E35+F35)</f>
        <v>-25.045776376404888</v>
      </c>
      <c r="H79" s="67">
        <f t="shared" ref="H79:W79" si="67">(F19*F35+G35*G19)/(F35+G35)</f>
        <v>-25.045776376404888</v>
      </c>
      <c r="I79" s="67">
        <f t="shared" si="67"/>
        <v>-25.045776376404888</v>
      </c>
      <c r="J79" s="67">
        <f t="shared" si="67"/>
        <v>24.270821678777263</v>
      </c>
      <c r="K79" s="67">
        <f t="shared" si="67"/>
        <v>32.490254687974286</v>
      </c>
      <c r="L79" s="67">
        <f t="shared" si="67"/>
        <v>15.90455381413623</v>
      </c>
      <c r="M79" s="111">
        <f t="shared" si="67"/>
        <v>7.8927910782736035</v>
      </c>
      <c r="N79" s="111">
        <f t="shared" si="67"/>
        <v>8.1644844960677343</v>
      </c>
      <c r="O79" s="111">
        <f t="shared" si="67"/>
        <v>14.141680205263093</v>
      </c>
      <c r="P79" s="111">
        <f t="shared" si="67"/>
        <v>47.246271866266611</v>
      </c>
      <c r="Q79" s="111">
        <f t="shared" si="67"/>
        <v>56.868469219220366</v>
      </c>
      <c r="R79" s="111">
        <f t="shared" si="67"/>
        <v>27.917791594010236</v>
      </c>
      <c r="S79" s="111">
        <f t="shared" si="67"/>
        <v>18.409838203232862</v>
      </c>
      <c r="T79" s="111" t="e">
        <f>(S19*S35+#REF!*#REF!)/(S35+#REF!)</f>
        <v>#REF!</v>
      </c>
      <c r="U79" s="111" t="e">
        <f>(#REF!*#REF!+T35*T19)/(#REF!+T35)</f>
        <v>#REF!</v>
      </c>
      <c r="V79" s="111">
        <f t="shared" si="67"/>
        <v>20.20001162217152</v>
      </c>
      <c r="W79" s="111" t="e">
        <f t="shared" si="67"/>
        <v>#VALUE!</v>
      </c>
      <c r="Y79" s="61"/>
      <c r="Z79" s="61"/>
      <c r="AA79" s="61"/>
    </row>
    <row r="80" spans="2:27" s="59" customFormat="1" x14ac:dyDescent="0.2">
      <c r="B80" s="59" t="s">
        <v>105</v>
      </c>
      <c r="C80" s="59" t="s">
        <v>36</v>
      </c>
      <c r="E80" s="67" t="b">
        <f>TRUE</f>
        <v>1</v>
      </c>
      <c r="F80" s="67" t="b">
        <f>TRUE</f>
        <v>1</v>
      </c>
      <c r="G80" s="67" t="b">
        <f>(G34+G33)&gt;=1</f>
        <v>1</v>
      </c>
      <c r="H80" s="67" t="b">
        <f t="shared" ref="H80:W80" si="68">(H34+H33)&gt;=1</f>
        <v>1</v>
      </c>
      <c r="I80" s="67" t="b">
        <f t="shared" si="68"/>
        <v>1</v>
      </c>
      <c r="J80" s="67" t="b">
        <f t="shared" si="68"/>
        <v>0</v>
      </c>
      <c r="K80" s="67" t="b">
        <f t="shared" si="68"/>
        <v>1</v>
      </c>
      <c r="L80" s="67" t="b">
        <f t="shared" si="68"/>
        <v>1</v>
      </c>
      <c r="M80" s="111" t="b">
        <f t="shared" si="68"/>
        <v>1</v>
      </c>
      <c r="N80" s="111" t="b">
        <f t="shared" si="68"/>
        <v>1</v>
      </c>
      <c r="O80" s="111" t="b">
        <f t="shared" si="68"/>
        <v>1</v>
      </c>
      <c r="P80" s="111" t="b">
        <f t="shared" si="68"/>
        <v>1</v>
      </c>
      <c r="Q80" s="111" t="b">
        <f t="shared" si="68"/>
        <v>1</v>
      </c>
      <c r="R80" s="111" t="b">
        <f t="shared" si="68"/>
        <v>1</v>
      </c>
      <c r="S80" s="111" t="b">
        <f t="shared" si="68"/>
        <v>1</v>
      </c>
      <c r="T80" s="111" t="b">
        <f t="shared" si="68"/>
        <v>1</v>
      </c>
      <c r="U80" s="111" t="b">
        <f t="shared" si="68"/>
        <v>1</v>
      </c>
      <c r="V80" s="111" t="b">
        <f t="shared" si="68"/>
        <v>0</v>
      </c>
      <c r="W80" s="111" t="b">
        <f t="shared" si="68"/>
        <v>0</v>
      </c>
      <c r="Y80" s="61"/>
      <c r="Z80" s="61"/>
      <c r="AA80" s="61"/>
    </row>
    <row r="81" spans="2:27" s="59" customFormat="1" x14ac:dyDescent="0.2">
      <c r="B81" s="59" t="s">
        <v>47</v>
      </c>
      <c r="C81" s="59" t="s">
        <v>36</v>
      </c>
      <c r="E81" s="67" t="b">
        <f>FALSE</f>
        <v>0</v>
      </c>
      <c r="F81" s="67" t="b">
        <f>FALSE</f>
        <v>0</v>
      </c>
      <c r="G81" s="67" t="b">
        <f>FALSE</f>
        <v>0</v>
      </c>
      <c r="H81" s="67" t="b">
        <f>FALSE</f>
        <v>0</v>
      </c>
      <c r="I81" s="67" t="b">
        <f>FALSE</f>
        <v>0</v>
      </c>
      <c r="J81" s="67" t="b">
        <f>FALSE</f>
        <v>0</v>
      </c>
      <c r="K81" s="67" t="b">
        <f>FALSE</f>
        <v>0</v>
      </c>
      <c r="L81" s="67" t="b">
        <f>FALSE</f>
        <v>0</v>
      </c>
      <c r="M81" s="111" t="b">
        <f>FALSE</f>
        <v>0</v>
      </c>
      <c r="N81" s="111" t="b">
        <f>FALSE</f>
        <v>0</v>
      </c>
      <c r="O81" s="111" t="b">
        <f>FALSE</f>
        <v>0</v>
      </c>
      <c r="P81" s="111" t="b">
        <f>FALSE</f>
        <v>0</v>
      </c>
      <c r="Q81" s="111" t="b">
        <f>FALSE</f>
        <v>0</v>
      </c>
      <c r="R81" s="111" t="b">
        <f>FALSE</f>
        <v>0</v>
      </c>
      <c r="S81" s="111" t="b">
        <f>FALSE</f>
        <v>0</v>
      </c>
      <c r="T81" s="111" t="b">
        <f>FALSE</f>
        <v>0</v>
      </c>
      <c r="U81" s="111" t="b">
        <f>FALSE</f>
        <v>0</v>
      </c>
      <c r="V81" s="111" t="b">
        <f>FALSE</f>
        <v>0</v>
      </c>
      <c r="W81" s="111" t="b">
        <f>FALSE</f>
        <v>0</v>
      </c>
      <c r="Y81" s="61"/>
      <c r="Z81" s="61"/>
      <c r="AA81" s="61"/>
    </row>
    <row r="82" spans="2:27" s="59" customFormat="1" x14ac:dyDescent="0.2">
      <c r="B82" s="59" t="s">
        <v>36</v>
      </c>
      <c r="C82" s="59" t="s">
        <v>36</v>
      </c>
      <c r="E82" s="67" t="b">
        <f>FALSE</f>
        <v>0</v>
      </c>
      <c r="F82" s="67" t="b">
        <f>FALSE</f>
        <v>0</v>
      </c>
      <c r="G82" s="67" t="b">
        <f>FALSE</f>
        <v>0</v>
      </c>
      <c r="H82" s="67" t="b">
        <f>FALSE</f>
        <v>0</v>
      </c>
      <c r="I82" s="67" t="b">
        <f>FALSE</f>
        <v>0</v>
      </c>
      <c r="J82" s="67" t="b">
        <f>FALSE</f>
        <v>0</v>
      </c>
      <c r="K82" s="67" t="b">
        <f>FALSE</f>
        <v>0</v>
      </c>
      <c r="L82" s="67" t="b">
        <f>FALSE</f>
        <v>0</v>
      </c>
      <c r="M82" s="111" t="b">
        <f>FALSE</f>
        <v>0</v>
      </c>
      <c r="N82" s="111" t="b">
        <f>FALSE</f>
        <v>0</v>
      </c>
      <c r="O82" s="111" t="b">
        <f>FALSE</f>
        <v>0</v>
      </c>
      <c r="P82" s="111" t="b">
        <f>FALSE</f>
        <v>0</v>
      </c>
      <c r="Q82" s="111" t="b">
        <f>FALSE</f>
        <v>0</v>
      </c>
      <c r="R82" s="111" t="b">
        <f>FALSE</f>
        <v>0</v>
      </c>
      <c r="S82" s="111" t="b">
        <f>FALSE</f>
        <v>0</v>
      </c>
      <c r="T82" s="111" t="b">
        <f>FALSE</f>
        <v>0</v>
      </c>
      <c r="U82" s="111" t="b">
        <f>FALSE</f>
        <v>0</v>
      </c>
      <c r="V82" s="111" t="b">
        <f>FALSE</f>
        <v>0</v>
      </c>
      <c r="W82" s="111" t="b">
        <f>FALSE</f>
        <v>0</v>
      </c>
      <c r="Y82" s="61"/>
      <c r="Z82" s="61"/>
      <c r="AA82" s="61"/>
    </row>
    <row r="83" spans="2:27" s="59" customFormat="1" x14ac:dyDescent="0.2">
      <c r="E83" s="68"/>
      <c r="Y83" s="61"/>
      <c r="Z83" s="61"/>
      <c r="AA83" s="61"/>
    </row>
    <row r="84" spans="2:27" s="59" customFormat="1" ht="25.5" x14ac:dyDescent="0.2">
      <c r="B84" s="66" t="s">
        <v>100</v>
      </c>
      <c r="C84" s="62" t="s">
        <v>0</v>
      </c>
      <c r="E84" s="59">
        <f>IF(E29=1,E6,"")</f>
        <v>-25</v>
      </c>
      <c r="F84" s="59">
        <f t="shared" ref="F84:W84" si="69">IF(F29=1,F6,"")</f>
        <v>-25</v>
      </c>
      <c r="G84" s="59">
        <f t="shared" si="69"/>
        <v>-25</v>
      </c>
      <c r="H84" s="59">
        <f t="shared" si="69"/>
        <v>-25</v>
      </c>
      <c r="I84" s="59">
        <f t="shared" si="69"/>
        <v>20</v>
      </c>
      <c r="J84" s="59" t="str">
        <f t="shared" si="69"/>
        <v/>
      </c>
      <c r="K84" s="59">
        <f t="shared" si="69"/>
        <v>7.298095599907235</v>
      </c>
      <c r="L84" s="59">
        <f t="shared" si="69"/>
        <v>8</v>
      </c>
      <c r="M84" s="59">
        <f t="shared" si="69"/>
        <v>8</v>
      </c>
      <c r="N84" s="59">
        <f t="shared" si="69"/>
        <v>20</v>
      </c>
      <c r="O84" s="59">
        <f t="shared" si="69"/>
        <v>35</v>
      </c>
      <c r="P84" s="59">
        <f t="shared" si="69"/>
        <v>16</v>
      </c>
      <c r="Q84" s="59">
        <f t="shared" si="69"/>
        <v>16</v>
      </c>
      <c r="R84" s="59">
        <f>IF(R29=1,R6,"")</f>
        <v>20</v>
      </c>
      <c r="S84" s="59">
        <f>IF(S29=1,S6,"")</f>
        <v>20</v>
      </c>
      <c r="T84" s="59">
        <f t="shared" si="69"/>
        <v>20</v>
      </c>
      <c r="U84" s="59">
        <f>IF(U29=1,U6,"")</f>
        <v>20</v>
      </c>
      <c r="V84" s="59" t="str">
        <f>IF(V29=1,V6,"")</f>
        <v/>
      </c>
      <c r="W84" s="59" t="str">
        <f t="shared" si="69"/>
        <v/>
      </c>
      <c r="Y84" s="61"/>
      <c r="Z84" s="61"/>
      <c r="AA84" s="61"/>
    </row>
    <row r="85" spans="2:27" s="59" customFormat="1" x14ac:dyDescent="0.2">
      <c r="C85" s="63" t="s">
        <v>1</v>
      </c>
      <c r="E85" s="59">
        <f>IF(E30=1,E7/100,"")</f>
        <v>0.2</v>
      </c>
      <c r="F85" s="59">
        <f t="shared" ref="F85:W85" si="70">IF(F30=1,F7/100,"")</f>
        <v>0.2</v>
      </c>
      <c r="G85" s="59">
        <f t="shared" si="70"/>
        <v>0.2</v>
      </c>
      <c r="H85" s="59">
        <f t="shared" si="70"/>
        <v>0.2</v>
      </c>
      <c r="I85" s="59">
        <f t="shared" si="70"/>
        <v>0.6</v>
      </c>
      <c r="J85" s="59" t="str">
        <f t="shared" si="70"/>
        <v/>
      </c>
      <c r="K85" s="59">
        <f t="shared" si="70"/>
        <v>9.8922192852820522E-3</v>
      </c>
      <c r="L85" s="59" t="str">
        <f t="shared" si="70"/>
        <v/>
      </c>
      <c r="M85" s="59">
        <f t="shared" si="70"/>
        <v>9.4279970713545064E-5</v>
      </c>
      <c r="N85" s="59" t="str">
        <f t="shared" si="70"/>
        <v/>
      </c>
      <c r="O85" s="59">
        <f t="shared" si="70"/>
        <v>0.4</v>
      </c>
      <c r="P85" s="59" t="str">
        <f t="shared" si="70"/>
        <v/>
      </c>
      <c r="Q85" s="59">
        <f t="shared" si="70"/>
        <v>7.5771330367416147E-3</v>
      </c>
      <c r="R85" s="59" t="str">
        <f>IF(R30=1,R7/100,"")</f>
        <v/>
      </c>
      <c r="S85" s="59">
        <f>IF(S30=1,S7/100,"")</f>
        <v>5.889954581965501E-5</v>
      </c>
      <c r="T85" s="59">
        <f t="shared" si="70"/>
        <v>5.8899545819655011E-7</v>
      </c>
      <c r="U85" s="59">
        <f>IF(U30=1,U7/100,"")</f>
        <v>5.889954581965502E-9</v>
      </c>
      <c r="V85" s="59" t="str">
        <f>IF(V30=1,V7/100,"")</f>
        <v/>
      </c>
      <c r="W85" s="59" t="str">
        <f t="shared" si="70"/>
        <v/>
      </c>
      <c r="Y85" s="61"/>
      <c r="Z85" s="61"/>
      <c r="AA85" s="61"/>
    </row>
    <row r="86" spans="2:27" s="59" customFormat="1" x14ac:dyDescent="0.2">
      <c r="C86" s="62" t="s">
        <v>2</v>
      </c>
      <c r="E86" s="59" t="str">
        <f>IF(E31=1,E8,"")</f>
        <v/>
      </c>
      <c r="F86" s="59" t="str">
        <f t="shared" ref="F86:W87" si="71">IF(F31=1,F8,"")</f>
        <v/>
      </c>
      <c r="G86" s="59" t="str">
        <f t="shared" si="71"/>
        <v/>
      </c>
      <c r="H86" s="59" t="str">
        <f t="shared" si="71"/>
        <v/>
      </c>
      <c r="I86" s="59" t="str">
        <f t="shared" si="71"/>
        <v/>
      </c>
      <c r="J86" s="59" t="str">
        <f t="shared" si="71"/>
        <v/>
      </c>
      <c r="K86" s="59" t="str">
        <f t="shared" si="71"/>
        <v/>
      </c>
      <c r="L86" s="59" t="str">
        <f t="shared" si="71"/>
        <v/>
      </c>
      <c r="M86" s="59" t="str">
        <f t="shared" si="71"/>
        <v/>
      </c>
      <c r="N86" s="59" t="str">
        <f t="shared" si="71"/>
        <v/>
      </c>
      <c r="O86" s="59" t="str">
        <f t="shared" si="71"/>
        <v/>
      </c>
      <c r="P86" s="59" t="str">
        <f t="shared" si="71"/>
        <v/>
      </c>
      <c r="Q86" s="59" t="str">
        <f t="shared" si="71"/>
        <v/>
      </c>
      <c r="R86" s="59" t="str">
        <f>IF(R31=1,R8,"")</f>
        <v/>
      </c>
      <c r="S86" s="59" t="str">
        <f>IF(S31=1,S8,"")</f>
        <v/>
      </c>
      <c r="T86" s="59" t="str">
        <f t="shared" si="71"/>
        <v/>
      </c>
      <c r="U86" s="59" t="str">
        <f>IF(U31=1,U8,"")</f>
        <v/>
      </c>
      <c r="V86" s="59" t="str">
        <f>IF(V31=1,V8,"")</f>
        <v/>
      </c>
      <c r="W86" s="59" t="str">
        <f t="shared" si="71"/>
        <v/>
      </c>
      <c r="Y86" s="61"/>
      <c r="Z86" s="61"/>
      <c r="AA86" s="61"/>
    </row>
    <row r="87" spans="2:27" s="59" customFormat="1" x14ac:dyDescent="0.2">
      <c r="C87" s="62" t="s">
        <v>3</v>
      </c>
      <c r="E87" s="59" t="str">
        <f>IF(E32=1,E9,"")</f>
        <v/>
      </c>
      <c r="F87" s="59" t="str">
        <f t="shared" si="71"/>
        <v/>
      </c>
      <c r="G87" s="59" t="str">
        <f t="shared" si="71"/>
        <v/>
      </c>
      <c r="H87" s="59" t="str">
        <f t="shared" si="71"/>
        <v/>
      </c>
      <c r="I87" s="59" t="str">
        <f t="shared" si="71"/>
        <v/>
      </c>
      <c r="J87" s="59" t="str">
        <f t="shared" si="71"/>
        <v/>
      </c>
      <c r="K87" s="59" t="str">
        <f t="shared" si="71"/>
        <v/>
      </c>
      <c r="L87" s="59" t="str">
        <f t="shared" si="71"/>
        <v/>
      </c>
      <c r="M87" s="59" t="str">
        <f t="shared" si="71"/>
        <v/>
      </c>
      <c r="N87" s="59" t="str">
        <f t="shared" si="71"/>
        <v/>
      </c>
      <c r="O87" s="59" t="str">
        <f t="shared" si="71"/>
        <v/>
      </c>
      <c r="P87" s="59" t="str">
        <f t="shared" si="71"/>
        <v/>
      </c>
      <c r="Q87" s="59" t="str">
        <f t="shared" si="71"/>
        <v/>
      </c>
      <c r="R87" s="59" t="str">
        <f>IF(R32=1,R9,"")</f>
        <v/>
      </c>
      <c r="S87" s="59" t="str">
        <f>IF(S32=1,S9,"")</f>
        <v/>
      </c>
      <c r="T87" s="59" t="str">
        <f t="shared" si="71"/>
        <v/>
      </c>
      <c r="U87" s="59" t="str">
        <f>IF(U32=1,U9,"")</f>
        <v/>
      </c>
      <c r="V87" s="59" t="str">
        <f>IF(V32=1,V9,"")</f>
        <v/>
      </c>
      <c r="W87" s="59" t="str">
        <f t="shared" si="71"/>
        <v/>
      </c>
      <c r="Y87" s="61"/>
      <c r="Z87" s="61"/>
      <c r="AA87" s="61"/>
    </row>
    <row r="88" spans="2:27" s="59" customFormat="1" x14ac:dyDescent="0.2">
      <c r="B88" s="59" t="s">
        <v>105</v>
      </c>
      <c r="C88" s="59" t="s">
        <v>36</v>
      </c>
      <c r="E88" s="67" t="b">
        <f>TRUE</f>
        <v>1</v>
      </c>
      <c r="F88" s="67" t="b">
        <f t="shared" ref="F88:W88" si="72">OR(F34&gt;2,F33=1)</f>
        <v>0</v>
      </c>
      <c r="G88" s="67" t="b">
        <f t="shared" si="72"/>
        <v>0</v>
      </c>
      <c r="H88" s="67" t="b">
        <f t="shared" si="72"/>
        <v>0</v>
      </c>
      <c r="I88" s="67" t="b">
        <f t="shared" si="72"/>
        <v>0</v>
      </c>
      <c r="J88" s="67" t="b">
        <f t="shared" si="72"/>
        <v>0</v>
      </c>
      <c r="K88" s="67" t="b">
        <f t="shared" si="72"/>
        <v>0</v>
      </c>
      <c r="L88" s="67" t="b">
        <f t="shared" si="72"/>
        <v>0</v>
      </c>
      <c r="M88" s="111" t="b">
        <f t="shared" si="72"/>
        <v>0</v>
      </c>
      <c r="N88" s="111" t="b">
        <f t="shared" si="72"/>
        <v>0</v>
      </c>
      <c r="O88" s="111" t="b">
        <f t="shared" si="72"/>
        <v>0</v>
      </c>
      <c r="P88" s="111" t="b">
        <f t="shared" si="72"/>
        <v>0</v>
      </c>
      <c r="Q88" s="111" t="b">
        <f t="shared" si="72"/>
        <v>0</v>
      </c>
      <c r="R88" s="111" t="b">
        <f t="shared" si="72"/>
        <v>0</v>
      </c>
      <c r="S88" s="111" t="b">
        <f t="shared" si="72"/>
        <v>0</v>
      </c>
      <c r="T88" s="111" t="b">
        <f t="shared" si="72"/>
        <v>0</v>
      </c>
      <c r="U88" s="111" t="b">
        <f t="shared" si="72"/>
        <v>0</v>
      </c>
      <c r="V88" s="111" t="b">
        <f t="shared" si="72"/>
        <v>0</v>
      </c>
      <c r="W88" s="111" t="b">
        <f t="shared" si="72"/>
        <v>0</v>
      </c>
      <c r="Y88" s="61"/>
      <c r="Z88" s="61"/>
      <c r="AA88" s="61"/>
    </row>
    <row r="89" spans="2:27" s="59" customFormat="1" x14ac:dyDescent="0.2">
      <c r="B89" s="59" t="s">
        <v>47</v>
      </c>
      <c r="C89" s="59" t="s">
        <v>36</v>
      </c>
      <c r="E89" s="67" t="b">
        <f>FALSE</f>
        <v>0</v>
      </c>
      <c r="F89" s="67" t="b">
        <f t="shared" ref="F89:W89" si="73">F34=1</f>
        <v>0</v>
      </c>
      <c r="G89" s="67" t="b">
        <f t="shared" si="73"/>
        <v>0</v>
      </c>
      <c r="H89" s="67" t="b">
        <f t="shared" si="73"/>
        <v>0</v>
      </c>
      <c r="I89" s="67" t="b">
        <f t="shared" si="73"/>
        <v>0</v>
      </c>
      <c r="J89" s="67" t="b">
        <f t="shared" si="73"/>
        <v>0</v>
      </c>
      <c r="K89" s="67" t="b">
        <f t="shared" si="73"/>
        <v>0</v>
      </c>
      <c r="L89" s="67" t="b">
        <f t="shared" si="73"/>
        <v>1</v>
      </c>
      <c r="M89" s="111" t="b">
        <f t="shared" si="73"/>
        <v>0</v>
      </c>
      <c r="N89" s="111" t="b">
        <f t="shared" si="73"/>
        <v>1</v>
      </c>
      <c r="O89" s="111" t="b">
        <f t="shared" si="73"/>
        <v>0</v>
      </c>
      <c r="P89" s="111" t="b">
        <f t="shared" si="73"/>
        <v>1</v>
      </c>
      <c r="Q89" s="111" t="b">
        <f t="shared" si="73"/>
        <v>0</v>
      </c>
      <c r="R89" s="111" t="b">
        <f t="shared" si="73"/>
        <v>1</v>
      </c>
      <c r="S89" s="111" t="b">
        <f t="shared" si="73"/>
        <v>0</v>
      </c>
      <c r="T89" s="111" t="b">
        <f t="shared" si="73"/>
        <v>0</v>
      </c>
      <c r="U89" s="111" t="b">
        <f t="shared" si="73"/>
        <v>0</v>
      </c>
      <c r="V89" s="111" t="b">
        <f t="shared" si="73"/>
        <v>0</v>
      </c>
      <c r="W89" s="111" t="b">
        <f t="shared" si="73"/>
        <v>0</v>
      </c>
      <c r="Y89" s="61"/>
      <c r="Z89" s="61"/>
      <c r="AA89" s="61"/>
    </row>
    <row r="90" spans="2:27" s="59" customFormat="1" x14ac:dyDescent="0.2">
      <c r="B90" s="59" t="s">
        <v>36</v>
      </c>
      <c r="C90" s="59" t="s">
        <v>36</v>
      </c>
      <c r="E90" s="67" t="b">
        <f>FALSE</f>
        <v>0</v>
      </c>
      <c r="F90" s="67" t="b">
        <f t="shared" ref="F90:W90" si="74">F34=0</f>
        <v>0</v>
      </c>
      <c r="G90" s="67" t="b">
        <f t="shared" si="74"/>
        <v>0</v>
      </c>
      <c r="H90" s="67" t="b">
        <f t="shared" si="74"/>
        <v>0</v>
      </c>
      <c r="I90" s="67" t="b">
        <f t="shared" si="74"/>
        <v>0</v>
      </c>
      <c r="J90" s="67" t="b">
        <f t="shared" si="74"/>
        <v>1</v>
      </c>
      <c r="K90" s="67" t="b">
        <f t="shared" si="74"/>
        <v>0</v>
      </c>
      <c r="L90" s="67" t="b">
        <f t="shared" si="74"/>
        <v>0</v>
      </c>
      <c r="M90" s="111" t="b">
        <f t="shared" si="74"/>
        <v>0</v>
      </c>
      <c r="N90" s="111" t="b">
        <f t="shared" si="74"/>
        <v>0</v>
      </c>
      <c r="O90" s="111" t="b">
        <f t="shared" si="74"/>
        <v>0</v>
      </c>
      <c r="P90" s="111" t="b">
        <f t="shared" si="74"/>
        <v>0</v>
      </c>
      <c r="Q90" s="111" t="b">
        <f t="shared" si="74"/>
        <v>0</v>
      </c>
      <c r="R90" s="111" t="b">
        <f t="shared" si="74"/>
        <v>0</v>
      </c>
      <c r="S90" s="111" t="b">
        <f t="shared" si="74"/>
        <v>0</v>
      </c>
      <c r="T90" s="111" t="b">
        <f t="shared" si="74"/>
        <v>0</v>
      </c>
      <c r="U90" s="111" t="b">
        <f t="shared" si="74"/>
        <v>0</v>
      </c>
      <c r="V90" s="111" t="b">
        <f t="shared" si="74"/>
        <v>1</v>
      </c>
      <c r="W90" s="111" t="b">
        <f t="shared" si="74"/>
        <v>1</v>
      </c>
      <c r="Y90" s="61"/>
      <c r="Z90" s="61"/>
      <c r="AA90" s="61"/>
    </row>
    <row r="91" spans="2:27" s="59" customFormat="1" x14ac:dyDescent="0.2">
      <c r="E91" s="68"/>
      <c r="Y91" s="61"/>
      <c r="Z91" s="61"/>
      <c r="AA91" s="61"/>
    </row>
    <row r="92" spans="2:27" s="59" customFormat="1" ht="25.5" x14ac:dyDescent="0.2">
      <c r="B92" s="71" t="s">
        <v>106</v>
      </c>
      <c r="C92" s="62" t="s">
        <v>0</v>
      </c>
      <c r="E92" s="59">
        <f>IF(E28&gt;6,"",CHOOSE(E28+1,E36,E44,E52,E60,E68,E76,E84))</f>
        <v>-25</v>
      </c>
      <c r="F92" s="59">
        <f t="shared" ref="F92:W92" si="75">IF(F28&gt;6,"",CHOOSE(F28+1,F36,F44,F52,F60,F68,F76,F84))</f>
        <v>-25</v>
      </c>
      <c r="G92" s="59">
        <f t="shared" si="75"/>
        <v>-25</v>
      </c>
      <c r="H92" s="59">
        <f t="shared" si="75"/>
        <v>-25</v>
      </c>
      <c r="I92" s="59">
        <f t="shared" si="75"/>
        <v>20</v>
      </c>
      <c r="J92" s="59" t="str">
        <f t="shared" si="75"/>
        <v/>
      </c>
      <c r="K92" s="59">
        <f t="shared" si="75"/>
        <v>7.298095599907235</v>
      </c>
      <c r="L92" s="59">
        <f t="shared" si="75"/>
        <v>8</v>
      </c>
      <c r="M92" s="59">
        <f t="shared" si="75"/>
        <v>8</v>
      </c>
      <c r="N92" s="59">
        <f t="shared" si="75"/>
        <v>20</v>
      </c>
      <c r="O92" s="59">
        <f t="shared" si="75"/>
        <v>35</v>
      </c>
      <c r="P92" s="59">
        <f t="shared" si="75"/>
        <v>16</v>
      </c>
      <c r="Q92" s="59">
        <f t="shared" si="75"/>
        <v>16</v>
      </c>
      <c r="R92" s="59">
        <f t="shared" si="75"/>
        <v>20</v>
      </c>
      <c r="S92" s="59">
        <f t="shared" si="75"/>
        <v>20</v>
      </c>
      <c r="T92" s="59">
        <f t="shared" si="75"/>
        <v>20</v>
      </c>
      <c r="U92" s="59">
        <f t="shared" si="75"/>
        <v>20</v>
      </c>
      <c r="V92" s="59" t="str">
        <f t="shared" si="75"/>
        <v/>
      </c>
      <c r="W92" s="59" t="str">
        <f t="shared" si="75"/>
        <v/>
      </c>
      <c r="Y92" s="61"/>
      <c r="Z92" s="61"/>
      <c r="AA92" s="61"/>
    </row>
    <row r="93" spans="2:27" s="59" customFormat="1" x14ac:dyDescent="0.2">
      <c r="C93" s="63" t="s">
        <v>1</v>
      </c>
      <c r="E93" s="59">
        <f>IF(E28&gt;6,"",CHOOSE(E28+1,E37,E45,E53,E61,E69,E77,E85))</f>
        <v>0.2</v>
      </c>
      <c r="F93" s="59">
        <f t="shared" ref="F93:W93" si="76">IF(F28&gt;6,"",CHOOSE(F28+1,F37,F45,F53,F61,F69,F77,F85))</f>
        <v>0.2</v>
      </c>
      <c r="G93" s="59">
        <f t="shared" si="76"/>
        <v>0.2</v>
      </c>
      <c r="H93" s="59">
        <f t="shared" si="76"/>
        <v>0.2</v>
      </c>
      <c r="I93" s="59">
        <f t="shared" si="76"/>
        <v>0.6</v>
      </c>
      <c r="J93" s="59" t="str">
        <f t="shared" si="76"/>
        <v/>
      </c>
      <c r="K93" s="59">
        <f t="shared" si="76"/>
        <v>9.8922192852820522E-3</v>
      </c>
      <c r="L93" s="59" t="str">
        <f t="shared" si="76"/>
        <v/>
      </c>
      <c r="M93" s="59">
        <f t="shared" si="76"/>
        <v>9.4279970713545064E-5</v>
      </c>
      <c r="N93" s="59" t="str">
        <f t="shared" si="76"/>
        <v/>
      </c>
      <c r="O93" s="59">
        <f t="shared" si="76"/>
        <v>0.4</v>
      </c>
      <c r="P93" s="59" t="str">
        <f t="shared" si="76"/>
        <v/>
      </c>
      <c r="Q93" s="59">
        <f t="shared" si="76"/>
        <v>7.5771330367416147E-3</v>
      </c>
      <c r="R93" s="59" t="str">
        <f t="shared" si="76"/>
        <v/>
      </c>
      <c r="S93" s="59">
        <f t="shared" si="76"/>
        <v>5.889954581965501E-5</v>
      </c>
      <c r="T93" s="59">
        <f t="shared" si="76"/>
        <v>5.8899545819655011E-7</v>
      </c>
      <c r="U93" s="59">
        <f t="shared" si="76"/>
        <v>5.889954581965502E-9</v>
      </c>
      <c r="V93" s="59" t="str">
        <f t="shared" si="76"/>
        <v/>
      </c>
      <c r="W93" s="59" t="str">
        <f t="shared" si="76"/>
        <v/>
      </c>
      <c r="Y93" s="61"/>
      <c r="Z93" s="61"/>
      <c r="AA93" s="61"/>
    </row>
    <row r="94" spans="2:27" s="59" customFormat="1" x14ac:dyDescent="0.2">
      <c r="C94" s="62" t="s">
        <v>2</v>
      </c>
      <c r="E94" s="59" t="str">
        <f>IF(E28&gt;6,"",CHOOSE(E28+1,E38,E46,E54,E62,E70,E78,E86))</f>
        <v/>
      </c>
      <c r="F94" s="59" t="str">
        <f t="shared" ref="F94:W94" si="77">IF(F28&gt;6,"",CHOOSE(F28+1,F38,F46,F54,F62,F70,F78,F86))</f>
        <v/>
      </c>
      <c r="G94" s="59" t="str">
        <f t="shared" si="77"/>
        <v/>
      </c>
      <c r="H94" s="59" t="str">
        <f t="shared" si="77"/>
        <v/>
      </c>
      <c r="I94" s="59" t="str">
        <f t="shared" si="77"/>
        <v/>
      </c>
      <c r="J94" s="59">
        <f t="shared" si="77"/>
        <v>6.7207177223736538</v>
      </c>
      <c r="K94" s="59" t="str">
        <f t="shared" si="77"/>
        <v/>
      </c>
      <c r="L94" s="59">
        <f t="shared" si="77"/>
        <v>6.6496099596165939E-2</v>
      </c>
      <c r="M94" s="59" t="str">
        <f t="shared" si="77"/>
        <v/>
      </c>
      <c r="N94" s="59">
        <f t="shared" si="77"/>
        <v>6.6489064798930036E-4</v>
      </c>
      <c r="O94" s="59" t="str">
        <f t="shared" si="77"/>
        <v/>
      </c>
      <c r="P94" s="59" t="str">
        <f t="shared" si="77"/>
        <v/>
      </c>
      <c r="Q94" s="59" t="str">
        <f t="shared" si="77"/>
        <v/>
      </c>
      <c r="R94" s="59">
        <f t="shared" si="77"/>
        <v>9.0684559843778378E-2</v>
      </c>
      <c r="S94" s="59" t="str">
        <f t="shared" si="77"/>
        <v/>
      </c>
      <c r="T94" s="59" t="str">
        <f t="shared" si="77"/>
        <v/>
      </c>
      <c r="U94" s="59" t="str">
        <f t="shared" si="77"/>
        <v/>
      </c>
      <c r="V94" s="59" t="str">
        <f t="shared" si="77"/>
        <v/>
      </c>
      <c r="W94" s="59" t="str">
        <f t="shared" si="77"/>
        <v/>
      </c>
      <c r="Y94" s="61"/>
      <c r="Z94" s="61"/>
      <c r="AA94" s="61"/>
    </row>
    <row r="95" spans="2:27" s="59" customFormat="1" x14ac:dyDescent="0.2">
      <c r="C95" s="62" t="s">
        <v>3</v>
      </c>
      <c r="E95" s="59" t="str">
        <f>IF(E28&gt;6,"",CHOOSE(E28+1,E39,E47,E55,E63,E71,E79,E87))</f>
        <v/>
      </c>
      <c r="F95" s="59" t="str">
        <f t="shared" ref="F95:W95" si="78">IF(F28&gt;6,"",CHOOSE(F28+1,F39,F47,F55,F63,F71,F79,F87))</f>
        <v/>
      </c>
      <c r="G95" s="59" t="str">
        <f t="shared" si="78"/>
        <v/>
      </c>
      <c r="H95" s="59" t="str">
        <f t="shared" si="78"/>
        <v/>
      </c>
      <c r="I95" s="59" t="str">
        <f t="shared" si="78"/>
        <v/>
      </c>
      <c r="J95" s="59">
        <f t="shared" si="78"/>
        <v>24.270821678777263</v>
      </c>
      <c r="K95" s="59" t="str">
        <f t="shared" si="78"/>
        <v/>
      </c>
      <c r="L95" s="59" t="str">
        <f t="shared" si="78"/>
        <v/>
      </c>
      <c r="M95" s="59" t="str">
        <f t="shared" si="78"/>
        <v/>
      </c>
      <c r="N95" s="59" t="str">
        <f t="shared" si="78"/>
        <v/>
      </c>
      <c r="O95" s="59" t="str">
        <f t="shared" si="78"/>
        <v/>
      </c>
      <c r="P95" s="59">
        <f t="shared" si="78"/>
        <v>39.446082331350226</v>
      </c>
      <c r="Q95" s="59" t="str">
        <f t="shared" si="78"/>
        <v/>
      </c>
      <c r="R95" s="59" t="str">
        <f t="shared" si="78"/>
        <v/>
      </c>
      <c r="S95" s="59" t="str">
        <f t="shared" si="78"/>
        <v/>
      </c>
      <c r="T95" s="59" t="str">
        <f t="shared" si="78"/>
        <v/>
      </c>
      <c r="U95" s="59" t="str">
        <f t="shared" si="78"/>
        <v/>
      </c>
      <c r="V95" s="59" t="str">
        <f t="shared" si="78"/>
        <v/>
      </c>
      <c r="W95" s="59" t="str">
        <f t="shared" si="78"/>
        <v/>
      </c>
      <c r="Y95" s="61"/>
      <c r="Z95" s="61"/>
      <c r="AA95" s="61"/>
    </row>
    <row r="96" spans="2:27" s="59" customFormat="1" x14ac:dyDescent="0.2">
      <c r="B96" s="59" t="s">
        <v>105</v>
      </c>
      <c r="C96" s="59" t="s">
        <v>36</v>
      </c>
      <c r="E96" s="67" t="b">
        <f>IF(OR(E28&gt;6,AND(E11&lt;&gt;"",E12&lt;&gt;"")),TRUE,CHOOSE(E28+1,E40,E48,E56,E64,E72,E80,E88))</f>
        <v>0</v>
      </c>
      <c r="F96" s="67" t="b">
        <f t="shared" ref="F96:W96" si="79">IF(OR(F28&gt;6,AND(F11&lt;&gt;"",F12&lt;&gt;"")),TRUE,CHOOSE(F28+1,F40,F48,F56,F64,F72,F80,F88))</f>
        <v>0</v>
      </c>
      <c r="G96" s="67" t="b">
        <f t="shared" si="79"/>
        <v>0</v>
      </c>
      <c r="H96" s="67" t="b">
        <f t="shared" si="79"/>
        <v>0</v>
      </c>
      <c r="I96" s="67" t="b">
        <f t="shared" si="79"/>
        <v>0</v>
      </c>
      <c r="J96" s="67" t="b">
        <f t="shared" si="79"/>
        <v>0</v>
      </c>
      <c r="K96" s="67" t="b">
        <f t="shared" si="79"/>
        <v>0</v>
      </c>
      <c r="L96" s="67" t="b">
        <f t="shared" si="79"/>
        <v>0</v>
      </c>
      <c r="M96" s="111" t="b">
        <f t="shared" si="79"/>
        <v>0</v>
      </c>
      <c r="N96" s="111" t="b">
        <f t="shared" si="79"/>
        <v>0</v>
      </c>
      <c r="O96" s="111" t="b">
        <f t="shared" si="79"/>
        <v>0</v>
      </c>
      <c r="P96" s="111" t="b">
        <f t="shared" si="79"/>
        <v>0</v>
      </c>
      <c r="Q96" s="111" t="b">
        <f t="shared" si="79"/>
        <v>0</v>
      </c>
      <c r="R96" s="111" t="b">
        <f>IF(OR(R28&gt;6,AND(R11&lt;&gt;"",R12&lt;&gt;"")),TRUE,CHOOSE(R28+1,R40,R48,R56,R64,R72,R80,R88))</f>
        <v>0</v>
      </c>
      <c r="S96" s="111" t="b">
        <f>IF(OR(S28&gt;6,AND(S11&lt;&gt;"",S12&lt;&gt;"")),TRUE,CHOOSE(S28+1,S40,S48,S56,S64,S72,S80,S88))</f>
        <v>0</v>
      </c>
      <c r="T96" s="111" t="b">
        <f t="shared" si="79"/>
        <v>0</v>
      </c>
      <c r="U96" s="111" t="b">
        <f>IF(OR(U28&gt;6,AND(U11&lt;&gt;"",U12&lt;&gt;"")),TRUE,CHOOSE(U28+1,U40,U48,U56,U64,U72,U80,U88))</f>
        <v>0</v>
      </c>
      <c r="V96" s="111" t="b">
        <f>IF(OR(V28&gt;6,AND(V11&lt;&gt;"",V12&lt;&gt;"")),TRUE,CHOOSE(V28+1,V40,V48,V56,V64,V72,V80,V88))</f>
        <v>0</v>
      </c>
      <c r="W96" s="111" t="b">
        <f t="shared" si="79"/>
        <v>0</v>
      </c>
      <c r="Y96" s="61"/>
      <c r="Z96" s="61"/>
      <c r="AA96" s="61"/>
    </row>
    <row r="97" spans="2:27" s="59" customFormat="1" x14ac:dyDescent="0.2">
      <c r="B97" s="59" t="s">
        <v>47</v>
      </c>
      <c r="C97" s="59" t="s">
        <v>36</v>
      </c>
      <c r="E97" s="67" t="b">
        <f>IF(E28&gt;6,TRUE,CHOOSE(E28+1,E41,E49,E57,E65,E73,E81,E89))</f>
        <v>0</v>
      </c>
      <c r="F97" s="67" t="b">
        <f t="shared" ref="F97:W97" si="80">IF(F28&gt;6,TRUE,CHOOSE(F28+1,F41,F49,F57,F65,F73,F81,F89))</f>
        <v>0</v>
      </c>
      <c r="G97" s="67" t="b">
        <f t="shared" si="80"/>
        <v>0</v>
      </c>
      <c r="H97" s="67" t="b">
        <f t="shared" si="80"/>
        <v>0</v>
      </c>
      <c r="I97" s="67" t="b">
        <f t="shared" si="80"/>
        <v>0</v>
      </c>
      <c r="J97" s="67" t="b">
        <f t="shared" si="80"/>
        <v>0</v>
      </c>
      <c r="K97" s="67" t="b">
        <f t="shared" si="80"/>
        <v>0</v>
      </c>
      <c r="L97" s="67" t="b">
        <f t="shared" si="80"/>
        <v>0</v>
      </c>
      <c r="M97" s="111" t="b">
        <f t="shared" si="80"/>
        <v>0</v>
      </c>
      <c r="N97" s="111" t="b">
        <f t="shared" si="80"/>
        <v>0</v>
      </c>
      <c r="O97" s="111" t="b">
        <f t="shared" si="80"/>
        <v>0</v>
      </c>
      <c r="P97" s="111" t="b">
        <f t="shared" si="80"/>
        <v>0</v>
      </c>
      <c r="Q97" s="111" t="b">
        <f t="shared" si="80"/>
        <v>0</v>
      </c>
      <c r="R97" s="111" t="b">
        <f t="shared" si="80"/>
        <v>0</v>
      </c>
      <c r="S97" s="111" t="b">
        <f t="shared" si="80"/>
        <v>0</v>
      </c>
      <c r="T97" s="111" t="b">
        <f t="shared" si="80"/>
        <v>0</v>
      </c>
      <c r="U97" s="111" t="b">
        <f t="shared" si="80"/>
        <v>0</v>
      </c>
      <c r="V97" s="111" t="b">
        <f t="shared" si="80"/>
        <v>0</v>
      </c>
      <c r="W97" s="111" t="b">
        <f t="shared" si="80"/>
        <v>0</v>
      </c>
      <c r="Y97" s="61"/>
      <c r="Z97" s="61"/>
      <c r="AA97" s="61"/>
    </row>
    <row r="98" spans="2:27" s="59" customFormat="1" x14ac:dyDescent="0.2">
      <c r="B98" s="59" t="s">
        <v>36</v>
      </c>
      <c r="C98" s="59" t="s">
        <v>36</v>
      </c>
      <c r="E98" s="67" t="b">
        <f>IF(E28&gt;6,TRUE,CHOOSE(E28+1,E42,E50,E58,E66,E74,E82,E90))</f>
        <v>0</v>
      </c>
      <c r="F98" s="67" t="b">
        <f t="shared" ref="F98:W98" si="81">IF(F28&gt;6,TRUE,CHOOSE(F28+1,F42,F50,F58,F66,F74,F82,F90))</f>
        <v>0</v>
      </c>
      <c r="G98" s="67" t="b">
        <f t="shared" si="81"/>
        <v>0</v>
      </c>
      <c r="H98" s="67" t="b">
        <f t="shared" si="81"/>
        <v>0</v>
      </c>
      <c r="I98" s="67" t="b">
        <f t="shared" si="81"/>
        <v>0</v>
      </c>
      <c r="J98" s="67" t="b">
        <f t="shared" si="81"/>
        <v>0</v>
      </c>
      <c r="K98" s="67" t="b">
        <f t="shared" si="81"/>
        <v>0</v>
      </c>
      <c r="L98" s="67" t="b">
        <f t="shared" si="81"/>
        <v>0</v>
      </c>
      <c r="M98" s="111" t="b">
        <f t="shared" si="81"/>
        <v>0</v>
      </c>
      <c r="N98" s="111" t="b">
        <f t="shared" si="81"/>
        <v>0</v>
      </c>
      <c r="O98" s="111" t="b">
        <f t="shared" si="81"/>
        <v>0</v>
      </c>
      <c r="P98" s="111" t="b">
        <f t="shared" si="81"/>
        <v>0</v>
      </c>
      <c r="Q98" s="111" t="b">
        <f t="shared" si="81"/>
        <v>0</v>
      </c>
      <c r="R98" s="111" t="b">
        <f t="shared" si="81"/>
        <v>0</v>
      </c>
      <c r="S98" s="111" t="b">
        <f t="shared" si="81"/>
        <v>0</v>
      </c>
      <c r="T98" s="111" t="b">
        <f t="shared" si="81"/>
        <v>0</v>
      </c>
      <c r="U98" s="111" t="b">
        <f t="shared" si="81"/>
        <v>0</v>
      </c>
      <c r="V98" s="111" t="b">
        <f t="shared" si="81"/>
        <v>1</v>
      </c>
      <c r="W98" s="111" t="b">
        <f t="shared" si="81"/>
        <v>1</v>
      </c>
      <c r="Y98" s="61"/>
      <c r="Z98" s="61"/>
      <c r="AA98" s="61"/>
    </row>
    <row r="99" spans="2:27" s="59" customFormat="1" x14ac:dyDescent="0.2">
      <c r="Y99" s="61"/>
      <c r="Z99" s="61"/>
      <c r="AA99" s="61"/>
    </row>
    <row r="100" spans="2:27" s="59" customFormat="1" x14ac:dyDescent="0.2">
      <c r="B100" s="72" t="s">
        <v>114</v>
      </c>
      <c r="C100" s="65"/>
      <c r="Y100" s="61"/>
      <c r="Z100" s="61"/>
      <c r="AA100" s="61"/>
    </row>
    <row r="101" spans="2:27" s="59" customFormat="1" x14ac:dyDescent="0.2">
      <c r="C101" s="65"/>
      <c r="Y101" s="61"/>
      <c r="Z101" s="61"/>
      <c r="AA101" s="61"/>
    </row>
    <row r="102" spans="2:27" s="59" customFormat="1" x14ac:dyDescent="0.2">
      <c r="B102" s="73" t="s">
        <v>108</v>
      </c>
      <c r="C102" s="65" t="s">
        <v>0</v>
      </c>
      <c r="E102" s="59">
        <f>IF(AND(E$92&lt;&gt;"",E$94&lt;&gt;""),E$92,0)</f>
        <v>0</v>
      </c>
      <c r="F102" s="59">
        <f t="shared" ref="F102:W102" si="82">IF(AND(F$92&lt;&gt;"",F$94&lt;&gt;""),F$92,0)</f>
        <v>0</v>
      </c>
      <c r="G102" s="59">
        <f t="shared" si="82"/>
        <v>0</v>
      </c>
      <c r="H102" s="59">
        <f t="shared" si="82"/>
        <v>0</v>
      </c>
      <c r="I102" s="59">
        <f t="shared" si="82"/>
        <v>0</v>
      </c>
      <c r="J102" s="59">
        <f t="shared" si="82"/>
        <v>0</v>
      </c>
      <c r="K102" s="59">
        <f t="shared" si="82"/>
        <v>0</v>
      </c>
      <c r="L102" s="59">
        <f t="shared" si="82"/>
        <v>8</v>
      </c>
      <c r="M102" s="59">
        <f t="shared" si="82"/>
        <v>0</v>
      </c>
      <c r="N102" s="59">
        <f t="shared" si="82"/>
        <v>20</v>
      </c>
      <c r="O102" s="59">
        <f t="shared" si="82"/>
        <v>0</v>
      </c>
      <c r="P102" s="59">
        <f t="shared" si="82"/>
        <v>0</v>
      </c>
      <c r="Q102" s="59">
        <f t="shared" si="82"/>
        <v>0</v>
      </c>
      <c r="R102" s="59">
        <f t="shared" si="82"/>
        <v>20</v>
      </c>
      <c r="S102" s="59">
        <f t="shared" si="82"/>
        <v>0</v>
      </c>
      <c r="T102" s="59">
        <f t="shared" si="82"/>
        <v>0</v>
      </c>
      <c r="U102" s="59">
        <f t="shared" si="82"/>
        <v>0</v>
      </c>
      <c r="V102" s="59">
        <f t="shared" si="82"/>
        <v>0</v>
      </c>
      <c r="W102" s="59">
        <f t="shared" si="82"/>
        <v>0</v>
      </c>
      <c r="Y102" s="61"/>
      <c r="Z102" s="61"/>
      <c r="AA102" s="61"/>
    </row>
    <row r="103" spans="2:27" s="59" customFormat="1" x14ac:dyDescent="0.2">
      <c r="C103" s="65" t="s">
        <v>2</v>
      </c>
      <c r="E103" s="59">
        <f>IF(AND(E$92&lt;&gt;"",E$94&lt;&gt;""),E$94,0)</f>
        <v>0</v>
      </c>
      <c r="F103" s="59">
        <f t="shared" ref="F103:W103" si="83">IF(AND(F$92&lt;&gt;"",F$94&lt;&gt;""),F$94,0)</f>
        <v>0</v>
      </c>
      <c r="G103" s="59">
        <f t="shared" si="83"/>
        <v>0</v>
      </c>
      <c r="H103" s="59">
        <f t="shared" si="83"/>
        <v>0</v>
      </c>
      <c r="I103" s="59">
        <f t="shared" si="83"/>
        <v>0</v>
      </c>
      <c r="J103" s="59">
        <f t="shared" si="83"/>
        <v>0</v>
      </c>
      <c r="K103" s="59">
        <f t="shared" si="83"/>
        <v>0</v>
      </c>
      <c r="L103" s="59">
        <f t="shared" si="83"/>
        <v>6.6496099596165939E-2</v>
      </c>
      <c r="M103" s="59">
        <f t="shared" si="83"/>
        <v>0</v>
      </c>
      <c r="N103" s="59">
        <f t="shared" si="83"/>
        <v>6.6489064798930036E-4</v>
      </c>
      <c r="O103" s="59">
        <f t="shared" si="83"/>
        <v>0</v>
      </c>
      <c r="P103" s="59">
        <f t="shared" si="83"/>
        <v>0</v>
      </c>
      <c r="Q103" s="59">
        <f t="shared" si="83"/>
        <v>0</v>
      </c>
      <c r="R103" s="59">
        <f t="shared" si="83"/>
        <v>9.0684559843778378E-2</v>
      </c>
      <c r="S103" s="59">
        <f t="shared" si="83"/>
        <v>0</v>
      </c>
      <c r="T103" s="59">
        <f t="shared" si="83"/>
        <v>0</v>
      </c>
      <c r="U103" s="59">
        <f t="shared" si="83"/>
        <v>0</v>
      </c>
      <c r="V103" s="59">
        <f t="shared" si="83"/>
        <v>0</v>
      </c>
      <c r="W103" s="59">
        <f t="shared" si="83"/>
        <v>0</v>
      </c>
      <c r="Y103" s="61"/>
      <c r="Z103" s="61"/>
      <c r="AA103" s="61"/>
    </row>
    <row r="104" spans="2:27" s="59" customFormat="1" ht="25.5" x14ac:dyDescent="0.2">
      <c r="B104" s="64" t="s">
        <v>115</v>
      </c>
      <c r="C104" s="65" t="s">
        <v>31</v>
      </c>
      <c r="E104" s="74">
        <f>IF(E102&lt;-50,#N/A,IF(E102&lt;0,EXP((1738.4+28.74*E102)/(271+E102)),IF(E102&lt;=100,EXP((1500.3+23.5*E102)/(234+E102)),#N/A)))</f>
        <v>608.82962187913188</v>
      </c>
      <c r="F104" s="74">
        <f t="shared" ref="F104:W104" si="84">IF(F102&lt;-50,#N/A,IF(F102&lt;0,EXP((1738.4+28.74*F102)/(271+F102)),IF(F102&lt;=100,EXP((1500.3+23.5*F102)/(234+F102)),#N/A)))</f>
        <v>608.82962187913188</v>
      </c>
      <c r="G104" s="74">
        <f t="shared" si="84"/>
        <v>608.82962187913188</v>
      </c>
      <c r="H104" s="74">
        <f t="shared" si="84"/>
        <v>608.82962187913188</v>
      </c>
      <c r="I104" s="74">
        <f t="shared" si="84"/>
        <v>608.82962187913188</v>
      </c>
      <c r="J104" s="74">
        <f t="shared" si="84"/>
        <v>608.82962187913188</v>
      </c>
      <c r="K104" s="74">
        <f t="shared" si="84"/>
        <v>608.82962187913188</v>
      </c>
      <c r="L104" s="74">
        <f t="shared" si="84"/>
        <v>1071.1051886578423</v>
      </c>
      <c r="M104" s="70">
        <f t="shared" si="84"/>
        <v>608.82962187913188</v>
      </c>
      <c r="N104" s="70">
        <f t="shared" si="84"/>
        <v>2338.0829353370973</v>
      </c>
      <c r="O104" s="70">
        <f t="shared" si="84"/>
        <v>608.82962187913188</v>
      </c>
      <c r="P104" s="70">
        <f t="shared" si="84"/>
        <v>608.82962187913188</v>
      </c>
      <c r="Q104" s="70">
        <f t="shared" si="84"/>
        <v>608.82962187913188</v>
      </c>
      <c r="R104" s="70">
        <f t="shared" si="84"/>
        <v>2338.0829353370973</v>
      </c>
      <c r="S104" s="70">
        <f t="shared" si="84"/>
        <v>608.82962187913188</v>
      </c>
      <c r="T104" s="70">
        <f t="shared" si="84"/>
        <v>608.82962187913188</v>
      </c>
      <c r="U104" s="70">
        <f t="shared" si="84"/>
        <v>608.82962187913188</v>
      </c>
      <c r="V104" s="70">
        <f t="shared" si="84"/>
        <v>608.82962187913188</v>
      </c>
      <c r="W104" s="70">
        <f t="shared" si="84"/>
        <v>608.82962187913188</v>
      </c>
      <c r="Y104" s="61"/>
      <c r="Z104" s="61"/>
      <c r="AA104" s="61"/>
    </row>
    <row r="105" spans="2:27" s="59" customFormat="1" ht="25.5" x14ac:dyDescent="0.2">
      <c r="B105" s="64" t="s">
        <v>115</v>
      </c>
      <c r="C105" s="65" t="s">
        <v>2</v>
      </c>
      <c r="E105" s="59">
        <f>0.6222*MaxVlhkost*E104/(Tlak_vzduchu-MaxVlhkost*E104/1000)</f>
        <v>4.0346050561264439</v>
      </c>
      <c r="F105" s="59">
        <f t="shared" ref="F105:N105" si="85">0.6222*MaxVlhkost*F104/(Tlak_vzduchu-MaxVlhkost*F104/1000)</f>
        <v>4.0346050561264439</v>
      </c>
      <c r="G105" s="59">
        <f t="shared" si="85"/>
        <v>4.0346050561264439</v>
      </c>
      <c r="H105" s="59">
        <f t="shared" si="85"/>
        <v>4.0346050561264439</v>
      </c>
      <c r="I105" s="59">
        <f t="shared" si="85"/>
        <v>4.0346050561264439</v>
      </c>
      <c r="J105" s="59">
        <f t="shared" si="85"/>
        <v>4.0346050561264439</v>
      </c>
      <c r="K105" s="59">
        <f t="shared" si="85"/>
        <v>4.0346050561264439</v>
      </c>
      <c r="L105" s="59">
        <f t="shared" si="85"/>
        <v>7.1331428005076241</v>
      </c>
      <c r="M105" s="59">
        <f t="shared" si="85"/>
        <v>4.0346050561264439</v>
      </c>
      <c r="N105" s="59">
        <f t="shared" si="85"/>
        <v>15.784775845602827</v>
      </c>
      <c r="O105" s="59">
        <f t="shared" ref="O105:W105" si="86">0.6222*MaxVlhkost*O104/(Tlak_vzduchu-MaxVlhkost*O104/1000)</f>
        <v>4.0346050561264439</v>
      </c>
      <c r="P105" s="59">
        <f t="shared" si="86"/>
        <v>4.0346050561264439</v>
      </c>
      <c r="Q105" s="59">
        <f t="shared" si="86"/>
        <v>4.0346050561264439</v>
      </c>
      <c r="R105" s="59">
        <f t="shared" si="86"/>
        <v>15.784775845602827</v>
      </c>
      <c r="S105" s="59">
        <f t="shared" si="86"/>
        <v>4.0346050561264439</v>
      </c>
      <c r="T105" s="59">
        <f t="shared" si="86"/>
        <v>4.0346050561264439</v>
      </c>
      <c r="U105" s="59">
        <f t="shared" si="86"/>
        <v>4.0346050561264439</v>
      </c>
      <c r="V105" s="59">
        <f t="shared" si="86"/>
        <v>4.0346050561264439</v>
      </c>
      <c r="W105" s="59">
        <f t="shared" si="86"/>
        <v>4.0346050561264439</v>
      </c>
      <c r="Y105" s="61"/>
      <c r="Z105" s="61"/>
      <c r="AA105" s="61"/>
    </row>
    <row r="106" spans="2:27" s="59" customFormat="1" x14ac:dyDescent="0.2">
      <c r="B106" s="75" t="s">
        <v>70</v>
      </c>
      <c r="C106" s="65" t="s">
        <v>33</v>
      </c>
      <c r="E106" s="59">
        <f>E102</f>
        <v>0</v>
      </c>
      <c r="F106" s="59">
        <f t="shared" ref="F106:W106" si="87">F102</f>
        <v>0</v>
      </c>
      <c r="G106" s="59">
        <f t="shared" si="87"/>
        <v>0</v>
      </c>
      <c r="H106" s="59">
        <f t="shared" si="87"/>
        <v>0</v>
      </c>
      <c r="I106" s="59">
        <f t="shared" si="87"/>
        <v>0</v>
      </c>
      <c r="J106" s="59">
        <f t="shared" si="87"/>
        <v>0</v>
      </c>
      <c r="K106" s="59">
        <f t="shared" si="87"/>
        <v>0</v>
      </c>
      <c r="L106" s="59">
        <f t="shared" si="87"/>
        <v>8</v>
      </c>
      <c r="M106" s="59">
        <f t="shared" si="87"/>
        <v>0</v>
      </c>
      <c r="N106" s="59">
        <f t="shared" si="87"/>
        <v>20</v>
      </c>
      <c r="O106" s="59">
        <f t="shared" si="87"/>
        <v>0</v>
      </c>
      <c r="P106" s="59">
        <f t="shared" si="87"/>
        <v>0</v>
      </c>
      <c r="Q106" s="59">
        <f t="shared" si="87"/>
        <v>0</v>
      </c>
      <c r="R106" s="59">
        <f t="shared" si="87"/>
        <v>20</v>
      </c>
      <c r="S106" s="59">
        <f t="shared" si="87"/>
        <v>0</v>
      </c>
      <c r="T106" s="59">
        <f t="shared" si="87"/>
        <v>0</v>
      </c>
      <c r="U106" s="59">
        <f t="shared" si="87"/>
        <v>0</v>
      </c>
      <c r="V106" s="59">
        <f t="shared" si="87"/>
        <v>0</v>
      </c>
      <c r="W106" s="59">
        <f t="shared" si="87"/>
        <v>0</v>
      </c>
      <c r="Y106" s="61"/>
      <c r="Z106" s="61"/>
      <c r="AA106" s="61"/>
    </row>
    <row r="107" spans="2:27" s="59" customFormat="1" x14ac:dyDescent="0.2">
      <c r="C107" s="65" t="s">
        <v>34</v>
      </c>
      <c r="E107" s="59">
        <f>MIN(E103,E105)</f>
        <v>0</v>
      </c>
      <c r="F107" s="59">
        <f t="shared" ref="F107:W107" si="88">MIN(F103,F105)</f>
        <v>0</v>
      </c>
      <c r="G107" s="59">
        <f t="shared" si="88"/>
        <v>0</v>
      </c>
      <c r="H107" s="59">
        <f t="shared" si="88"/>
        <v>0</v>
      </c>
      <c r="I107" s="59">
        <f t="shared" si="88"/>
        <v>0</v>
      </c>
      <c r="J107" s="59">
        <f t="shared" si="88"/>
        <v>0</v>
      </c>
      <c r="K107" s="59">
        <f t="shared" si="88"/>
        <v>0</v>
      </c>
      <c r="L107" s="59">
        <f t="shared" si="88"/>
        <v>6.6496099596165939E-2</v>
      </c>
      <c r="M107" s="59">
        <f t="shared" si="88"/>
        <v>0</v>
      </c>
      <c r="N107" s="59">
        <f t="shared" si="88"/>
        <v>6.6489064798930036E-4</v>
      </c>
      <c r="O107" s="59">
        <f t="shared" si="88"/>
        <v>0</v>
      </c>
      <c r="P107" s="59">
        <f t="shared" si="88"/>
        <v>0</v>
      </c>
      <c r="Q107" s="59">
        <f t="shared" si="88"/>
        <v>0</v>
      </c>
      <c r="R107" s="59">
        <f t="shared" si="88"/>
        <v>9.0684559843778378E-2</v>
      </c>
      <c r="S107" s="59">
        <f t="shared" si="88"/>
        <v>0</v>
      </c>
      <c r="T107" s="59">
        <f t="shared" si="88"/>
        <v>0</v>
      </c>
      <c r="U107" s="59">
        <f t="shared" si="88"/>
        <v>0</v>
      </c>
      <c r="V107" s="59">
        <f t="shared" si="88"/>
        <v>0</v>
      </c>
      <c r="W107" s="59">
        <f t="shared" si="88"/>
        <v>0</v>
      </c>
      <c r="Y107" s="61"/>
      <c r="Z107" s="61"/>
      <c r="AA107" s="61"/>
    </row>
    <row r="108" spans="2:27" s="59" customFormat="1" x14ac:dyDescent="0.2">
      <c r="C108" s="65"/>
      <c r="Y108" s="61"/>
      <c r="Z108" s="61"/>
      <c r="AA108" s="61"/>
    </row>
    <row r="109" spans="2:27" s="59" customFormat="1" x14ac:dyDescent="0.2">
      <c r="B109" s="73" t="s">
        <v>109</v>
      </c>
      <c r="C109" s="65" t="s">
        <v>0</v>
      </c>
      <c r="E109" s="59">
        <f>IF(AND(E$92&lt;&gt;"",E$95&lt;&gt;""),E$92,0)</f>
        <v>0</v>
      </c>
      <c r="F109" s="59">
        <f t="shared" ref="F109:W109" si="89">IF(AND(F$92&lt;&gt;"",F$95&lt;&gt;""),F$92,0)</f>
        <v>0</v>
      </c>
      <c r="G109" s="59">
        <f t="shared" si="89"/>
        <v>0</v>
      </c>
      <c r="H109" s="59">
        <f t="shared" si="89"/>
        <v>0</v>
      </c>
      <c r="I109" s="59">
        <f t="shared" si="89"/>
        <v>0</v>
      </c>
      <c r="J109" s="59">
        <f t="shared" si="89"/>
        <v>0</v>
      </c>
      <c r="K109" s="59">
        <f t="shared" si="89"/>
        <v>0</v>
      </c>
      <c r="L109" s="59">
        <f t="shared" si="89"/>
        <v>0</v>
      </c>
      <c r="M109" s="59">
        <f t="shared" si="89"/>
        <v>0</v>
      </c>
      <c r="N109" s="59">
        <f t="shared" si="89"/>
        <v>0</v>
      </c>
      <c r="O109" s="59">
        <f t="shared" si="89"/>
        <v>0</v>
      </c>
      <c r="P109" s="59">
        <f t="shared" si="89"/>
        <v>16</v>
      </c>
      <c r="Q109" s="59">
        <f t="shared" si="89"/>
        <v>0</v>
      </c>
      <c r="R109" s="59">
        <f t="shared" si="89"/>
        <v>0</v>
      </c>
      <c r="S109" s="59">
        <f t="shared" si="89"/>
        <v>0</v>
      </c>
      <c r="T109" s="59">
        <f t="shared" si="89"/>
        <v>0</v>
      </c>
      <c r="U109" s="59">
        <f t="shared" si="89"/>
        <v>0</v>
      </c>
      <c r="V109" s="59">
        <f t="shared" si="89"/>
        <v>0</v>
      </c>
      <c r="W109" s="59">
        <f t="shared" si="89"/>
        <v>0</v>
      </c>
      <c r="Y109" s="61"/>
      <c r="Z109" s="61"/>
      <c r="AA109" s="61"/>
    </row>
    <row r="110" spans="2:27" s="59" customFormat="1" x14ac:dyDescent="0.2">
      <c r="C110" s="65" t="s">
        <v>3</v>
      </c>
      <c r="E110" s="59">
        <f>IF(AND(E$92&lt;&gt;"",E$95&lt;&gt;""),E$95,0)</f>
        <v>0</v>
      </c>
      <c r="F110" s="59">
        <f t="shared" ref="F110:W110" si="90">IF(AND(F$92&lt;&gt;"",F$95&lt;&gt;""),F$95,0)</f>
        <v>0</v>
      </c>
      <c r="G110" s="59">
        <f t="shared" si="90"/>
        <v>0</v>
      </c>
      <c r="H110" s="59">
        <f t="shared" si="90"/>
        <v>0</v>
      </c>
      <c r="I110" s="59">
        <f t="shared" si="90"/>
        <v>0</v>
      </c>
      <c r="J110" s="59">
        <f t="shared" si="90"/>
        <v>0</v>
      </c>
      <c r="K110" s="59">
        <f t="shared" si="90"/>
        <v>0</v>
      </c>
      <c r="L110" s="59">
        <f t="shared" si="90"/>
        <v>0</v>
      </c>
      <c r="M110" s="59">
        <f t="shared" si="90"/>
        <v>0</v>
      </c>
      <c r="N110" s="59">
        <f t="shared" si="90"/>
        <v>0</v>
      </c>
      <c r="O110" s="59">
        <f t="shared" si="90"/>
        <v>0</v>
      </c>
      <c r="P110" s="59">
        <f t="shared" si="90"/>
        <v>39.446082331350226</v>
      </c>
      <c r="Q110" s="59">
        <f t="shared" si="90"/>
        <v>0</v>
      </c>
      <c r="R110" s="59">
        <f t="shared" si="90"/>
        <v>0</v>
      </c>
      <c r="S110" s="59">
        <f t="shared" si="90"/>
        <v>0</v>
      </c>
      <c r="T110" s="59">
        <f t="shared" si="90"/>
        <v>0</v>
      </c>
      <c r="U110" s="59">
        <f t="shared" si="90"/>
        <v>0</v>
      </c>
      <c r="V110" s="59">
        <f t="shared" si="90"/>
        <v>0</v>
      </c>
      <c r="W110" s="59">
        <f t="shared" si="90"/>
        <v>0</v>
      </c>
      <c r="Y110" s="61"/>
      <c r="Z110" s="61"/>
      <c r="AA110" s="61"/>
    </row>
    <row r="111" spans="2:27" s="59" customFormat="1" ht="25.5" x14ac:dyDescent="0.2">
      <c r="B111" s="64" t="s">
        <v>115</v>
      </c>
      <c r="C111" s="65" t="s">
        <v>31</v>
      </c>
      <c r="E111" s="74">
        <f>IF(E109&lt;-50,#N/A,IF(E109&lt;0,EXP((1738.4+28.74*E109)/(271+E109)),IF(E109&lt;=100,EXP((1500.3+23.5*E109)/(234+E109)),#N/A)))</f>
        <v>608.82962187913188</v>
      </c>
      <c r="F111" s="74">
        <f t="shared" ref="F111:W111" si="91">IF(F109&lt;-50,#N/A,IF(F109&lt;0,EXP((1738.4+28.74*F109)/(271+F109)),IF(F109&lt;=100,EXP((1500.3+23.5*F109)/(234+F109)),#N/A)))</f>
        <v>608.82962187913188</v>
      </c>
      <c r="G111" s="74">
        <f t="shared" si="91"/>
        <v>608.82962187913188</v>
      </c>
      <c r="H111" s="74">
        <f t="shared" si="91"/>
        <v>608.82962187913188</v>
      </c>
      <c r="I111" s="74">
        <f t="shared" si="91"/>
        <v>608.82962187913188</v>
      </c>
      <c r="J111" s="74">
        <f t="shared" si="91"/>
        <v>608.82962187913188</v>
      </c>
      <c r="K111" s="74">
        <f t="shared" si="91"/>
        <v>608.82962187913188</v>
      </c>
      <c r="L111" s="74">
        <f t="shared" si="91"/>
        <v>608.82962187913188</v>
      </c>
      <c r="M111" s="70">
        <f t="shared" si="91"/>
        <v>608.82962187913188</v>
      </c>
      <c r="N111" s="70">
        <f t="shared" si="91"/>
        <v>608.82962187913188</v>
      </c>
      <c r="O111" s="70">
        <f t="shared" si="91"/>
        <v>608.82962187913188</v>
      </c>
      <c r="P111" s="70">
        <f t="shared" si="91"/>
        <v>1817.4687221706879</v>
      </c>
      <c r="Q111" s="70">
        <f t="shared" si="91"/>
        <v>608.82962187913188</v>
      </c>
      <c r="R111" s="70">
        <f t="shared" si="91"/>
        <v>608.82962187913188</v>
      </c>
      <c r="S111" s="70">
        <f t="shared" si="91"/>
        <v>608.82962187913188</v>
      </c>
      <c r="T111" s="70">
        <f t="shared" si="91"/>
        <v>608.82962187913188</v>
      </c>
      <c r="U111" s="70">
        <f t="shared" si="91"/>
        <v>608.82962187913188</v>
      </c>
      <c r="V111" s="70">
        <f t="shared" si="91"/>
        <v>608.82962187913188</v>
      </c>
      <c r="W111" s="70">
        <f t="shared" si="91"/>
        <v>608.82962187913188</v>
      </c>
      <c r="Y111" s="61"/>
      <c r="Z111" s="61"/>
      <c r="AA111" s="61"/>
    </row>
    <row r="112" spans="2:27" s="59" customFormat="1" ht="25.5" x14ac:dyDescent="0.2">
      <c r="B112" s="64" t="s">
        <v>115</v>
      </c>
      <c r="C112" s="65" t="s">
        <v>2</v>
      </c>
      <c r="E112" s="59">
        <f>0.6222*MaxVlhkost*E111/(Tlak_vzduchu-MaxVlhkost*E111/1000)</f>
        <v>4.0346050561264439</v>
      </c>
      <c r="F112" s="59">
        <f t="shared" ref="F112:N112" si="92">0.6222*MaxVlhkost*F111/(Tlak_vzduchu-MaxVlhkost*F111/1000)</f>
        <v>4.0346050561264439</v>
      </c>
      <c r="G112" s="59">
        <f t="shared" si="92"/>
        <v>4.0346050561264439</v>
      </c>
      <c r="H112" s="59">
        <f t="shared" si="92"/>
        <v>4.0346050561264439</v>
      </c>
      <c r="I112" s="59">
        <f t="shared" si="92"/>
        <v>4.0346050561264439</v>
      </c>
      <c r="J112" s="59">
        <f t="shared" si="92"/>
        <v>4.0346050561264439</v>
      </c>
      <c r="K112" s="59">
        <f t="shared" si="92"/>
        <v>4.0346050561264439</v>
      </c>
      <c r="L112" s="59">
        <f t="shared" si="92"/>
        <v>4.0346050561264439</v>
      </c>
      <c r="M112" s="59">
        <f t="shared" si="92"/>
        <v>4.0346050561264439</v>
      </c>
      <c r="N112" s="59">
        <f t="shared" si="92"/>
        <v>4.0346050561264439</v>
      </c>
      <c r="O112" s="59">
        <f t="shared" ref="O112:W112" si="93">0.6222*MaxVlhkost*O111/(Tlak_vzduchu-MaxVlhkost*O111/1000)</f>
        <v>4.0346050561264439</v>
      </c>
      <c r="P112" s="59">
        <f t="shared" si="93"/>
        <v>12.20110222869052</v>
      </c>
      <c r="Q112" s="59">
        <f t="shared" si="93"/>
        <v>4.0346050561264439</v>
      </c>
      <c r="R112" s="59">
        <f t="shared" si="93"/>
        <v>4.0346050561264439</v>
      </c>
      <c r="S112" s="59">
        <f t="shared" si="93"/>
        <v>4.0346050561264439</v>
      </c>
      <c r="T112" s="59">
        <f t="shared" si="93"/>
        <v>4.0346050561264439</v>
      </c>
      <c r="U112" s="59">
        <f t="shared" si="93"/>
        <v>4.0346050561264439</v>
      </c>
      <c r="V112" s="59">
        <f t="shared" si="93"/>
        <v>4.0346050561264439</v>
      </c>
      <c r="W112" s="59">
        <f t="shared" si="93"/>
        <v>4.0346050561264439</v>
      </c>
      <c r="Y112" s="61"/>
      <c r="Z112" s="61"/>
      <c r="AA112" s="61"/>
    </row>
    <row r="113" spans="2:27" s="59" customFormat="1" ht="38.25" x14ac:dyDescent="0.2">
      <c r="B113" s="64" t="s">
        <v>117</v>
      </c>
      <c r="C113" s="65" t="s">
        <v>2</v>
      </c>
      <c r="E113" s="59">
        <f>(E110-1.01*E109)/(2501+1.86*E109)*1000</f>
        <v>0</v>
      </c>
      <c r="F113" s="59">
        <f t="shared" ref="F113:W113" si="94">(F110-1.01*F109)/(2501+1.86*F109)*1000</f>
        <v>0</v>
      </c>
      <c r="G113" s="59">
        <f t="shared" si="94"/>
        <v>0</v>
      </c>
      <c r="H113" s="59">
        <f t="shared" si="94"/>
        <v>0</v>
      </c>
      <c r="I113" s="59">
        <f t="shared" si="94"/>
        <v>0</v>
      </c>
      <c r="J113" s="59">
        <f t="shared" si="94"/>
        <v>0</v>
      </c>
      <c r="K113" s="59">
        <f t="shared" si="94"/>
        <v>0</v>
      </c>
      <c r="L113" s="59">
        <f t="shared" si="94"/>
        <v>0</v>
      </c>
      <c r="M113" s="59">
        <f t="shared" si="94"/>
        <v>0</v>
      </c>
      <c r="N113" s="59">
        <f t="shared" si="94"/>
        <v>0</v>
      </c>
      <c r="O113" s="59">
        <f t="shared" si="94"/>
        <v>0</v>
      </c>
      <c r="P113" s="59">
        <f t="shared" si="94"/>
        <v>9.2012211080269264</v>
      </c>
      <c r="Q113" s="59">
        <f t="shared" si="94"/>
        <v>0</v>
      </c>
      <c r="R113" s="59">
        <f t="shared" si="94"/>
        <v>0</v>
      </c>
      <c r="S113" s="59">
        <f t="shared" si="94"/>
        <v>0</v>
      </c>
      <c r="T113" s="59">
        <f t="shared" si="94"/>
        <v>0</v>
      </c>
      <c r="U113" s="59">
        <f t="shared" si="94"/>
        <v>0</v>
      </c>
      <c r="V113" s="59">
        <f t="shared" si="94"/>
        <v>0</v>
      </c>
      <c r="W113" s="59">
        <f t="shared" si="94"/>
        <v>0</v>
      </c>
      <c r="Y113" s="61"/>
      <c r="Z113" s="61"/>
      <c r="AA113" s="61"/>
    </row>
    <row r="114" spans="2:27" s="59" customFormat="1" x14ac:dyDescent="0.2">
      <c r="B114" s="76" t="s">
        <v>70</v>
      </c>
      <c r="C114" s="65" t="s">
        <v>33</v>
      </c>
      <c r="E114" s="59">
        <f>E109</f>
        <v>0</v>
      </c>
      <c r="F114" s="59">
        <f t="shared" ref="F114:W114" si="95">F109</f>
        <v>0</v>
      </c>
      <c r="G114" s="59">
        <f t="shared" si="95"/>
        <v>0</v>
      </c>
      <c r="H114" s="59">
        <f t="shared" si="95"/>
        <v>0</v>
      </c>
      <c r="I114" s="59">
        <f t="shared" si="95"/>
        <v>0</v>
      </c>
      <c r="J114" s="59">
        <f t="shared" si="95"/>
        <v>0</v>
      </c>
      <c r="K114" s="59">
        <f t="shared" si="95"/>
        <v>0</v>
      </c>
      <c r="L114" s="59">
        <f t="shared" si="95"/>
        <v>0</v>
      </c>
      <c r="M114" s="59">
        <f t="shared" si="95"/>
        <v>0</v>
      </c>
      <c r="N114" s="59">
        <f t="shared" si="95"/>
        <v>0</v>
      </c>
      <c r="O114" s="59">
        <f t="shared" si="95"/>
        <v>0</v>
      </c>
      <c r="P114" s="59">
        <f t="shared" si="95"/>
        <v>16</v>
      </c>
      <c r="Q114" s="59">
        <f t="shared" si="95"/>
        <v>0</v>
      </c>
      <c r="R114" s="59">
        <f t="shared" si="95"/>
        <v>0</v>
      </c>
      <c r="S114" s="59">
        <f t="shared" si="95"/>
        <v>0</v>
      </c>
      <c r="T114" s="59">
        <f t="shared" si="95"/>
        <v>0</v>
      </c>
      <c r="U114" s="59">
        <f t="shared" si="95"/>
        <v>0</v>
      </c>
      <c r="V114" s="59">
        <f t="shared" si="95"/>
        <v>0</v>
      </c>
      <c r="W114" s="59">
        <f t="shared" si="95"/>
        <v>0</v>
      </c>
      <c r="Y114" s="61"/>
      <c r="Z114" s="61"/>
      <c r="AA114" s="61"/>
    </row>
    <row r="115" spans="2:27" s="59" customFormat="1" x14ac:dyDescent="0.2">
      <c r="C115" s="65" t="s">
        <v>34</v>
      </c>
      <c r="E115" s="59">
        <f>MIN(E112,E113)</f>
        <v>0</v>
      </c>
      <c r="F115" s="59">
        <f t="shared" ref="F115:W115" si="96">MIN(F112,F113)</f>
        <v>0</v>
      </c>
      <c r="G115" s="59">
        <f t="shared" si="96"/>
        <v>0</v>
      </c>
      <c r="H115" s="59">
        <f t="shared" si="96"/>
        <v>0</v>
      </c>
      <c r="I115" s="59">
        <f t="shared" si="96"/>
        <v>0</v>
      </c>
      <c r="J115" s="59">
        <f t="shared" si="96"/>
        <v>0</v>
      </c>
      <c r="K115" s="59">
        <f t="shared" si="96"/>
        <v>0</v>
      </c>
      <c r="L115" s="59">
        <f t="shared" si="96"/>
        <v>0</v>
      </c>
      <c r="M115" s="59">
        <f t="shared" si="96"/>
        <v>0</v>
      </c>
      <c r="N115" s="59">
        <f t="shared" si="96"/>
        <v>0</v>
      </c>
      <c r="O115" s="59">
        <f t="shared" si="96"/>
        <v>0</v>
      </c>
      <c r="P115" s="59">
        <f t="shared" si="96"/>
        <v>9.2012211080269264</v>
      </c>
      <c r="Q115" s="59">
        <f t="shared" si="96"/>
        <v>0</v>
      </c>
      <c r="R115" s="59">
        <f t="shared" si="96"/>
        <v>0</v>
      </c>
      <c r="S115" s="59">
        <f t="shared" si="96"/>
        <v>0</v>
      </c>
      <c r="T115" s="59">
        <f t="shared" si="96"/>
        <v>0</v>
      </c>
      <c r="U115" s="59">
        <f t="shared" si="96"/>
        <v>0</v>
      </c>
      <c r="V115" s="59">
        <f t="shared" si="96"/>
        <v>0</v>
      </c>
      <c r="W115" s="59">
        <f t="shared" si="96"/>
        <v>0</v>
      </c>
      <c r="Y115" s="61"/>
      <c r="Z115" s="61"/>
      <c r="AA115" s="61"/>
    </row>
    <row r="116" spans="2:27" s="59" customFormat="1" x14ac:dyDescent="0.2">
      <c r="C116" s="65"/>
      <c r="Y116" s="61"/>
      <c r="Z116" s="61"/>
      <c r="AA116" s="61"/>
    </row>
    <row r="117" spans="2:27" s="59" customFormat="1" x14ac:dyDescent="0.2">
      <c r="B117" s="73" t="s">
        <v>110</v>
      </c>
      <c r="C117" s="65" t="s">
        <v>0</v>
      </c>
      <c r="E117" s="59">
        <f>IF(AND(E$92&lt;&gt;"",E$93&lt;&gt;""),E$92,0)</f>
        <v>-25</v>
      </c>
      <c r="F117" s="59">
        <f t="shared" ref="F117:W117" si="97">IF(AND(F$92&lt;&gt;"",F$93&lt;&gt;""),F$92,0)</f>
        <v>-25</v>
      </c>
      <c r="G117" s="59">
        <f t="shared" si="97"/>
        <v>-25</v>
      </c>
      <c r="H117" s="59">
        <f t="shared" si="97"/>
        <v>-25</v>
      </c>
      <c r="I117" s="59">
        <f t="shared" si="97"/>
        <v>20</v>
      </c>
      <c r="J117" s="59">
        <f t="shared" si="97"/>
        <v>0</v>
      </c>
      <c r="K117" s="59">
        <f t="shared" si="97"/>
        <v>7.298095599907235</v>
      </c>
      <c r="L117" s="59">
        <f t="shared" si="97"/>
        <v>0</v>
      </c>
      <c r="M117" s="59">
        <f t="shared" si="97"/>
        <v>8</v>
      </c>
      <c r="N117" s="59">
        <f t="shared" si="97"/>
        <v>0</v>
      </c>
      <c r="O117" s="59">
        <f t="shared" si="97"/>
        <v>35</v>
      </c>
      <c r="P117" s="59">
        <f t="shared" si="97"/>
        <v>0</v>
      </c>
      <c r="Q117" s="59">
        <f t="shared" si="97"/>
        <v>16</v>
      </c>
      <c r="R117" s="59">
        <f t="shared" si="97"/>
        <v>0</v>
      </c>
      <c r="S117" s="59">
        <f t="shared" si="97"/>
        <v>20</v>
      </c>
      <c r="T117" s="59">
        <f t="shared" si="97"/>
        <v>20</v>
      </c>
      <c r="U117" s="59">
        <f t="shared" si="97"/>
        <v>20</v>
      </c>
      <c r="V117" s="59">
        <f t="shared" si="97"/>
        <v>0</v>
      </c>
      <c r="W117" s="59">
        <f t="shared" si="97"/>
        <v>0</v>
      </c>
      <c r="Y117" s="61"/>
      <c r="Z117" s="61"/>
      <c r="AA117" s="61"/>
    </row>
    <row r="118" spans="2:27" s="59" customFormat="1" ht="12" customHeight="1" x14ac:dyDescent="0.2">
      <c r="C118" s="65" t="s">
        <v>32</v>
      </c>
      <c r="E118" s="59">
        <f>IF(AND(E$92&lt;&gt;"",E$93&lt;&gt;""),MIN(E$93,MaxVlhkost),0)</f>
        <v>0.2</v>
      </c>
      <c r="F118" s="59">
        <f t="shared" ref="F118:W118" si="98">IF(AND(F$92&lt;&gt;"",F$93&lt;&gt;""),MIN(F$93,MaxVlhkost),0)</f>
        <v>0.2</v>
      </c>
      <c r="G118" s="59">
        <f t="shared" si="98"/>
        <v>0.2</v>
      </c>
      <c r="H118" s="59">
        <f t="shared" si="98"/>
        <v>0.2</v>
      </c>
      <c r="I118" s="59">
        <f t="shared" si="98"/>
        <v>0.6</v>
      </c>
      <c r="J118" s="59">
        <f t="shared" si="98"/>
        <v>0</v>
      </c>
      <c r="K118" s="59">
        <f t="shared" si="98"/>
        <v>9.8922192852820522E-3</v>
      </c>
      <c r="L118" s="59">
        <f t="shared" si="98"/>
        <v>0</v>
      </c>
      <c r="M118" s="59">
        <f t="shared" si="98"/>
        <v>9.4279970713545064E-5</v>
      </c>
      <c r="N118" s="59">
        <f t="shared" si="98"/>
        <v>0</v>
      </c>
      <c r="O118" s="59">
        <f t="shared" si="98"/>
        <v>0.4</v>
      </c>
      <c r="P118" s="59">
        <f t="shared" si="98"/>
        <v>0</v>
      </c>
      <c r="Q118" s="59">
        <f t="shared" si="98"/>
        <v>7.5771330367416147E-3</v>
      </c>
      <c r="R118" s="59">
        <f t="shared" si="98"/>
        <v>0</v>
      </c>
      <c r="S118" s="59">
        <f t="shared" si="98"/>
        <v>5.889954581965501E-5</v>
      </c>
      <c r="T118" s="59">
        <f t="shared" si="98"/>
        <v>5.8899545819655011E-7</v>
      </c>
      <c r="U118" s="59">
        <f t="shared" si="98"/>
        <v>5.889954581965502E-9</v>
      </c>
      <c r="V118" s="59">
        <f t="shared" si="98"/>
        <v>0</v>
      </c>
      <c r="W118" s="59">
        <f t="shared" si="98"/>
        <v>0</v>
      </c>
      <c r="Y118" s="61"/>
      <c r="Z118" s="61"/>
      <c r="AA118" s="61"/>
    </row>
    <row r="119" spans="2:27" s="59" customFormat="1" ht="12" customHeight="1" x14ac:dyDescent="0.2">
      <c r="C119" s="65" t="s">
        <v>31</v>
      </c>
      <c r="E119" s="74">
        <f>IF(E117&lt;-50,#N/A,IF(E117&lt;0,EXP((1738.4+28.74*E117)/(271+E117)),IF(E117&lt;=100,EXP((1500.3+23.5*E117)/(234+E117)),#N/A)))</f>
        <v>63.176661908168398</v>
      </c>
      <c r="F119" s="74">
        <f t="shared" ref="F119:W119" si="99">IF(F117&lt;-50,#N/A,IF(F117&lt;0,EXP((1738.4+28.74*F117)/(271+F117)),IF(F117&lt;=100,EXP((1500.3+23.5*F117)/(234+F117)),#N/A)))</f>
        <v>63.176661908168398</v>
      </c>
      <c r="G119" s="74">
        <f t="shared" si="99"/>
        <v>63.176661908168398</v>
      </c>
      <c r="H119" s="74">
        <f t="shared" si="99"/>
        <v>63.176661908168398</v>
      </c>
      <c r="I119" s="74">
        <f t="shared" si="99"/>
        <v>2338.0829353370973</v>
      </c>
      <c r="J119" s="74">
        <f t="shared" si="99"/>
        <v>608.82962187913188</v>
      </c>
      <c r="K119" s="74">
        <f t="shared" si="99"/>
        <v>1020.8403484143772</v>
      </c>
      <c r="L119" s="74">
        <f t="shared" si="99"/>
        <v>608.82962187913188</v>
      </c>
      <c r="M119" s="70">
        <f t="shared" si="99"/>
        <v>1071.1051886578423</v>
      </c>
      <c r="N119" s="70">
        <f t="shared" si="99"/>
        <v>608.82962187913188</v>
      </c>
      <c r="O119" s="70">
        <f t="shared" si="99"/>
        <v>5624.8200638844883</v>
      </c>
      <c r="P119" s="70">
        <f t="shared" si="99"/>
        <v>608.82962187913188</v>
      </c>
      <c r="Q119" s="70">
        <f t="shared" si="99"/>
        <v>1817.4687221706879</v>
      </c>
      <c r="R119" s="70">
        <f t="shared" si="99"/>
        <v>608.82962187913188</v>
      </c>
      <c r="S119" s="70">
        <f t="shared" si="99"/>
        <v>2338.0829353370973</v>
      </c>
      <c r="T119" s="70">
        <f t="shared" si="99"/>
        <v>2338.0829353370973</v>
      </c>
      <c r="U119" s="70">
        <f t="shared" si="99"/>
        <v>2338.0829353370973</v>
      </c>
      <c r="V119" s="70">
        <f t="shared" si="99"/>
        <v>608.82962187913188</v>
      </c>
      <c r="W119" s="70">
        <f t="shared" si="99"/>
        <v>608.82962187913188</v>
      </c>
      <c r="Y119" s="61"/>
      <c r="Z119" s="61"/>
      <c r="AA119" s="61"/>
    </row>
    <row r="120" spans="2:27" s="59" customFormat="1" ht="12" customHeight="1" x14ac:dyDescent="0.2">
      <c r="B120" s="76" t="s">
        <v>70</v>
      </c>
      <c r="C120" s="65" t="s">
        <v>33</v>
      </c>
      <c r="E120" s="74">
        <f>E117</f>
        <v>-25</v>
      </c>
      <c r="F120" s="74">
        <f t="shared" ref="F120:W120" si="100">F117</f>
        <v>-25</v>
      </c>
      <c r="G120" s="74">
        <f t="shared" si="100"/>
        <v>-25</v>
      </c>
      <c r="H120" s="74">
        <f t="shared" si="100"/>
        <v>-25</v>
      </c>
      <c r="I120" s="74">
        <f t="shared" si="100"/>
        <v>20</v>
      </c>
      <c r="J120" s="74">
        <f t="shared" si="100"/>
        <v>0</v>
      </c>
      <c r="K120" s="74">
        <f t="shared" si="100"/>
        <v>7.298095599907235</v>
      </c>
      <c r="L120" s="74">
        <f t="shared" si="100"/>
        <v>0</v>
      </c>
      <c r="M120" s="70">
        <f t="shared" si="100"/>
        <v>8</v>
      </c>
      <c r="N120" s="70">
        <f t="shared" si="100"/>
        <v>0</v>
      </c>
      <c r="O120" s="70">
        <f t="shared" si="100"/>
        <v>35</v>
      </c>
      <c r="P120" s="70">
        <f t="shared" si="100"/>
        <v>0</v>
      </c>
      <c r="Q120" s="70">
        <f t="shared" si="100"/>
        <v>16</v>
      </c>
      <c r="R120" s="70">
        <f t="shared" si="100"/>
        <v>0</v>
      </c>
      <c r="S120" s="70">
        <f t="shared" si="100"/>
        <v>20</v>
      </c>
      <c r="T120" s="70">
        <f t="shared" si="100"/>
        <v>20</v>
      </c>
      <c r="U120" s="70">
        <f t="shared" si="100"/>
        <v>20</v>
      </c>
      <c r="V120" s="70">
        <f t="shared" si="100"/>
        <v>0</v>
      </c>
      <c r="W120" s="70">
        <f t="shared" si="100"/>
        <v>0</v>
      </c>
      <c r="Y120" s="61"/>
      <c r="Z120" s="61"/>
      <c r="AA120" s="61"/>
    </row>
    <row r="121" spans="2:27" s="59" customFormat="1" ht="12" customHeight="1" x14ac:dyDescent="0.2">
      <c r="C121" s="65" t="s">
        <v>34</v>
      </c>
      <c r="E121" s="59">
        <f>0.6222*E118*E119/(Tlak_vzduchu-E118*E119/1000)</f>
        <v>8.3203757830561539E-2</v>
      </c>
      <c r="F121" s="59">
        <f t="shared" ref="F121:N121" si="101">0.6222*F118*F119/(Tlak_vzduchu-F118*F119/1000)</f>
        <v>8.3203757830561539E-2</v>
      </c>
      <c r="G121" s="59">
        <f t="shared" si="101"/>
        <v>8.3203757830561539E-2</v>
      </c>
      <c r="H121" s="59">
        <f t="shared" si="101"/>
        <v>8.3203757830561539E-2</v>
      </c>
      <c r="I121" s="59">
        <f t="shared" si="101"/>
        <v>9.3757233081908904</v>
      </c>
      <c r="J121" s="59">
        <f t="shared" si="101"/>
        <v>0</v>
      </c>
      <c r="K121" s="59">
        <f t="shared" si="101"/>
        <v>6.6496099596165939E-2</v>
      </c>
      <c r="L121" s="59">
        <f t="shared" si="101"/>
        <v>0</v>
      </c>
      <c r="M121" s="59">
        <f t="shared" si="101"/>
        <v>6.6489064798930036E-4</v>
      </c>
      <c r="N121" s="59">
        <f t="shared" si="101"/>
        <v>0</v>
      </c>
      <c r="O121" s="59">
        <f t="shared" ref="O121:W121" si="102">0.6222*O118*O119/(Tlak_vzduchu-O118*O119/1000)</f>
        <v>15.17511246915182</v>
      </c>
      <c r="P121" s="59">
        <f t="shared" si="102"/>
        <v>0</v>
      </c>
      <c r="Q121" s="59">
        <f t="shared" si="102"/>
        <v>9.0684559843778378E-2</v>
      </c>
      <c r="R121" s="59">
        <f t="shared" si="102"/>
        <v>0</v>
      </c>
      <c r="S121" s="59">
        <f t="shared" si="102"/>
        <v>9.0671476786990859E-4</v>
      </c>
      <c r="T121" s="59">
        <f t="shared" si="102"/>
        <v>9.0671345975486622E-6</v>
      </c>
      <c r="U121" s="59">
        <f t="shared" si="102"/>
        <v>9.0671344667373509E-8</v>
      </c>
      <c r="V121" s="59">
        <f t="shared" si="102"/>
        <v>0</v>
      </c>
      <c r="W121" s="59">
        <f t="shared" si="102"/>
        <v>0</v>
      </c>
      <c r="Y121" s="61"/>
      <c r="Z121" s="61"/>
      <c r="AA121" s="61"/>
    </row>
    <row r="122" spans="2:27" s="59" customFormat="1" x14ac:dyDescent="0.2">
      <c r="C122" s="65"/>
      <c r="Y122" s="61"/>
      <c r="Z122" s="61"/>
      <c r="AA122" s="61"/>
    </row>
    <row r="123" spans="2:27" s="59" customFormat="1" x14ac:dyDescent="0.2">
      <c r="B123" s="73" t="s">
        <v>111</v>
      </c>
      <c r="C123" s="65" t="s">
        <v>3</v>
      </c>
      <c r="E123" s="59">
        <f>IF(AND(E$94&lt;&gt;"",E$95&lt;&gt;""),E$95,0)</f>
        <v>0</v>
      </c>
      <c r="F123" s="59">
        <f t="shared" ref="F123:W123" si="103">IF(AND(F$94&lt;&gt;"",F$95&lt;&gt;""),F$95,0)</f>
        <v>0</v>
      </c>
      <c r="G123" s="59">
        <f t="shared" si="103"/>
        <v>0</v>
      </c>
      <c r="H123" s="59">
        <f t="shared" si="103"/>
        <v>0</v>
      </c>
      <c r="I123" s="59">
        <f t="shared" si="103"/>
        <v>0</v>
      </c>
      <c r="J123" s="59">
        <f t="shared" si="103"/>
        <v>24.270821678777263</v>
      </c>
      <c r="K123" s="59">
        <f t="shared" si="103"/>
        <v>0</v>
      </c>
      <c r="L123" s="59">
        <f t="shared" si="103"/>
        <v>0</v>
      </c>
      <c r="M123" s="59">
        <f t="shared" si="103"/>
        <v>0</v>
      </c>
      <c r="N123" s="59">
        <f t="shared" si="103"/>
        <v>0</v>
      </c>
      <c r="O123" s="59">
        <f t="shared" si="103"/>
        <v>0</v>
      </c>
      <c r="P123" s="59">
        <f t="shared" si="103"/>
        <v>0</v>
      </c>
      <c r="Q123" s="59">
        <f t="shared" si="103"/>
        <v>0</v>
      </c>
      <c r="R123" s="59">
        <f t="shared" si="103"/>
        <v>0</v>
      </c>
      <c r="S123" s="59">
        <f t="shared" si="103"/>
        <v>0</v>
      </c>
      <c r="T123" s="59">
        <f t="shared" si="103"/>
        <v>0</v>
      </c>
      <c r="U123" s="59">
        <f t="shared" si="103"/>
        <v>0</v>
      </c>
      <c r="V123" s="59">
        <f t="shared" si="103"/>
        <v>0</v>
      </c>
      <c r="W123" s="59">
        <f t="shared" si="103"/>
        <v>0</v>
      </c>
      <c r="Y123" s="61"/>
      <c r="Z123" s="61"/>
      <c r="AA123" s="61"/>
    </row>
    <row r="124" spans="2:27" s="59" customFormat="1" x14ac:dyDescent="0.2">
      <c r="C124" s="65" t="s">
        <v>2</v>
      </c>
      <c r="E124" s="59">
        <f>IF(AND(E$94&lt;&gt;"",E$95&lt;&gt;""),E$94,0)</f>
        <v>0</v>
      </c>
      <c r="F124" s="59">
        <f t="shared" ref="F124:W124" si="104">IF(AND(F$94&lt;&gt;"",F$95&lt;&gt;""),F$94,0)</f>
        <v>0</v>
      </c>
      <c r="G124" s="59">
        <f t="shared" si="104"/>
        <v>0</v>
      </c>
      <c r="H124" s="59">
        <f t="shared" si="104"/>
        <v>0</v>
      </c>
      <c r="I124" s="59">
        <f t="shared" si="104"/>
        <v>0</v>
      </c>
      <c r="J124" s="59">
        <f t="shared" si="104"/>
        <v>6.7207177223736538</v>
      </c>
      <c r="K124" s="59">
        <f t="shared" si="104"/>
        <v>0</v>
      </c>
      <c r="L124" s="59">
        <f t="shared" si="104"/>
        <v>0</v>
      </c>
      <c r="M124" s="59">
        <f t="shared" si="104"/>
        <v>0</v>
      </c>
      <c r="N124" s="59">
        <f t="shared" si="104"/>
        <v>0</v>
      </c>
      <c r="O124" s="59">
        <f t="shared" si="104"/>
        <v>0</v>
      </c>
      <c r="P124" s="59">
        <f t="shared" si="104"/>
        <v>0</v>
      </c>
      <c r="Q124" s="59">
        <f t="shared" si="104"/>
        <v>0</v>
      </c>
      <c r="R124" s="59">
        <f t="shared" si="104"/>
        <v>0</v>
      </c>
      <c r="S124" s="59">
        <f t="shared" si="104"/>
        <v>0</v>
      </c>
      <c r="T124" s="59">
        <f t="shared" si="104"/>
        <v>0</v>
      </c>
      <c r="U124" s="59">
        <f t="shared" si="104"/>
        <v>0</v>
      </c>
      <c r="V124" s="59">
        <f t="shared" si="104"/>
        <v>0</v>
      </c>
      <c r="W124" s="59">
        <f t="shared" si="104"/>
        <v>0</v>
      </c>
      <c r="Y124" s="61"/>
      <c r="Z124" s="61"/>
      <c r="AA124" s="61"/>
    </row>
    <row r="125" spans="2:27" s="59" customFormat="1" x14ac:dyDescent="0.2">
      <c r="C125" s="65" t="s">
        <v>40</v>
      </c>
      <c r="E125" s="59">
        <f>(E123-2501*E124/1000)/(1.01+1.86*E124/1000)</f>
        <v>0</v>
      </c>
      <c r="F125" s="59">
        <f t="shared" ref="F125:W125" si="105">(F123-2501*F124/1000)/(1.01+1.86*F124/1000)</f>
        <v>0</v>
      </c>
      <c r="G125" s="59">
        <f t="shared" si="105"/>
        <v>0</v>
      </c>
      <c r="H125" s="59">
        <f t="shared" si="105"/>
        <v>0</v>
      </c>
      <c r="I125" s="59">
        <f t="shared" si="105"/>
        <v>0</v>
      </c>
      <c r="J125" s="59">
        <f t="shared" si="105"/>
        <v>7.298095599907235</v>
      </c>
      <c r="K125" s="59">
        <f t="shared" si="105"/>
        <v>0</v>
      </c>
      <c r="L125" s="59">
        <f t="shared" si="105"/>
        <v>0</v>
      </c>
      <c r="M125" s="59">
        <f t="shared" si="105"/>
        <v>0</v>
      </c>
      <c r="N125" s="59">
        <f t="shared" si="105"/>
        <v>0</v>
      </c>
      <c r="O125" s="59">
        <f t="shared" si="105"/>
        <v>0</v>
      </c>
      <c r="P125" s="59">
        <f t="shared" si="105"/>
        <v>0</v>
      </c>
      <c r="Q125" s="59">
        <f t="shared" si="105"/>
        <v>0</v>
      </c>
      <c r="R125" s="59">
        <f t="shared" si="105"/>
        <v>0</v>
      </c>
      <c r="S125" s="59">
        <f t="shared" si="105"/>
        <v>0</v>
      </c>
      <c r="T125" s="59">
        <f t="shared" si="105"/>
        <v>0</v>
      </c>
      <c r="U125" s="59">
        <f t="shared" si="105"/>
        <v>0</v>
      </c>
      <c r="V125" s="59">
        <f t="shared" si="105"/>
        <v>0</v>
      </c>
      <c r="W125" s="59">
        <f t="shared" si="105"/>
        <v>0</v>
      </c>
      <c r="Y125" s="61"/>
      <c r="Z125" s="61"/>
      <c r="AA125" s="61"/>
    </row>
    <row r="126" spans="2:27" s="59" customFormat="1" x14ac:dyDescent="0.2">
      <c r="C126" s="72" t="s">
        <v>41</v>
      </c>
      <c r="E126" s="59">
        <v>-5.7813300875029912</v>
      </c>
      <c r="F126" s="59">
        <v>-5.7816951496861826</v>
      </c>
      <c r="G126" s="59">
        <v>-5.7812250242057521</v>
      </c>
      <c r="H126" s="59">
        <v>-5.7813328973617555</v>
      </c>
      <c r="I126" s="59">
        <v>-6.0023688391712238</v>
      </c>
      <c r="J126" s="59">
        <v>7.2137861699457657</v>
      </c>
      <c r="K126" s="59">
        <v>-6.0023222237988856</v>
      </c>
      <c r="L126" s="59">
        <v>-5.7817005781944255</v>
      </c>
      <c r="M126" s="59">
        <v>-5.7813297151605854</v>
      </c>
      <c r="N126" s="59">
        <v>-5.7813300875029912</v>
      </c>
      <c r="O126" s="59">
        <v>-5.7813300875029912</v>
      </c>
      <c r="P126" s="59">
        <v>-5.7813300875029912</v>
      </c>
      <c r="Q126" s="59">
        <v>-5.7813300875029912</v>
      </c>
      <c r="R126" s="59">
        <v>-5.7813300875029912</v>
      </c>
      <c r="S126" s="59">
        <v>-5.7813300875029912</v>
      </c>
      <c r="T126" s="59">
        <v>-5.7813300875029912</v>
      </c>
      <c r="U126" s="59">
        <v>-5.7813300875029912</v>
      </c>
      <c r="V126" s="59">
        <v>-5.7813300875029912</v>
      </c>
      <c r="W126" s="59">
        <v>-5.7813300875029912</v>
      </c>
      <c r="Y126" s="61"/>
      <c r="Z126" s="61"/>
      <c r="AA126" s="61"/>
    </row>
    <row r="127" spans="2:27" s="59" customFormat="1" x14ac:dyDescent="0.2">
      <c r="C127" s="72" t="s">
        <v>31</v>
      </c>
      <c r="E127" s="74">
        <f>IF(E126&lt;-50,#N/A,IF(E126&lt;0,EXP((1738.4+28.74*E126)/(271+E126)),IF(E126&lt;=100,EXP((1500.3+23.5*E126)/(234+E126)),#N/A)))</f>
        <v>375.44301312156364</v>
      </c>
      <c r="F127" s="74">
        <f t="shared" ref="F127:W127" si="106">IF(F126&lt;-50,#N/A,IF(F126&lt;0,EXP((1738.4+28.74*F126)/(271+F126)),IF(F126&lt;=100,EXP((1500.3+23.5*F126)/(234+F126)),#N/A)))</f>
        <v>375.43122453079735</v>
      </c>
      <c r="G127" s="74">
        <f t="shared" si="106"/>
        <v>375.44640588892963</v>
      </c>
      <c r="H127" s="74">
        <f t="shared" si="106"/>
        <v>375.44292238429398</v>
      </c>
      <c r="I127" s="74">
        <f t="shared" si="106"/>
        <v>368.36670865255269</v>
      </c>
      <c r="J127" s="74">
        <f t="shared" si="106"/>
        <v>1014.9445904961145</v>
      </c>
      <c r="K127" s="74">
        <f t="shared" si="106"/>
        <v>368.36818807351386</v>
      </c>
      <c r="L127" s="74">
        <f t="shared" si="106"/>
        <v>375.43104923591659</v>
      </c>
      <c r="M127" s="70">
        <f t="shared" si="106"/>
        <v>375.44302514542028</v>
      </c>
      <c r="N127" s="70">
        <f t="shared" si="106"/>
        <v>375.44301312156364</v>
      </c>
      <c r="O127" s="70">
        <f t="shared" si="106"/>
        <v>375.44301312156364</v>
      </c>
      <c r="P127" s="70">
        <f t="shared" si="106"/>
        <v>375.44301312156364</v>
      </c>
      <c r="Q127" s="70">
        <f t="shared" si="106"/>
        <v>375.44301312156364</v>
      </c>
      <c r="R127" s="70">
        <f t="shared" si="106"/>
        <v>375.44301312156364</v>
      </c>
      <c r="S127" s="70">
        <f t="shared" si="106"/>
        <v>375.44301312156364</v>
      </c>
      <c r="T127" s="70">
        <f t="shared" si="106"/>
        <v>375.44301312156364</v>
      </c>
      <c r="U127" s="70">
        <f t="shared" si="106"/>
        <v>375.44301312156364</v>
      </c>
      <c r="V127" s="70">
        <f t="shared" si="106"/>
        <v>375.44301312156364</v>
      </c>
      <c r="W127" s="70">
        <f t="shared" si="106"/>
        <v>375.44301312156364</v>
      </c>
      <c r="Y127" s="61"/>
      <c r="Z127" s="61"/>
      <c r="AA127" s="61"/>
    </row>
    <row r="128" spans="2:27" s="59" customFormat="1" x14ac:dyDescent="0.2">
      <c r="C128" s="72" t="s">
        <v>37</v>
      </c>
      <c r="E128" s="59">
        <f>0.6222*MaxVlhkost*E127/(Tlak_vzduchu-MaxVlhkost*E127/1000)</f>
        <v>2.4818246188059332</v>
      </c>
      <c r="F128" s="59">
        <f t="shared" ref="F128:N128" si="107">0.6222*MaxVlhkost*F127/(Tlak_vzduchu-MaxVlhkost*F127/1000)</f>
        <v>2.48174638080192</v>
      </c>
      <c r="G128" s="59">
        <f t="shared" si="107"/>
        <v>2.4818471357797485</v>
      </c>
      <c r="H128" s="59">
        <f t="shared" si="107"/>
        <v>2.4818240166047123</v>
      </c>
      <c r="I128" s="59">
        <f t="shared" si="107"/>
        <v>2.4348644351493056</v>
      </c>
      <c r="J128" s="59">
        <f t="shared" si="107"/>
        <v>6.7550746099518593</v>
      </c>
      <c r="K128" s="59">
        <f t="shared" si="107"/>
        <v>2.434874252230915</v>
      </c>
      <c r="L128" s="59">
        <f t="shared" si="107"/>
        <v>2.481745217412664</v>
      </c>
      <c r="M128" s="59">
        <f t="shared" si="107"/>
        <v>2.4818246986053492</v>
      </c>
      <c r="N128" s="59">
        <f t="shared" si="107"/>
        <v>2.4818246188059332</v>
      </c>
      <c r="O128" s="59">
        <f t="shared" ref="O128:W128" si="108">0.6222*MaxVlhkost*O127/(Tlak_vzduchu-MaxVlhkost*O127/1000)</f>
        <v>2.4818246188059332</v>
      </c>
      <c r="P128" s="59">
        <f t="shared" si="108"/>
        <v>2.4818246188059332</v>
      </c>
      <c r="Q128" s="59">
        <f t="shared" si="108"/>
        <v>2.4818246188059332</v>
      </c>
      <c r="R128" s="59">
        <f t="shared" si="108"/>
        <v>2.4818246188059332</v>
      </c>
      <c r="S128" s="59">
        <f t="shared" si="108"/>
        <v>2.4818246188059332</v>
      </c>
      <c r="T128" s="59">
        <f t="shared" si="108"/>
        <v>2.4818246188059332</v>
      </c>
      <c r="U128" s="59">
        <f t="shared" si="108"/>
        <v>2.4818246188059332</v>
      </c>
      <c r="V128" s="59">
        <f t="shared" si="108"/>
        <v>2.4818246188059332</v>
      </c>
      <c r="W128" s="59">
        <f t="shared" si="108"/>
        <v>2.4818246188059332</v>
      </c>
      <c r="Y128" s="61"/>
      <c r="Z128" s="61"/>
      <c r="AA128" s="61"/>
    </row>
    <row r="129" spans="2:27" s="59" customFormat="1" x14ac:dyDescent="0.2">
      <c r="C129" s="72" t="s">
        <v>38</v>
      </c>
      <c r="E129" s="59">
        <f>(E123-1.01*E126)/(2501+1.86*E126)*1000</f>
        <v>2.3448051662213847</v>
      </c>
      <c r="F129" s="59">
        <f t="shared" ref="F129:W129" si="109">(F123-1.01*F126)/(2501+1.86*F126)*1000</f>
        <v>2.3449538683807138</v>
      </c>
      <c r="G129" s="59">
        <f t="shared" si="109"/>
        <v>2.3447623704063183</v>
      </c>
      <c r="H129" s="59">
        <f t="shared" si="109"/>
        <v>2.3448063107714696</v>
      </c>
      <c r="I129" s="59">
        <f t="shared" si="109"/>
        <v>2.4348565593132174</v>
      </c>
      <c r="J129" s="59">
        <f t="shared" si="109"/>
        <v>6.7550025745750748</v>
      </c>
      <c r="K129" s="59">
        <f t="shared" si="109"/>
        <v>2.4348375650319185</v>
      </c>
      <c r="L129" s="59">
        <f t="shared" si="109"/>
        <v>2.3449560795961135</v>
      </c>
      <c r="M129" s="59">
        <f t="shared" si="109"/>
        <v>2.3448050145537866</v>
      </c>
      <c r="N129" s="59">
        <f t="shared" si="109"/>
        <v>2.3448051662213847</v>
      </c>
      <c r="O129" s="59">
        <f t="shared" si="109"/>
        <v>2.3448051662213847</v>
      </c>
      <c r="P129" s="59">
        <f t="shared" si="109"/>
        <v>2.3448051662213847</v>
      </c>
      <c r="Q129" s="59">
        <f t="shared" si="109"/>
        <v>2.3448051662213847</v>
      </c>
      <c r="R129" s="59">
        <f t="shared" si="109"/>
        <v>2.3448051662213847</v>
      </c>
      <c r="S129" s="59">
        <f t="shared" si="109"/>
        <v>2.3448051662213847</v>
      </c>
      <c r="T129" s="59">
        <f t="shared" si="109"/>
        <v>2.3448051662213847</v>
      </c>
      <c r="U129" s="59">
        <f t="shared" si="109"/>
        <v>2.3448051662213847</v>
      </c>
      <c r="V129" s="59">
        <f t="shared" si="109"/>
        <v>2.3448051662213847</v>
      </c>
      <c r="W129" s="59">
        <f t="shared" si="109"/>
        <v>2.3448051662213847</v>
      </c>
      <c r="Y129" s="61"/>
      <c r="Z129" s="61"/>
      <c r="AA129" s="61"/>
    </row>
    <row r="130" spans="2:27" s="59" customFormat="1" x14ac:dyDescent="0.2">
      <c r="C130" s="73" t="s">
        <v>39</v>
      </c>
      <c r="E130" s="59">
        <f>E128-E129</f>
        <v>0.13701945258454851</v>
      </c>
      <c r="F130" s="59">
        <f t="shared" ref="F130:W130" si="110">F128-F129</f>
        <v>0.13679251242120616</v>
      </c>
      <c r="G130" s="59">
        <f t="shared" si="110"/>
        <v>0.13708476537343017</v>
      </c>
      <c r="H130" s="59">
        <f t="shared" si="110"/>
        <v>0.13701770583324269</v>
      </c>
      <c r="I130" s="59">
        <f t="shared" si="110"/>
        <v>7.8758360881892031E-6</v>
      </c>
      <c r="J130" s="59">
        <f t="shared" si="110"/>
        <v>7.2035376784462812E-5</v>
      </c>
      <c r="K130" s="59">
        <f t="shared" si="110"/>
        <v>3.6687198996521175E-5</v>
      </c>
      <c r="L130" s="59">
        <f t="shared" si="110"/>
        <v>0.13678913781655044</v>
      </c>
      <c r="M130" s="59">
        <f t="shared" si="110"/>
        <v>0.13701968405156251</v>
      </c>
      <c r="N130" s="59">
        <f t="shared" si="110"/>
        <v>0.13701945258454851</v>
      </c>
      <c r="O130" s="59">
        <f t="shared" si="110"/>
        <v>0.13701945258454851</v>
      </c>
      <c r="P130" s="59">
        <f t="shared" si="110"/>
        <v>0.13701945258454851</v>
      </c>
      <c r="Q130" s="59">
        <f t="shared" si="110"/>
        <v>0.13701945258454851</v>
      </c>
      <c r="R130" s="59">
        <f t="shared" si="110"/>
        <v>0.13701945258454851</v>
      </c>
      <c r="S130" s="59">
        <f t="shared" si="110"/>
        <v>0.13701945258454851</v>
      </c>
      <c r="T130" s="59">
        <f t="shared" si="110"/>
        <v>0.13701945258454851</v>
      </c>
      <c r="U130" s="59">
        <f t="shared" si="110"/>
        <v>0.13701945258454851</v>
      </c>
      <c r="V130" s="59">
        <f t="shared" si="110"/>
        <v>0.13701945258454851</v>
      </c>
      <c r="W130" s="59">
        <f t="shared" si="110"/>
        <v>0.13701945258454851</v>
      </c>
      <c r="Y130" s="61"/>
      <c r="Z130" s="61"/>
      <c r="AA130" s="61"/>
    </row>
    <row r="131" spans="2:27" s="59" customFormat="1" x14ac:dyDescent="0.2">
      <c r="B131" s="76" t="s">
        <v>70</v>
      </c>
      <c r="C131" s="65" t="s">
        <v>33</v>
      </c>
      <c r="E131" s="59">
        <f>IF(AND(E123=0,E124=0),0,IF(E125&gt;E126,E125,E126))</f>
        <v>0</v>
      </c>
      <c r="F131" s="59">
        <f t="shared" ref="F131:W131" si="111">IF(AND(F123=0,F124=0),0,IF(F125&gt;F126,F125,F126))</f>
        <v>0</v>
      </c>
      <c r="G131" s="59">
        <f t="shared" si="111"/>
        <v>0</v>
      </c>
      <c r="H131" s="59">
        <f t="shared" si="111"/>
        <v>0</v>
      </c>
      <c r="I131" s="59">
        <f t="shared" si="111"/>
        <v>0</v>
      </c>
      <c r="J131" s="59">
        <f t="shared" si="111"/>
        <v>7.298095599907235</v>
      </c>
      <c r="K131" s="59">
        <f t="shared" si="111"/>
        <v>0</v>
      </c>
      <c r="L131" s="59">
        <f t="shared" si="111"/>
        <v>0</v>
      </c>
      <c r="M131" s="59">
        <f t="shared" si="111"/>
        <v>0</v>
      </c>
      <c r="N131" s="59">
        <f t="shared" si="111"/>
        <v>0</v>
      </c>
      <c r="O131" s="59">
        <f t="shared" si="111"/>
        <v>0</v>
      </c>
      <c r="P131" s="59">
        <f t="shared" si="111"/>
        <v>0</v>
      </c>
      <c r="Q131" s="59">
        <f t="shared" si="111"/>
        <v>0</v>
      </c>
      <c r="R131" s="59">
        <f t="shared" si="111"/>
        <v>0</v>
      </c>
      <c r="S131" s="59">
        <f t="shared" si="111"/>
        <v>0</v>
      </c>
      <c r="T131" s="59">
        <f t="shared" si="111"/>
        <v>0</v>
      </c>
      <c r="U131" s="59">
        <f t="shared" si="111"/>
        <v>0</v>
      </c>
      <c r="V131" s="59">
        <f t="shared" si="111"/>
        <v>0</v>
      </c>
      <c r="W131" s="59">
        <f t="shared" si="111"/>
        <v>0</v>
      </c>
      <c r="Y131" s="61"/>
      <c r="Z131" s="61"/>
      <c r="AA131" s="61"/>
    </row>
    <row r="132" spans="2:27" s="59" customFormat="1" x14ac:dyDescent="0.2">
      <c r="C132" s="65" t="s">
        <v>34</v>
      </c>
      <c r="E132" s="59">
        <f>IF(AND(E123=0,E124=0),0,IF(E125&gt;E126,E124,E128))</f>
        <v>0</v>
      </c>
      <c r="F132" s="59">
        <f t="shared" ref="F132:W132" si="112">IF(AND(F123=0,F124=0),0,IF(F125&gt;F126,F124,F128))</f>
        <v>0</v>
      </c>
      <c r="G132" s="59">
        <f t="shared" si="112"/>
        <v>0</v>
      </c>
      <c r="H132" s="59">
        <f t="shared" si="112"/>
        <v>0</v>
      </c>
      <c r="I132" s="59">
        <f t="shared" si="112"/>
        <v>0</v>
      </c>
      <c r="J132" s="59">
        <f t="shared" si="112"/>
        <v>6.7207177223736538</v>
      </c>
      <c r="K132" s="59">
        <f t="shared" si="112"/>
        <v>0</v>
      </c>
      <c r="L132" s="59">
        <f t="shared" si="112"/>
        <v>0</v>
      </c>
      <c r="M132" s="59">
        <f t="shared" si="112"/>
        <v>0</v>
      </c>
      <c r="N132" s="59">
        <f t="shared" si="112"/>
        <v>0</v>
      </c>
      <c r="O132" s="59">
        <f t="shared" si="112"/>
        <v>0</v>
      </c>
      <c r="P132" s="59">
        <f t="shared" si="112"/>
        <v>0</v>
      </c>
      <c r="Q132" s="59">
        <f t="shared" si="112"/>
        <v>0</v>
      </c>
      <c r="R132" s="59">
        <f t="shared" si="112"/>
        <v>0</v>
      </c>
      <c r="S132" s="59">
        <f t="shared" si="112"/>
        <v>0</v>
      </c>
      <c r="T132" s="59">
        <f t="shared" si="112"/>
        <v>0</v>
      </c>
      <c r="U132" s="59">
        <f t="shared" si="112"/>
        <v>0</v>
      </c>
      <c r="V132" s="59">
        <f t="shared" si="112"/>
        <v>0</v>
      </c>
      <c r="W132" s="59">
        <f t="shared" si="112"/>
        <v>0</v>
      </c>
      <c r="Y132" s="61"/>
      <c r="Z132" s="61"/>
      <c r="AA132" s="61"/>
    </row>
    <row r="133" spans="2:27" s="59" customFormat="1" x14ac:dyDescent="0.2">
      <c r="C133" s="65"/>
      <c r="Y133" s="61"/>
      <c r="Z133" s="61"/>
      <c r="AA133" s="61"/>
    </row>
    <row r="134" spans="2:27" s="59" customFormat="1" x14ac:dyDescent="0.2">
      <c r="B134" s="73" t="s">
        <v>112</v>
      </c>
      <c r="C134" s="65" t="s">
        <v>32</v>
      </c>
      <c r="D134" s="59" t="s">
        <v>36</v>
      </c>
      <c r="E134" s="59">
        <f>IF(AND(E$93&lt;&gt;"",E$94&lt;&gt;""),MIN(E$93,MaxVlhkost),0)</f>
        <v>0</v>
      </c>
      <c r="F134" s="59">
        <f t="shared" ref="F134:W134" si="113">IF(AND(F$93&lt;&gt;"",F$94&lt;&gt;""),MIN(F$93,MaxVlhkost),0)</f>
        <v>0</v>
      </c>
      <c r="G134" s="59">
        <f t="shared" si="113"/>
        <v>0</v>
      </c>
      <c r="H134" s="59">
        <f t="shared" si="113"/>
        <v>0</v>
      </c>
      <c r="I134" s="59">
        <f t="shared" si="113"/>
        <v>0</v>
      </c>
      <c r="J134" s="59">
        <f t="shared" si="113"/>
        <v>0</v>
      </c>
      <c r="K134" s="59">
        <f t="shared" si="113"/>
        <v>0</v>
      </c>
      <c r="L134" s="59">
        <f t="shared" si="113"/>
        <v>0</v>
      </c>
      <c r="M134" s="59">
        <f t="shared" si="113"/>
        <v>0</v>
      </c>
      <c r="N134" s="59">
        <f t="shared" si="113"/>
        <v>0</v>
      </c>
      <c r="O134" s="59">
        <f t="shared" si="113"/>
        <v>0</v>
      </c>
      <c r="P134" s="59">
        <f t="shared" si="113"/>
        <v>0</v>
      </c>
      <c r="Q134" s="59">
        <f t="shared" si="113"/>
        <v>0</v>
      </c>
      <c r="R134" s="59">
        <f t="shared" si="113"/>
        <v>0</v>
      </c>
      <c r="S134" s="59">
        <f t="shared" si="113"/>
        <v>0</v>
      </c>
      <c r="T134" s="59">
        <f t="shared" si="113"/>
        <v>0</v>
      </c>
      <c r="U134" s="59">
        <f t="shared" si="113"/>
        <v>0</v>
      </c>
      <c r="V134" s="59">
        <f t="shared" si="113"/>
        <v>0</v>
      </c>
      <c r="W134" s="59">
        <f t="shared" si="113"/>
        <v>0</v>
      </c>
      <c r="Y134" s="61"/>
      <c r="Z134" s="61"/>
      <c r="AA134" s="61"/>
    </row>
    <row r="135" spans="2:27" s="59" customFormat="1" x14ac:dyDescent="0.2">
      <c r="C135" s="65" t="s">
        <v>2</v>
      </c>
      <c r="D135" s="59" t="s">
        <v>35</v>
      </c>
      <c r="E135" s="59">
        <f>IF(AND(E$93&lt;&gt;"",E$94&lt;&gt;""),E$94,0)</f>
        <v>0</v>
      </c>
      <c r="F135" s="59">
        <f t="shared" ref="F135:W135" si="114">IF(AND(F$93&lt;&gt;"",F$94&lt;&gt;""),F$94,0)</f>
        <v>0</v>
      </c>
      <c r="G135" s="59">
        <f t="shared" si="114"/>
        <v>0</v>
      </c>
      <c r="H135" s="59">
        <f t="shared" si="114"/>
        <v>0</v>
      </c>
      <c r="I135" s="59">
        <f t="shared" si="114"/>
        <v>0</v>
      </c>
      <c r="J135" s="59">
        <f t="shared" si="114"/>
        <v>0</v>
      </c>
      <c r="K135" s="59">
        <f t="shared" si="114"/>
        <v>0</v>
      </c>
      <c r="L135" s="59">
        <f t="shared" si="114"/>
        <v>0</v>
      </c>
      <c r="M135" s="59">
        <f t="shared" si="114"/>
        <v>0</v>
      </c>
      <c r="N135" s="59">
        <f t="shared" si="114"/>
        <v>0</v>
      </c>
      <c r="O135" s="59">
        <f t="shared" si="114"/>
        <v>0</v>
      </c>
      <c r="P135" s="59">
        <f t="shared" si="114"/>
        <v>0</v>
      </c>
      <c r="Q135" s="59">
        <f t="shared" si="114"/>
        <v>0</v>
      </c>
      <c r="R135" s="59">
        <f t="shared" si="114"/>
        <v>0</v>
      </c>
      <c r="S135" s="59">
        <f t="shared" si="114"/>
        <v>0</v>
      </c>
      <c r="T135" s="59">
        <f t="shared" si="114"/>
        <v>0</v>
      </c>
      <c r="U135" s="59">
        <f t="shared" si="114"/>
        <v>0</v>
      </c>
      <c r="V135" s="59">
        <f t="shared" si="114"/>
        <v>0</v>
      </c>
      <c r="W135" s="59">
        <f t="shared" si="114"/>
        <v>0</v>
      </c>
      <c r="Y135" s="61"/>
      <c r="Z135" s="61"/>
      <c r="AA135" s="61"/>
    </row>
    <row r="136" spans="2:27" s="59" customFormat="1" x14ac:dyDescent="0.2">
      <c r="C136" s="65" t="s">
        <v>31</v>
      </c>
      <c r="D136" s="59" t="s">
        <v>10</v>
      </c>
      <c r="E136" s="59" t="e">
        <f>E135/1000*Tlak_vzduchu/E134/(0.6222+E135/1000)*1000</f>
        <v>#DIV/0!</v>
      </c>
      <c r="F136" s="59" t="e">
        <f t="shared" ref="F136:N136" si="115">F135/1000*Tlak_vzduchu/F134/(0.6222+F135/1000)*1000</f>
        <v>#DIV/0!</v>
      </c>
      <c r="G136" s="59" t="e">
        <f t="shared" si="115"/>
        <v>#DIV/0!</v>
      </c>
      <c r="H136" s="59" t="e">
        <f t="shared" si="115"/>
        <v>#DIV/0!</v>
      </c>
      <c r="I136" s="59" t="e">
        <f t="shared" si="115"/>
        <v>#DIV/0!</v>
      </c>
      <c r="J136" s="59" t="e">
        <f t="shared" si="115"/>
        <v>#DIV/0!</v>
      </c>
      <c r="K136" s="59" t="e">
        <f t="shared" si="115"/>
        <v>#DIV/0!</v>
      </c>
      <c r="L136" s="59" t="e">
        <f t="shared" si="115"/>
        <v>#DIV/0!</v>
      </c>
      <c r="M136" s="59" t="e">
        <f t="shared" si="115"/>
        <v>#DIV/0!</v>
      </c>
      <c r="N136" s="59" t="e">
        <f t="shared" si="115"/>
        <v>#DIV/0!</v>
      </c>
      <c r="O136" s="59" t="e">
        <f t="shared" ref="O136:W136" si="116">O135/1000*Tlak_vzduchu/O134/(0.6222+O135/1000)*1000</f>
        <v>#DIV/0!</v>
      </c>
      <c r="P136" s="59" t="e">
        <f t="shared" si="116"/>
        <v>#DIV/0!</v>
      </c>
      <c r="Q136" s="59" t="e">
        <f t="shared" si="116"/>
        <v>#DIV/0!</v>
      </c>
      <c r="R136" s="59" t="e">
        <f t="shared" si="116"/>
        <v>#DIV/0!</v>
      </c>
      <c r="S136" s="59" t="e">
        <f t="shared" si="116"/>
        <v>#DIV/0!</v>
      </c>
      <c r="T136" s="59" t="e">
        <f t="shared" si="116"/>
        <v>#DIV/0!</v>
      </c>
      <c r="U136" s="59" t="e">
        <f t="shared" si="116"/>
        <v>#DIV/0!</v>
      </c>
      <c r="V136" s="59" t="e">
        <f t="shared" si="116"/>
        <v>#DIV/0!</v>
      </c>
      <c r="W136" s="59" t="e">
        <f t="shared" si="116"/>
        <v>#DIV/0!</v>
      </c>
      <c r="Y136" s="61"/>
      <c r="Z136" s="61"/>
      <c r="AA136" s="61"/>
    </row>
    <row r="137" spans="2:27" s="59" customFormat="1" x14ac:dyDescent="0.2">
      <c r="C137" s="65" t="s">
        <v>0</v>
      </c>
      <c r="E137" s="59" t="e">
        <f>IF(E136&lt;641,(271*LN(E136)-1738.4)/(28.74-LN(E136)),(234*LN(E136)-1500.3)/(23.5-LN(E136)))</f>
        <v>#DIV/0!</v>
      </c>
      <c r="F137" s="59" t="e">
        <f t="shared" ref="F137:W137" si="117">IF(F136&lt;641,(271*LN(F136)-1738.4)/(28.74-LN(F136)),(234*LN(F136)-1500.3)/(23.5-LN(F136)))</f>
        <v>#DIV/0!</v>
      </c>
      <c r="G137" s="59" t="e">
        <f t="shared" si="117"/>
        <v>#DIV/0!</v>
      </c>
      <c r="H137" s="59" t="e">
        <f t="shared" si="117"/>
        <v>#DIV/0!</v>
      </c>
      <c r="I137" s="59" t="e">
        <f t="shared" si="117"/>
        <v>#DIV/0!</v>
      </c>
      <c r="J137" s="59" t="e">
        <f t="shared" si="117"/>
        <v>#DIV/0!</v>
      </c>
      <c r="K137" s="59" t="e">
        <f t="shared" si="117"/>
        <v>#DIV/0!</v>
      </c>
      <c r="L137" s="59" t="e">
        <f t="shared" si="117"/>
        <v>#DIV/0!</v>
      </c>
      <c r="M137" s="59" t="e">
        <f t="shared" si="117"/>
        <v>#DIV/0!</v>
      </c>
      <c r="N137" s="59" t="e">
        <f t="shared" si="117"/>
        <v>#DIV/0!</v>
      </c>
      <c r="O137" s="59" t="e">
        <f t="shared" si="117"/>
        <v>#DIV/0!</v>
      </c>
      <c r="P137" s="59" t="e">
        <f t="shared" si="117"/>
        <v>#DIV/0!</v>
      </c>
      <c r="Q137" s="59" t="e">
        <f t="shared" si="117"/>
        <v>#DIV/0!</v>
      </c>
      <c r="R137" s="59" t="e">
        <f t="shared" si="117"/>
        <v>#DIV/0!</v>
      </c>
      <c r="S137" s="59" t="e">
        <f t="shared" si="117"/>
        <v>#DIV/0!</v>
      </c>
      <c r="T137" s="59" t="e">
        <f t="shared" si="117"/>
        <v>#DIV/0!</v>
      </c>
      <c r="U137" s="59" t="e">
        <f t="shared" si="117"/>
        <v>#DIV/0!</v>
      </c>
      <c r="V137" s="59" t="e">
        <f t="shared" si="117"/>
        <v>#DIV/0!</v>
      </c>
      <c r="W137" s="59" t="e">
        <f t="shared" si="117"/>
        <v>#DIV/0!</v>
      </c>
      <c r="Y137" s="61"/>
      <c r="Z137" s="61"/>
      <c r="AA137" s="61"/>
    </row>
    <row r="138" spans="2:27" s="59" customFormat="1" x14ac:dyDescent="0.2">
      <c r="B138" s="76" t="s">
        <v>70</v>
      </c>
      <c r="C138" s="65" t="s">
        <v>33</v>
      </c>
      <c r="E138" s="59">
        <f>IF(E134=0,0,E137)</f>
        <v>0</v>
      </c>
      <c r="F138" s="59">
        <f t="shared" ref="F138:W138" si="118">IF(F134=0,0,F137)</f>
        <v>0</v>
      </c>
      <c r="G138" s="59">
        <f t="shared" si="118"/>
        <v>0</v>
      </c>
      <c r="H138" s="59">
        <f t="shared" si="118"/>
        <v>0</v>
      </c>
      <c r="I138" s="59">
        <f t="shared" si="118"/>
        <v>0</v>
      </c>
      <c r="J138" s="59">
        <f t="shared" si="118"/>
        <v>0</v>
      </c>
      <c r="K138" s="59">
        <f t="shared" si="118"/>
        <v>0</v>
      </c>
      <c r="L138" s="59">
        <f t="shared" si="118"/>
        <v>0</v>
      </c>
      <c r="M138" s="59">
        <f t="shared" si="118"/>
        <v>0</v>
      </c>
      <c r="N138" s="59">
        <f t="shared" si="118"/>
        <v>0</v>
      </c>
      <c r="O138" s="59">
        <f t="shared" si="118"/>
        <v>0</v>
      </c>
      <c r="P138" s="59">
        <f t="shared" si="118"/>
        <v>0</v>
      </c>
      <c r="Q138" s="59">
        <f t="shared" si="118"/>
        <v>0</v>
      </c>
      <c r="R138" s="59">
        <f t="shared" si="118"/>
        <v>0</v>
      </c>
      <c r="S138" s="59">
        <f t="shared" si="118"/>
        <v>0</v>
      </c>
      <c r="T138" s="59">
        <f t="shared" si="118"/>
        <v>0</v>
      </c>
      <c r="U138" s="59">
        <f t="shared" si="118"/>
        <v>0</v>
      </c>
      <c r="V138" s="59">
        <f t="shared" si="118"/>
        <v>0</v>
      </c>
      <c r="W138" s="59">
        <f t="shared" si="118"/>
        <v>0</v>
      </c>
      <c r="Y138" s="61"/>
      <c r="Z138" s="61"/>
      <c r="AA138" s="61"/>
    </row>
    <row r="139" spans="2:27" s="59" customFormat="1" x14ac:dyDescent="0.2">
      <c r="C139" s="65" t="s">
        <v>34</v>
      </c>
      <c r="E139" s="59">
        <f>IF(E135=0,0,E135)</f>
        <v>0</v>
      </c>
      <c r="F139" s="59">
        <f t="shared" ref="F139:W139" si="119">IF(F135=0,0,F135)</f>
        <v>0</v>
      </c>
      <c r="G139" s="59">
        <f t="shared" si="119"/>
        <v>0</v>
      </c>
      <c r="H139" s="59">
        <f t="shared" si="119"/>
        <v>0</v>
      </c>
      <c r="I139" s="59">
        <f t="shared" si="119"/>
        <v>0</v>
      </c>
      <c r="J139" s="59">
        <f t="shared" si="119"/>
        <v>0</v>
      </c>
      <c r="K139" s="59">
        <f t="shared" si="119"/>
        <v>0</v>
      </c>
      <c r="L139" s="59">
        <f t="shared" si="119"/>
        <v>0</v>
      </c>
      <c r="M139" s="59">
        <f t="shared" si="119"/>
        <v>0</v>
      </c>
      <c r="N139" s="59">
        <f t="shared" si="119"/>
        <v>0</v>
      </c>
      <c r="O139" s="59">
        <f t="shared" si="119"/>
        <v>0</v>
      </c>
      <c r="P139" s="59">
        <f t="shared" si="119"/>
        <v>0</v>
      </c>
      <c r="Q139" s="59">
        <f t="shared" si="119"/>
        <v>0</v>
      </c>
      <c r="R139" s="59">
        <f t="shared" si="119"/>
        <v>0</v>
      </c>
      <c r="S139" s="59">
        <f t="shared" si="119"/>
        <v>0</v>
      </c>
      <c r="T139" s="59">
        <f t="shared" si="119"/>
        <v>0</v>
      </c>
      <c r="U139" s="59">
        <f t="shared" si="119"/>
        <v>0</v>
      </c>
      <c r="V139" s="59">
        <f t="shared" si="119"/>
        <v>0</v>
      </c>
      <c r="W139" s="59">
        <f t="shared" si="119"/>
        <v>0</v>
      </c>
      <c r="Y139" s="61"/>
      <c r="Z139" s="61"/>
      <c r="AA139" s="61"/>
    </row>
    <row r="140" spans="2:27" s="59" customFormat="1" x14ac:dyDescent="0.2">
      <c r="C140" s="65"/>
      <c r="Y140" s="61"/>
      <c r="Z140" s="61"/>
      <c r="AA140" s="61"/>
    </row>
    <row r="141" spans="2:27" s="59" customFormat="1" x14ac:dyDescent="0.2">
      <c r="B141" s="73" t="s">
        <v>113</v>
      </c>
      <c r="C141" s="65" t="s">
        <v>32</v>
      </c>
      <c r="E141" s="59">
        <f>IF(AND(E$93&lt;&gt;"",E$95&lt;&gt;""),MIN(E$93,MaxVlhkost),0)</f>
        <v>0</v>
      </c>
      <c r="F141" s="59">
        <f t="shared" ref="F141:W141" si="120">IF(AND(F$93&lt;&gt;"",F$95&lt;&gt;""),MIN(F$93,MaxVlhkost),0)</f>
        <v>0</v>
      </c>
      <c r="G141" s="59">
        <f t="shared" si="120"/>
        <v>0</v>
      </c>
      <c r="H141" s="59">
        <f t="shared" si="120"/>
        <v>0</v>
      </c>
      <c r="I141" s="59">
        <f t="shared" si="120"/>
        <v>0</v>
      </c>
      <c r="J141" s="59">
        <f t="shared" si="120"/>
        <v>0</v>
      </c>
      <c r="K141" s="59">
        <f t="shared" si="120"/>
        <v>0</v>
      </c>
      <c r="L141" s="59">
        <f t="shared" si="120"/>
        <v>0</v>
      </c>
      <c r="M141" s="59">
        <f t="shared" si="120"/>
        <v>0</v>
      </c>
      <c r="N141" s="59">
        <f t="shared" si="120"/>
        <v>0</v>
      </c>
      <c r="O141" s="59">
        <f t="shared" si="120"/>
        <v>0</v>
      </c>
      <c r="P141" s="59">
        <f t="shared" si="120"/>
        <v>0</v>
      </c>
      <c r="Q141" s="59">
        <f t="shared" si="120"/>
        <v>0</v>
      </c>
      <c r="R141" s="59">
        <f t="shared" si="120"/>
        <v>0</v>
      </c>
      <c r="S141" s="59">
        <f t="shared" si="120"/>
        <v>0</v>
      </c>
      <c r="T141" s="59">
        <f t="shared" si="120"/>
        <v>0</v>
      </c>
      <c r="U141" s="59">
        <f t="shared" si="120"/>
        <v>0</v>
      </c>
      <c r="V141" s="59">
        <f t="shared" si="120"/>
        <v>0</v>
      </c>
      <c r="W141" s="59">
        <f t="shared" si="120"/>
        <v>0</v>
      </c>
      <c r="Y141" s="61"/>
      <c r="Z141" s="61"/>
      <c r="AA141" s="61"/>
    </row>
    <row r="142" spans="2:27" s="59" customFormat="1" x14ac:dyDescent="0.2">
      <c r="C142" s="65" t="s">
        <v>3</v>
      </c>
      <c r="E142" s="59">
        <f>IF(AND(E$93&lt;&gt;"",E$95&lt;&gt;""),E$95,0)</f>
        <v>0</v>
      </c>
      <c r="F142" s="59">
        <f t="shared" ref="F142:W142" si="121">IF(AND(F$93&lt;&gt;"",F$95&lt;&gt;""),F$95,0)</f>
        <v>0</v>
      </c>
      <c r="G142" s="59">
        <f t="shared" si="121"/>
        <v>0</v>
      </c>
      <c r="H142" s="59">
        <f t="shared" si="121"/>
        <v>0</v>
      </c>
      <c r="I142" s="59">
        <f t="shared" si="121"/>
        <v>0</v>
      </c>
      <c r="J142" s="59">
        <f t="shared" si="121"/>
        <v>0</v>
      </c>
      <c r="K142" s="59">
        <f t="shared" si="121"/>
        <v>0</v>
      </c>
      <c r="L142" s="59">
        <f t="shared" si="121"/>
        <v>0</v>
      </c>
      <c r="M142" s="59">
        <f t="shared" si="121"/>
        <v>0</v>
      </c>
      <c r="N142" s="59">
        <f t="shared" si="121"/>
        <v>0</v>
      </c>
      <c r="O142" s="59">
        <f t="shared" si="121"/>
        <v>0</v>
      </c>
      <c r="P142" s="59">
        <f t="shared" si="121"/>
        <v>0</v>
      </c>
      <c r="Q142" s="59">
        <f t="shared" si="121"/>
        <v>0</v>
      </c>
      <c r="R142" s="59">
        <f t="shared" si="121"/>
        <v>0</v>
      </c>
      <c r="S142" s="59">
        <f t="shared" si="121"/>
        <v>0</v>
      </c>
      <c r="T142" s="59">
        <f t="shared" si="121"/>
        <v>0</v>
      </c>
      <c r="U142" s="59">
        <f t="shared" si="121"/>
        <v>0</v>
      </c>
      <c r="V142" s="59">
        <f t="shared" si="121"/>
        <v>0</v>
      </c>
      <c r="W142" s="59">
        <f t="shared" si="121"/>
        <v>0</v>
      </c>
      <c r="Y142" s="61"/>
      <c r="Z142" s="61"/>
      <c r="AA142" s="61"/>
    </row>
    <row r="143" spans="2:27" s="59" customFormat="1" x14ac:dyDescent="0.2">
      <c r="C143" s="72" t="s">
        <v>0</v>
      </c>
      <c r="E143" s="59">
        <v>5.7926502284724735E-4</v>
      </c>
      <c r="F143" s="59">
        <v>3.2713249772620134E-4</v>
      </c>
      <c r="G143" s="59">
        <v>2.614847727860567E-4</v>
      </c>
      <c r="H143" s="59">
        <v>4.1770661130514919E-5</v>
      </c>
      <c r="I143" s="59">
        <v>7.1262905406217769E-5</v>
      </c>
      <c r="J143" s="59">
        <v>5.0552826087199576E-4</v>
      </c>
      <c r="K143" s="59">
        <v>5.0552826087199576E-4</v>
      </c>
      <c r="L143" s="59">
        <v>5.0552826087199576E-4</v>
      </c>
      <c r="M143" s="59">
        <v>5.0552826087199576E-4</v>
      </c>
      <c r="N143" s="59">
        <v>5.0552826087199576E-4</v>
      </c>
      <c r="O143" s="59">
        <v>5.0552826087199576E-4</v>
      </c>
      <c r="P143" s="59">
        <v>5.0552826087199576E-4</v>
      </c>
      <c r="Q143" s="59">
        <v>5.0552826087199576E-4</v>
      </c>
      <c r="R143" s="59">
        <v>5.0552826087199576E-4</v>
      </c>
      <c r="S143" s="59">
        <v>5.0552826087199576E-4</v>
      </c>
      <c r="T143" s="59">
        <v>5.0552826087199576E-4</v>
      </c>
      <c r="U143" s="59">
        <v>5.0552826087199576E-4</v>
      </c>
      <c r="V143" s="59">
        <v>5.0552826087199576E-4</v>
      </c>
      <c r="W143" s="59">
        <v>5.0552826087199576E-4</v>
      </c>
      <c r="Y143" s="61"/>
      <c r="Z143" s="61"/>
      <c r="AA143" s="61"/>
    </row>
    <row r="144" spans="2:27" s="59" customFormat="1" x14ac:dyDescent="0.2">
      <c r="C144" s="72" t="s">
        <v>31</v>
      </c>
      <c r="E144" s="74">
        <f>IF(E143&lt;-50,#N/A,IF(E143&lt;0,EXP((1738.4+28.74*E143)/(271+E143)),IF(E143&lt;=100,EXP((1500.3+23.5*E143)/(234+E143)),#N/A)))</f>
        <v>608.85537727910446</v>
      </c>
      <c r="F144" s="74">
        <f t="shared" ref="F144:W144" si="122">IF(F143&lt;-50,#N/A,IF(F143&lt;0,EXP((1738.4+28.74*F143)/(271+F143)),IF(F143&lt;=100,EXP((1500.3+23.5*F143)/(234+F143)),#N/A)))</f>
        <v>608.84416679294907</v>
      </c>
      <c r="G144" s="74">
        <f t="shared" si="122"/>
        <v>608.84124794948968</v>
      </c>
      <c r="H144" s="74">
        <f t="shared" si="122"/>
        <v>608.83147906263059</v>
      </c>
      <c r="I144" s="74">
        <f t="shared" si="122"/>
        <v>608.83279033311987</v>
      </c>
      <c r="J144" s="74">
        <f t="shared" si="122"/>
        <v>608.85209872667178</v>
      </c>
      <c r="K144" s="74">
        <f t="shared" si="122"/>
        <v>608.85209872667178</v>
      </c>
      <c r="L144" s="74">
        <f t="shared" si="122"/>
        <v>608.85209872667178</v>
      </c>
      <c r="M144" s="70">
        <f t="shared" si="122"/>
        <v>608.85209872667178</v>
      </c>
      <c r="N144" s="70">
        <f t="shared" si="122"/>
        <v>608.85209872667178</v>
      </c>
      <c r="O144" s="70">
        <f t="shared" si="122"/>
        <v>608.85209872667178</v>
      </c>
      <c r="P144" s="70">
        <f t="shared" si="122"/>
        <v>608.85209872667178</v>
      </c>
      <c r="Q144" s="70">
        <f t="shared" si="122"/>
        <v>608.85209872667178</v>
      </c>
      <c r="R144" s="70">
        <f t="shared" si="122"/>
        <v>608.85209872667178</v>
      </c>
      <c r="S144" s="70">
        <f t="shared" si="122"/>
        <v>608.85209872667178</v>
      </c>
      <c r="T144" s="70">
        <f t="shared" si="122"/>
        <v>608.85209872667178</v>
      </c>
      <c r="U144" s="70">
        <f t="shared" si="122"/>
        <v>608.85209872667178</v>
      </c>
      <c r="V144" s="70">
        <f t="shared" si="122"/>
        <v>608.85209872667178</v>
      </c>
      <c r="W144" s="70">
        <f t="shared" si="122"/>
        <v>608.85209872667178</v>
      </c>
      <c r="Y144" s="61"/>
      <c r="Z144" s="61"/>
      <c r="AA144" s="61"/>
    </row>
    <row r="145" spans="2:27" s="59" customFormat="1" x14ac:dyDescent="0.2">
      <c r="C145" s="72" t="s">
        <v>37</v>
      </c>
      <c r="E145" s="59">
        <f>0.6222*E141*E144/(Tlak_vzduchu-E141*E144/1000)</f>
        <v>0</v>
      </c>
      <c r="F145" s="59">
        <f t="shared" ref="F145:N145" si="123">0.6222*F141*F144/(Tlak_vzduchu-F141*F144/1000)</f>
        <v>0</v>
      </c>
      <c r="G145" s="59">
        <f t="shared" si="123"/>
        <v>0</v>
      </c>
      <c r="H145" s="59">
        <f t="shared" si="123"/>
        <v>0</v>
      </c>
      <c r="I145" s="59">
        <f t="shared" si="123"/>
        <v>0</v>
      </c>
      <c r="J145" s="59">
        <f t="shared" si="123"/>
        <v>0</v>
      </c>
      <c r="K145" s="59">
        <f t="shared" si="123"/>
        <v>0</v>
      </c>
      <c r="L145" s="59">
        <f t="shared" si="123"/>
        <v>0</v>
      </c>
      <c r="M145" s="59">
        <f t="shared" si="123"/>
        <v>0</v>
      </c>
      <c r="N145" s="59">
        <f t="shared" si="123"/>
        <v>0</v>
      </c>
      <c r="O145" s="59">
        <f t="shared" ref="O145:W145" si="124">0.6222*O141*O144/(Tlak_vzduchu-O141*O144/1000)</f>
        <v>0</v>
      </c>
      <c r="P145" s="59">
        <f t="shared" si="124"/>
        <v>0</v>
      </c>
      <c r="Q145" s="59">
        <f t="shared" si="124"/>
        <v>0</v>
      </c>
      <c r="R145" s="59">
        <f t="shared" si="124"/>
        <v>0</v>
      </c>
      <c r="S145" s="59">
        <f t="shared" si="124"/>
        <v>0</v>
      </c>
      <c r="T145" s="59">
        <f t="shared" si="124"/>
        <v>0</v>
      </c>
      <c r="U145" s="59">
        <f t="shared" si="124"/>
        <v>0</v>
      </c>
      <c r="V145" s="59">
        <f t="shared" si="124"/>
        <v>0</v>
      </c>
      <c r="W145" s="59">
        <f t="shared" si="124"/>
        <v>0</v>
      </c>
      <c r="Y145" s="61"/>
      <c r="Z145" s="61"/>
      <c r="AA145" s="61"/>
    </row>
    <row r="146" spans="2:27" s="59" customFormat="1" x14ac:dyDescent="0.2">
      <c r="C146" s="72" t="s">
        <v>38</v>
      </c>
      <c r="E146" s="59">
        <f>(E142-1.01*E143)/(2501+1.86*E143)*1000</f>
        <v>-2.339293966543309E-4</v>
      </c>
      <c r="F146" s="59">
        <f t="shared" ref="F146:W146" si="125">(F142-1.01*F143)/(2501+1.86*F143)*1000</f>
        <v>-1.321086534665256E-4</v>
      </c>
      <c r="G146" s="59">
        <f t="shared" si="125"/>
        <v>-1.0559758862666812E-4</v>
      </c>
      <c r="H146" s="59">
        <f t="shared" si="125"/>
        <v>-1.6868599132843162E-5</v>
      </c>
      <c r="I146" s="59">
        <f t="shared" si="125"/>
        <v>-2.8778700777965545E-5</v>
      </c>
      <c r="J146" s="59">
        <f t="shared" si="125"/>
        <v>-2.0415167993620569E-4</v>
      </c>
      <c r="K146" s="59">
        <f t="shared" si="125"/>
        <v>-2.0415167993620569E-4</v>
      </c>
      <c r="L146" s="59">
        <f t="shared" si="125"/>
        <v>-2.0415167993620569E-4</v>
      </c>
      <c r="M146" s="59">
        <f t="shared" si="125"/>
        <v>-2.0415167993620569E-4</v>
      </c>
      <c r="N146" s="59">
        <f t="shared" si="125"/>
        <v>-2.0415167993620569E-4</v>
      </c>
      <c r="O146" s="59">
        <f t="shared" si="125"/>
        <v>-2.0415167993620569E-4</v>
      </c>
      <c r="P146" s="59">
        <f t="shared" si="125"/>
        <v>-2.0415167993620569E-4</v>
      </c>
      <c r="Q146" s="59">
        <f t="shared" si="125"/>
        <v>-2.0415167993620569E-4</v>
      </c>
      <c r="R146" s="59">
        <f t="shared" si="125"/>
        <v>-2.0415167993620569E-4</v>
      </c>
      <c r="S146" s="59">
        <f t="shared" si="125"/>
        <v>-2.0415167993620569E-4</v>
      </c>
      <c r="T146" s="59">
        <f t="shared" si="125"/>
        <v>-2.0415167993620569E-4</v>
      </c>
      <c r="U146" s="59">
        <f t="shared" si="125"/>
        <v>-2.0415167993620569E-4</v>
      </c>
      <c r="V146" s="59">
        <f t="shared" si="125"/>
        <v>-2.0415167993620569E-4</v>
      </c>
      <c r="W146" s="59">
        <f t="shared" si="125"/>
        <v>-2.0415167993620569E-4</v>
      </c>
      <c r="Y146" s="61"/>
      <c r="Z146" s="61"/>
      <c r="AA146" s="61"/>
    </row>
    <row r="147" spans="2:27" s="59" customFormat="1" x14ac:dyDescent="0.2">
      <c r="C147" s="73" t="s">
        <v>39</v>
      </c>
      <c r="E147" s="59">
        <f>E145-E146</f>
        <v>2.339293966543309E-4</v>
      </c>
      <c r="F147" s="59">
        <f t="shared" ref="F147:W147" si="126">F145-F146</f>
        <v>1.321086534665256E-4</v>
      </c>
      <c r="G147" s="59">
        <f t="shared" si="126"/>
        <v>1.0559758862666812E-4</v>
      </c>
      <c r="H147" s="59">
        <f t="shared" si="126"/>
        <v>1.6868599132843162E-5</v>
      </c>
      <c r="I147" s="59">
        <f t="shared" si="126"/>
        <v>2.8778700777965545E-5</v>
      </c>
      <c r="J147" s="59">
        <f t="shared" si="126"/>
        <v>2.0415167993620569E-4</v>
      </c>
      <c r="K147" s="59">
        <f t="shared" si="126"/>
        <v>2.0415167993620569E-4</v>
      </c>
      <c r="L147" s="59">
        <f t="shared" si="126"/>
        <v>2.0415167993620569E-4</v>
      </c>
      <c r="M147" s="59">
        <f t="shared" si="126"/>
        <v>2.0415167993620569E-4</v>
      </c>
      <c r="N147" s="59">
        <f t="shared" si="126"/>
        <v>2.0415167993620569E-4</v>
      </c>
      <c r="O147" s="59">
        <f t="shared" si="126"/>
        <v>2.0415167993620569E-4</v>
      </c>
      <c r="P147" s="59">
        <f t="shared" si="126"/>
        <v>2.0415167993620569E-4</v>
      </c>
      <c r="Q147" s="59">
        <f t="shared" si="126"/>
        <v>2.0415167993620569E-4</v>
      </c>
      <c r="R147" s="59">
        <f t="shared" si="126"/>
        <v>2.0415167993620569E-4</v>
      </c>
      <c r="S147" s="59">
        <f t="shared" si="126"/>
        <v>2.0415167993620569E-4</v>
      </c>
      <c r="T147" s="59">
        <f t="shared" si="126"/>
        <v>2.0415167993620569E-4</v>
      </c>
      <c r="U147" s="59">
        <f t="shared" si="126"/>
        <v>2.0415167993620569E-4</v>
      </c>
      <c r="V147" s="59">
        <f t="shared" si="126"/>
        <v>2.0415167993620569E-4</v>
      </c>
      <c r="W147" s="59">
        <f t="shared" si="126"/>
        <v>2.0415167993620569E-4</v>
      </c>
      <c r="Y147" s="61"/>
      <c r="Z147" s="61"/>
      <c r="AA147" s="61"/>
    </row>
    <row r="148" spans="2:27" s="59" customFormat="1" x14ac:dyDescent="0.2">
      <c r="B148" s="76" t="s">
        <v>70</v>
      </c>
      <c r="C148" s="65" t="s">
        <v>33</v>
      </c>
      <c r="E148" s="59">
        <f>IF(AND(E141=0,E142=0),0,E143)</f>
        <v>0</v>
      </c>
      <c r="F148" s="59">
        <f t="shared" ref="F148:W148" si="127">IF(AND(F141=0,F142=0),0,F143)</f>
        <v>0</v>
      </c>
      <c r="G148" s="59">
        <f t="shared" si="127"/>
        <v>0</v>
      </c>
      <c r="H148" s="59">
        <f t="shared" si="127"/>
        <v>0</v>
      </c>
      <c r="I148" s="59">
        <f t="shared" si="127"/>
        <v>0</v>
      </c>
      <c r="J148" s="59">
        <f t="shared" si="127"/>
        <v>0</v>
      </c>
      <c r="K148" s="59">
        <f t="shared" si="127"/>
        <v>0</v>
      </c>
      <c r="L148" s="59">
        <f t="shared" si="127"/>
        <v>0</v>
      </c>
      <c r="M148" s="59">
        <f t="shared" si="127"/>
        <v>0</v>
      </c>
      <c r="N148" s="59">
        <f t="shared" si="127"/>
        <v>0</v>
      </c>
      <c r="O148" s="59">
        <f t="shared" si="127"/>
        <v>0</v>
      </c>
      <c r="P148" s="59">
        <f t="shared" si="127"/>
        <v>0</v>
      </c>
      <c r="Q148" s="59">
        <f t="shared" si="127"/>
        <v>0</v>
      </c>
      <c r="R148" s="59">
        <f t="shared" si="127"/>
        <v>0</v>
      </c>
      <c r="S148" s="59">
        <f t="shared" si="127"/>
        <v>0</v>
      </c>
      <c r="T148" s="59">
        <f t="shared" si="127"/>
        <v>0</v>
      </c>
      <c r="U148" s="59">
        <f t="shared" si="127"/>
        <v>0</v>
      </c>
      <c r="V148" s="59">
        <f t="shared" si="127"/>
        <v>0</v>
      </c>
      <c r="W148" s="59">
        <f t="shared" si="127"/>
        <v>0</v>
      </c>
      <c r="Y148" s="61"/>
      <c r="Z148" s="61"/>
      <c r="AA148" s="61"/>
    </row>
    <row r="149" spans="2:27" s="59" customFormat="1" x14ac:dyDescent="0.2">
      <c r="C149" s="65" t="s">
        <v>34</v>
      </c>
      <c r="E149" s="59">
        <f>IF(AND(E141=0,E142=0),0,E145)</f>
        <v>0</v>
      </c>
      <c r="F149" s="59">
        <f t="shared" ref="F149:W149" si="128">IF(AND(F141=0,F142=0),0,F145)</f>
        <v>0</v>
      </c>
      <c r="G149" s="59">
        <f t="shared" si="128"/>
        <v>0</v>
      </c>
      <c r="H149" s="59">
        <f t="shared" si="128"/>
        <v>0</v>
      </c>
      <c r="I149" s="59">
        <f t="shared" si="128"/>
        <v>0</v>
      </c>
      <c r="J149" s="59">
        <f t="shared" si="128"/>
        <v>0</v>
      </c>
      <c r="K149" s="59">
        <f t="shared" si="128"/>
        <v>0</v>
      </c>
      <c r="L149" s="59">
        <f t="shared" si="128"/>
        <v>0</v>
      </c>
      <c r="M149" s="59">
        <f t="shared" si="128"/>
        <v>0</v>
      </c>
      <c r="N149" s="59">
        <f t="shared" si="128"/>
        <v>0</v>
      </c>
      <c r="O149" s="59">
        <f t="shared" si="128"/>
        <v>0</v>
      </c>
      <c r="P149" s="59">
        <f t="shared" si="128"/>
        <v>0</v>
      </c>
      <c r="Q149" s="59">
        <f t="shared" si="128"/>
        <v>0</v>
      </c>
      <c r="R149" s="59">
        <f t="shared" si="128"/>
        <v>0</v>
      </c>
      <c r="S149" s="59">
        <f t="shared" si="128"/>
        <v>0</v>
      </c>
      <c r="T149" s="59">
        <f t="shared" si="128"/>
        <v>0</v>
      </c>
      <c r="U149" s="59">
        <f t="shared" si="128"/>
        <v>0</v>
      </c>
      <c r="V149" s="59">
        <f t="shared" si="128"/>
        <v>0</v>
      </c>
      <c r="W149" s="59">
        <f t="shared" si="128"/>
        <v>0</v>
      </c>
      <c r="Y149" s="61"/>
      <c r="Z149" s="61"/>
      <c r="AA149" s="61"/>
    </row>
    <row r="150" spans="2:27" s="59" customFormat="1" x14ac:dyDescent="0.2">
      <c r="Y150" s="61"/>
      <c r="Z150" s="61"/>
      <c r="AA150" s="61"/>
    </row>
    <row r="151" spans="2:27" s="59" customFormat="1" x14ac:dyDescent="0.2">
      <c r="B151" s="112" t="s">
        <v>70</v>
      </c>
      <c r="C151" s="62" t="s">
        <v>33</v>
      </c>
      <c r="E151" s="77">
        <f>E106+E114+E120+E131+E138+E148</f>
        <v>-25</v>
      </c>
      <c r="F151" s="77">
        <f t="shared" ref="F151:W151" si="129">F106+F114+F120+F131+F138+F148</f>
        <v>-25</v>
      </c>
      <c r="G151" s="77">
        <f t="shared" si="129"/>
        <v>-25</v>
      </c>
      <c r="H151" s="77">
        <f t="shared" si="129"/>
        <v>-25</v>
      </c>
      <c r="I151" s="77">
        <f t="shared" si="129"/>
        <v>20</v>
      </c>
      <c r="J151" s="77">
        <f t="shared" si="129"/>
        <v>7.298095599907235</v>
      </c>
      <c r="K151" s="77">
        <f t="shared" si="129"/>
        <v>7.298095599907235</v>
      </c>
      <c r="L151" s="77">
        <f t="shared" si="129"/>
        <v>8</v>
      </c>
      <c r="M151" s="77">
        <f t="shared" si="129"/>
        <v>8</v>
      </c>
      <c r="N151" s="77">
        <f t="shared" si="129"/>
        <v>20</v>
      </c>
      <c r="O151" s="77">
        <f t="shared" si="129"/>
        <v>35</v>
      </c>
      <c r="P151" s="77">
        <f t="shared" si="129"/>
        <v>16</v>
      </c>
      <c r="Q151" s="77">
        <f t="shared" si="129"/>
        <v>16</v>
      </c>
      <c r="R151" s="77">
        <f t="shared" si="129"/>
        <v>20</v>
      </c>
      <c r="S151" s="77">
        <f t="shared" si="129"/>
        <v>20</v>
      </c>
      <c r="T151" s="77">
        <f t="shared" si="129"/>
        <v>20</v>
      </c>
      <c r="U151" s="77">
        <f t="shared" si="129"/>
        <v>20</v>
      </c>
      <c r="V151" s="77">
        <f t="shared" si="129"/>
        <v>0</v>
      </c>
      <c r="W151" s="77">
        <f t="shared" si="129"/>
        <v>0</v>
      </c>
      <c r="Y151" s="61"/>
      <c r="Z151" s="61"/>
      <c r="AA151" s="61"/>
    </row>
    <row r="152" spans="2:27" s="59" customFormat="1" x14ac:dyDescent="0.2">
      <c r="C152" s="62" t="s">
        <v>34</v>
      </c>
      <c r="E152" s="77">
        <f>E107+E115+E121+E132+E139+E149</f>
        <v>8.3203757830561539E-2</v>
      </c>
      <c r="F152" s="77">
        <f t="shared" ref="F152:W152" si="130">IF(F14="-",E152,F107+F115+F121+F132+F139+F149)</f>
        <v>8.3203757830561539E-2</v>
      </c>
      <c r="G152" s="77">
        <f t="shared" si="130"/>
        <v>8.3203757830561539E-2</v>
      </c>
      <c r="H152" s="77">
        <f t="shared" si="130"/>
        <v>8.3203757830561539E-2</v>
      </c>
      <c r="I152" s="77">
        <f t="shared" si="130"/>
        <v>9.3757233081908904</v>
      </c>
      <c r="J152" s="77">
        <f t="shared" si="130"/>
        <v>6.7207177223736538</v>
      </c>
      <c r="K152" s="77">
        <f t="shared" si="130"/>
        <v>6.6496099596165939E-2</v>
      </c>
      <c r="L152" s="77">
        <f t="shared" si="130"/>
        <v>6.6496099596165939E-2</v>
      </c>
      <c r="M152" s="77">
        <f t="shared" si="130"/>
        <v>6.6489064798930036E-4</v>
      </c>
      <c r="N152" s="77">
        <f t="shared" si="130"/>
        <v>6.6489064798930036E-4</v>
      </c>
      <c r="O152" s="77">
        <f t="shared" si="130"/>
        <v>15.17511246915182</v>
      </c>
      <c r="P152" s="77">
        <f t="shared" si="130"/>
        <v>9.2012211080269264</v>
      </c>
      <c r="Q152" s="77">
        <f t="shared" si="130"/>
        <v>9.0684559843778378E-2</v>
      </c>
      <c r="R152" s="77">
        <f t="shared" si="130"/>
        <v>9.0684559843778378E-2</v>
      </c>
      <c r="S152" s="77">
        <f t="shared" si="130"/>
        <v>9.0671476786990859E-4</v>
      </c>
      <c r="T152" s="77">
        <f>IF(T14="-",#REF!,T107+T115+T121+T132+T139+T149)</f>
        <v>9.0671345975486622E-6</v>
      </c>
      <c r="U152" s="77">
        <f t="shared" si="130"/>
        <v>9.0671344667373509E-8</v>
      </c>
      <c r="V152" s="77">
        <f t="shared" si="130"/>
        <v>9.0671344667373509E-8</v>
      </c>
      <c r="W152" s="77">
        <f t="shared" si="130"/>
        <v>9.0671344667373509E-8</v>
      </c>
      <c r="Y152" s="61"/>
      <c r="Z152" s="61"/>
      <c r="AA152" s="61"/>
    </row>
    <row r="153" spans="2:27" s="59" customFormat="1" x14ac:dyDescent="0.2">
      <c r="C153" s="62" t="s">
        <v>8</v>
      </c>
      <c r="E153" s="77">
        <f>(E19-E152*2.501)/1.01</f>
        <v>-25.003830668058537</v>
      </c>
      <c r="F153" s="77">
        <f t="shared" ref="F153:W153" si="131">IF(F14="-",E153,(F19-F152*2.501)/1.01)</f>
        <v>-25.003830668058537</v>
      </c>
      <c r="G153" s="77">
        <f t="shared" si="131"/>
        <v>-25.003830668058537</v>
      </c>
      <c r="H153" s="77">
        <f t="shared" si="131"/>
        <v>-25.003830668058537</v>
      </c>
      <c r="I153" s="77">
        <f t="shared" si="131"/>
        <v>20.345323670361086</v>
      </c>
      <c r="J153" s="77">
        <f t="shared" si="131"/>
        <v>7.3884224308126258</v>
      </c>
      <c r="K153" s="77">
        <f t="shared" si="131"/>
        <v>7.2989893112922699</v>
      </c>
      <c r="L153" s="77">
        <f t="shared" si="131"/>
        <v>8.0009796653089023</v>
      </c>
      <c r="M153" s="77">
        <f t="shared" si="131"/>
        <v>8.0000097956166751</v>
      </c>
      <c r="N153" s="77">
        <f t="shared" si="131"/>
        <v>20.000024489041689</v>
      </c>
      <c r="O153" s="77">
        <f t="shared" si="131"/>
        <v>35.978118635387915</v>
      </c>
      <c r="P153" s="77">
        <f t="shared" si="131"/>
        <v>16.271117168489983</v>
      </c>
      <c r="Q153" s="77">
        <f t="shared" si="131"/>
        <v>16.00267205198114</v>
      </c>
      <c r="R153" s="77">
        <f t="shared" si="131"/>
        <v>20.003340064976424</v>
      </c>
      <c r="S153" s="77">
        <f t="shared" si="131"/>
        <v>20.000033395831053</v>
      </c>
      <c r="T153" s="77">
        <f>IF(T14="-",#REF!,(T19-T152*2.501)/1.01)</f>
        <v>20.000000333957825</v>
      </c>
      <c r="U153" s="77">
        <f t="shared" si="131"/>
        <v>20.000000003339579</v>
      </c>
      <c r="V153" s="77">
        <f t="shared" si="131"/>
        <v>20.000000003339579</v>
      </c>
      <c r="W153" s="77">
        <f t="shared" si="131"/>
        <v>20.000000003339579</v>
      </c>
      <c r="Y153" s="61"/>
      <c r="Z153" s="61"/>
      <c r="AA153" s="61"/>
    </row>
    <row r="154" spans="2:27" s="59" customFormat="1" x14ac:dyDescent="0.2">
      <c r="C154" s="62" t="s">
        <v>31</v>
      </c>
      <c r="E154" s="77">
        <f>IF(E151&lt;-50,#N/A,IF(E151&lt;0,EXP((1738.4+28.74*E151)/(271+E151)),IF(E151&lt;=100,EXP((1500.3+23.5*E151)/(234+E151)),#N/A)))</f>
        <v>63.176661908168398</v>
      </c>
      <c r="F154" s="77">
        <f t="shared" ref="F154:W154" si="132">IF(F151&lt;-50,#N/A,IF(F151&lt;0,EXP((1738.4+28.74*F151)/(271+F151)),IF(F151&lt;=100,EXP((1500.3+23.5*F151)/(234+F151)),#N/A)))</f>
        <v>63.176661908168398</v>
      </c>
      <c r="G154" s="77">
        <f t="shared" si="132"/>
        <v>63.176661908168398</v>
      </c>
      <c r="H154" s="77">
        <f t="shared" si="132"/>
        <v>63.176661908168398</v>
      </c>
      <c r="I154" s="77">
        <f t="shared" si="132"/>
        <v>2338.0829353370973</v>
      </c>
      <c r="J154" s="77">
        <f t="shared" si="132"/>
        <v>1020.8403484143772</v>
      </c>
      <c r="K154" s="77">
        <f t="shared" si="132"/>
        <v>1020.8403484143772</v>
      </c>
      <c r="L154" s="77">
        <f t="shared" si="132"/>
        <v>1071.1051886578423</v>
      </c>
      <c r="M154" s="77">
        <f t="shared" si="132"/>
        <v>1071.1051886578423</v>
      </c>
      <c r="N154" s="77">
        <f t="shared" si="132"/>
        <v>2338.0829353370973</v>
      </c>
      <c r="O154" s="77">
        <f t="shared" si="132"/>
        <v>5624.8200638844883</v>
      </c>
      <c r="P154" s="77">
        <f t="shared" si="132"/>
        <v>1817.4687221706879</v>
      </c>
      <c r="Q154" s="77">
        <f t="shared" si="132"/>
        <v>1817.4687221706879</v>
      </c>
      <c r="R154" s="77">
        <f t="shared" si="132"/>
        <v>2338.0829353370973</v>
      </c>
      <c r="S154" s="77">
        <f t="shared" si="132"/>
        <v>2338.0829353370973</v>
      </c>
      <c r="T154" s="77">
        <f t="shared" si="132"/>
        <v>2338.0829353370973</v>
      </c>
      <c r="U154" s="77">
        <f t="shared" si="132"/>
        <v>2338.0829353370973</v>
      </c>
      <c r="V154" s="77">
        <f t="shared" si="132"/>
        <v>608.82962187913188</v>
      </c>
      <c r="W154" s="77">
        <f t="shared" si="132"/>
        <v>608.82962187913188</v>
      </c>
      <c r="Y154" s="61"/>
      <c r="Z154" s="61"/>
      <c r="AA154" s="61"/>
    </row>
    <row r="155" spans="2:27" s="59" customFormat="1" x14ac:dyDescent="0.2">
      <c r="C155" s="59" t="s">
        <v>3</v>
      </c>
      <c r="E155" s="77">
        <f>1.01*E151+(2501+1.86*E151)*E152/1000</f>
        <v>-25.045776376404888</v>
      </c>
      <c r="F155" s="77">
        <f t="shared" ref="F155:W155" si="133">1.01*F151+(2501+1.86*F151)*F152/1000</f>
        <v>-25.045776376404888</v>
      </c>
      <c r="G155" s="77">
        <f t="shared" si="133"/>
        <v>-25.045776376404888</v>
      </c>
      <c r="H155" s="77">
        <f t="shared" si="133"/>
        <v>-25.045776376404888</v>
      </c>
      <c r="I155" s="77">
        <f t="shared" si="133"/>
        <v>43.997460900850115</v>
      </c>
      <c r="J155" s="77">
        <f t="shared" si="133"/>
        <v>24.27082167877726</v>
      </c>
      <c r="K155" s="77">
        <f t="shared" si="133"/>
        <v>7.5382859494952035</v>
      </c>
      <c r="L155" s="77">
        <f t="shared" si="133"/>
        <v>8.2472962070520026</v>
      </c>
      <c r="M155" s="77">
        <f t="shared" si="133"/>
        <v>8.0816727850834642</v>
      </c>
      <c r="N155" s="77">
        <f t="shared" si="133"/>
        <v>20.201687625442727</v>
      </c>
      <c r="O155" s="77">
        <f t="shared" si="133"/>
        <v>74.290856107090491</v>
      </c>
      <c r="P155" s="77">
        <f t="shared" si="133"/>
        <v>39.446082331350226</v>
      </c>
      <c r="Q155" s="77">
        <f t="shared" si="133"/>
        <v>16.389500856670242</v>
      </c>
      <c r="R155" s="77">
        <f t="shared" si="133"/>
        <v>20.430175549795479</v>
      </c>
      <c r="S155" s="77">
        <f t="shared" si="133"/>
        <v>20.202301423423808</v>
      </c>
      <c r="T155" s="77">
        <f t="shared" si="133"/>
        <v>20.200023014201033</v>
      </c>
      <c r="U155" s="77">
        <f t="shared" si="133"/>
        <v>20.200000230142006</v>
      </c>
      <c r="V155" s="77">
        <f t="shared" si="133"/>
        <v>2.2676903301310114E-7</v>
      </c>
      <c r="W155" s="77">
        <f t="shared" si="133"/>
        <v>2.2676903301310114E-7</v>
      </c>
      <c r="Y155" s="61"/>
      <c r="Z155" s="61"/>
      <c r="AA155" s="61"/>
    </row>
    <row r="156" spans="2:27" s="59" customFormat="1" ht="38.25" x14ac:dyDescent="0.2">
      <c r="B156" s="64" t="s">
        <v>116</v>
      </c>
      <c r="C156" s="113" t="s">
        <v>0</v>
      </c>
      <c r="E156" s="59">
        <v>-25.736542713815986</v>
      </c>
      <c r="F156" s="59">
        <v>-25.736542701112796</v>
      </c>
      <c r="G156" s="59">
        <v>-25.736542710631916</v>
      </c>
      <c r="H156" s="59">
        <v>-25.736542713815986</v>
      </c>
      <c r="I156" s="59">
        <v>14.98170477717769</v>
      </c>
      <c r="J156" s="59">
        <v>7.2137861699457364</v>
      </c>
      <c r="K156" s="59">
        <v>-1.4266132023409732</v>
      </c>
      <c r="L156" s="59">
        <v>-1.1207509577152117</v>
      </c>
      <c r="M156" s="59">
        <v>-1.1213952521538815</v>
      </c>
      <c r="N156" s="59">
        <v>5.3064115875936508</v>
      </c>
      <c r="O156" s="59">
        <v>-2.6495095945477067</v>
      </c>
      <c r="P156" s="59">
        <v>-2.6495095945477067</v>
      </c>
      <c r="Q156" s="59">
        <v>-2.6495095945477067</v>
      </c>
      <c r="R156" s="59">
        <v>-2.6495095945477067</v>
      </c>
      <c r="S156" s="59">
        <v>-2.6495095945477067</v>
      </c>
      <c r="T156" s="59">
        <v>-2.6495095945477067</v>
      </c>
      <c r="U156" s="59">
        <v>-2.6495095945477067</v>
      </c>
      <c r="V156" s="59">
        <v>-2.6495095945477067</v>
      </c>
      <c r="W156" s="59">
        <v>-2.6495095945477067</v>
      </c>
      <c r="Y156" s="61"/>
      <c r="Z156" s="61"/>
      <c r="AA156" s="61"/>
    </row>
    <row r="157" spans="2:27" s="59" customFormat="1" x14ac:dyDescent="0.2">
      <c r="C157" s="113" t="s">
        <v>31</v>
      </c>
      <c r="E157" s="70">
        <f>IF(E156&lt;-50,#N/A,IF(E156&lt;0,EXP((1738.4+28.74*E156)/(271+E156)),IF(E156&lt;=100,EXP((1500.3+23.5*E156)/(234+E156)),#N/A)))</f>
        <v>58.678730708358543</v>
      </c>
      <c r="F157" s="70">
        <f t="shared" ref="F157:W157" si="134">IF(F156&lt;-50,#N/A,IF(F156&lt;0,EXP((1738.4+28.74*F156)/(271+F156)),IF(F156&lt;=100,EXP((1500.3+23.5*F156)/(234+F156)),#N/A)))</f>
        <v>58.678730783329527</v>
      </c>
      <c r="G157" s="70">
        <f t="shared" si="134"/>
        <v>58.678730727150125</v>
      </c>
      <c r="H157" s="70">
        <f t="shared" si="134"/>
        <v>58.678730708358543</v>
      </c>
      <c r="I157" s="70">
        <f t="shared" si="134"/>
        <v>1702.3821849147248</v>
      </c>
      <c r="J157" s="70">
        <f t="shared" si="134"/>
        <v>1014.9445904961127</v>
      </c>
      <c r="K157" s="70">
        <f t="shared" si="134"/>
        <v>542.73025268227377</v>
      </c>
      <c r="L157" s="70">
        <f t="shared" si="134"/>
        <v>556.712076701559</v>
      </c>
      <c r="M157" s="70">
        <f t="shared" si="134"/>
        <v>556.68228255987378</v>
      </c>
      <c r="N157" s="70">
        <f t="shared" si="134"/>
        <v>889.32276676527488</v>
      </c>
      <c r="O157" s="70">
        <f t="shared" si="134"/>
        <v>489.96598295343301</v>
      </c>
      <c r="P157" s="70">
        <f t="shared" si="134"/>
        <v>489.96598295343301</v>
      </c>
      <c r="Q157" s="70">
        <f t="shared" si="134"/>
        <v>489.96598295343301</v>
      </c>
      <c r="R157" s="70">
        <f t="shared" si="134"/>
        <v>489.96598295343301</v>
      </c>
      <c r="S157" s="70">
        <f t="shared" si="134"/>
        <v>489.96598295343301</v>
      </c>
      <c r="T157" s="70">
        <f t="shared" si="134"/>
        <v>489.96598295343301</v>
      </c>
      <c r="U157" s="70">
        <f t="shared" si="134"/>
        <v>489.96598295343301</v>
      </c>
      <c r="V157" s="70">
        <f t="shared" si="134"/>
        <v>489.96598295343301</v>
      </c>
      <c r="W157" s="70">
        <f t="shared" si="134"/>
        <v>489.96598295343301</v>
      </c>
      <c r="Y157" s="61"/>
      <c r="Z157" s="61"/>
      <c r="AA157" s="61"/>
    </row>
    <row r="158" spans="2:27" s="59" customFormat="1" x14ac:dyDescent="0.2">
      <c r="C158" s="113" t="s">
        <v>37</v>
      </c>
      <c r="E158" s="59">
        <f>0.6222*E157/(Tlak_vzduchu-E157/1000)</f>
        <v>0.38658826196041562</v>
      </c>
      <c r="F158" s="59">
        <f t="shared" ref="F158:N158" si="135">0.6222*F157/(Tlak_vzduchu-F157/1000)</f>
        <v>0.38658826245464761</v>
      </c>
      <c r="G158" s="59">
        <f t="shared" si="135"/>
        <v>0.38658826208429553</v>
      </c>
      <c r="H158" s="59">
        <f t="shared" si="135"/>
        <v>0.38658826196041562</v>
      </c>
      <c r="I158" s="59">
        <f t="shared" si="135"/>
        <v>11.414325285425091</v>
      </c>
      <c r="J158" s="59">
        <f t="shared" si="135"/>
        <v>6.7550746099518468</v>
      </c>
      <c r="K158" s="59">
        <f t="shared" si="135"/>
        <v>3.5940461459455189</v>
      </c>
      <c r="L158" s="59">
        <f t="shared" si="135"/>
        <v>3.6871847023975017</v>
      </c>
      <c r="M158" s="59">
        <f t="shared" si="135"/>
        <v>3.6869862021538116</v>
      </c>
      <c r="N158" s="59">
        <f t="shared" si="135"/>
        <v>5.9110417939044897</v>
      </c>
      <c r="O158" s="59">
        <f t="shared" ref="O158:W158" si="136">0.6222*O157/(Tlak_vzduchu-O157/1000)</f>
        <v>3.2428116613418863</v>
      </c>
      <c r="P158" s="59">
        <f t="shared" si="136"/>
        <v>3.2428116613418863</v>
      </c>
      <c r="Q158" s="59">
        <f t="shared" si="136"/>
        <v>3.2428116613418863</v>
      </c>
      <c r="R158" s="59">
        <f t="shared" si="136"/>
        <v>3.2428116613418863</v>
      </c>
      <c r="S158" s="59">
        <f t="shared" si="136"/>
        <v>3.2428116613418863</v>
      </c>
      <c r="T158" s="59">
        <f t="shared" si="136"/>
        <v>3.2428116613418863</v>
      </c>
      <c r="U158" s="59">
        <f t="shared" si="136"/>
        <v>3.2428116613418863</v>
      </c>
      <c r="V158" s="59">
        <f t="shared" si="136"/>
        <v>3.2428116613418863</v>
      </c>
      <c r="W158" s="59">
        <f t="shared" si="136"/>
        <v>3.2428116613418863</v>
      </c>
      <c r="Y158" s="61"/>
      <c r="Z158" s="61"/>
      <c r="AA158" s="61"/>
    </row>
    <row r="159" spans="2:27" s="59" customFormat="1" x14ac:dyDescent="0.2">
      <c r="C159" s="113" t="s">
        <v>38</v>
      </c>
      <c r="E159" s="59">
        <f>(E155-1.01*E156)/(2501+1.86*E156)*1000</f>
        <v>0.38649878022804823</v>
      </c>
      <c r="F159" s="59">
        <f t="shared" ref="F159:W159" si="137">(F155-1.01*F156)/(2501+1.86*F156)*1000</f>
        <v>0.38649877499418134</v>
      </c>
      <c r="G159" s="59">
        <f t="shared" si="137"/>
        <v>0.38649877891617246</v>
      </c>
      <c r="H159" s="59">
        <f t="shared" si="137"/>
        <v>0.38649878022804823</v>
      </c>
      <c r="I159" s="59">
        <f t="shared" si="137"/>
        <v>11.414578474395169</v>
      </c>
      <c r="J159" s="59">
        <f t="shared" si="137"/>
        <v>6.7550025745750846</v>
      </c>
      <c r="K159" s="59">
        <f t="shared" si="137"/>
        <v>3.5940432145257466</v>
      </c>
      <c r="L159" s="59">
        <f t="shared" si="137"/>
        <v>3.7533302096836536</v>
      </c>
      <c r="M159" s="59">
        <f t="shared" si="137"/>
        <v>3.6873142631089504</v>
      </c>
      <c r="N159" s="59">
        <f t="shared" si="137"/>
        <v>5.9111831206089667</v>
      </c>
      <c r="O159" s="59">
        <f t="shared" si="137"/>
        <v>30.835193658807817</v>
      </c>
      <c r="P159" s="59">
        <f t="shared" si="137"/>
        <v>16.87534995155309</v>
      </c>
      <c r="Q159" s="59">
        <f t="shared" si="137"/>
        <v>7.6382036328070599</v>
      </c>
      <c r="R159" s="59">
        <f t="shared" si="137"/>
        <v>9.2570170465752906</v>
      </c>
      <c r="S159" s="59">
        <f t="shared" si="137"/>
        <v>9.1657239531102803</v>
      </c>
      <c r="T159" s="59">
        <f t="shared" si="137"/>
        <v>9.1648111552010221</v>
      </c>
      <c r="U159" s="59">
        <f t="shared" si="137"/>
        <v>9.1648020272352309</v>
      </c>
      <c r="V159" s="59">
        <f t="shared" si="137"/>
        <v>1.0720864668329173</v>
      </c>
      <c r="W159" s="59">
        <f t="shared" si="137"/>
        <v>1.0720864668329173</v>
      </c>
      <c r="Y159" s="61"/>
      <c r="Z159" s="61"/>
      <c r="AA159" s="61"/>
    </row>
    <row r="160" spans="2:27" s="59" customFormat="1" x14ac:dyDescent="0.2">
      <c r="C160" s="114" t="s">
        <v>39</v>
      </c>
      <c r="E160" s="59">
        <f>E158-E159</f>
        <v>8.948173236739132E-5</v>
      </c>
      <c r="F160" s="59">
        <f t="shared" ref="F160:W160" si="138">F158-F159</f>
        <v>8.9487460466275426E-5</v>
      </c>
      <c r="G160" s="59">
        <f t="shared" si="138"/>
        <v>8.9483168123072332E-5</v>
      </c>
      <c r="H160" s="59">
        <f t="shared" si="138"/>
        <v>8.948173236739132E-5</v>
      </c>
      <c r="I160" s="59">
        <f t="shared" si="138"/>
        <v>-2.5318897007764463E-4</v>
      </c>
      <c r="J160" s="59">
        <f t="shared" si="138"/>
        <v>7.2035376762258352E-5</v>
      </c>
      <c r="K160" s="59">
        <f t="shared" si="138"/>
        <v>2.9314197722563051E-6</v>
      </c>
      <c r="L160" s="59">
        <f t="shared" si="138"/>
        <v>-6.6145507286151872E-2</v>
      </c>
      <c r="M160" s="59">
        <f t="shared" si="138"/>
        <v>-3.2806095513882028E-4</v>
      </c>
      <c r="N160" s="59">
        <f t="shared" si="138"/>
        <v>-1.4132670447697393E-4</v>
      </c>
      <c r="O160" s="59">
        <f t="shared" si="138"/>
        <v>-27.592381997465932</v>
      </c>
      <c r="P160" s="59">
        <f t="shared" si="138"/>
        <v>-13.632538290211205</v>
      </c>
      <c r="Q160" s="59">
        <f t="shared" si="138"/>
        <v>-4.3953919714651732</v>
      </c>
      <c r="R160" s="59">
        <f t="shared" si="138"/>
        <v>-6.0142053852334048</v>
      </c>
      <c r="S160" s="59">
        <f t="shared" si="138"/>
        <v>-5.9229122917683945</v>
      </c>
      <c r="T160" s="59">
        <f t="shared" si="138"/>
        <v>-5.9219994938591363</v>
      </c>
      <c r="U160" s="59">
        <f t="shared" si="138"/>
        <v>-5.921990365893345</v>
      </c>
      <c r="V160" s="59">
        <f t="shared" si="138"/>
        <v>2.1707251945089689</v>
      </c>
      <c r="W160" s="59">
        <f t="shared" si="138"/>
        <v>2.1707251945089689</v>
      </c>
      <c r="Y160" s="61"/>
      <c r="Z160" s="61"/>
      <c r="AA160" s="61"/>
    </row>
    <row r="161" spans="2:27" s="59" customFormat="1" x14ac:dyDescent="0.2">
      <c r="B161" s="59" t="s">
        <v>49</v>
      </c>
      <c r="Y161" s="61"/>
      <c r="Z161" s="61"/>
      <c r="AA161" s="61"/>
    </row>
    <row r="162" spans="2:27" s="59" customFormat="1" x14ac:dyDescent="0.2">
      <c r="B162" s="59" t="s">
        <v>50</v>
      </c>
      <c r="C162" s="59">
        <v>1</v>
      </c>
      <c r="D162" s="59" t="s">
        <v>2</v>
      </c>
      <c r="E162" s="59">
        <f>IF(E$14="",E$152,-1)</f>
        <v>8.3203757830561539E-2</v>
      </c>
      <c r="Y162" s="61"/>
      <c r="Z162" s="61"/>
      <c r="AA162" s="61"/>
    </row>
    <row r="163" spans="2:27" s="59" customFormat="1" x14ac:dyDescent="0.2">
      <c r="D163" s="59" t="s">
        <v>8</v>
      </c>
      <c r="E163" s="59">
        <f>IF(E$14="",E$153,0)</f>
        <v>-25.003830668058537</v>
      </c>
      <c r="Y163" s="61"/>
      <c r="Z163" s="61"/>
      <c r="AA163" s="61"/>
    </row>
    <row r="164" spans="2:27" s="59" customFormat="1" x14ac:dyDescent="0.2">
      <c r="C164" s="59">
        <f>C162+1</f>
        <v>2</v>
      </c>
      <c r="D164" s="59" t="s">
        <v>2</v>
      </c>
      <c r="E164" s="59">
        <f>IF(F$28&lt;&gt;0,E$152,F164)</f>
        <v>8.3203757830561539E-2</v>
      </c>
      <c r="F164" s="59">
        <f>IF(F$14="",F$152,-1)</f>
        <v>8.3203757830561539E-2</v>
      </c>
      <c r="Y164" s="61"/>
      <c r="Z164" s="61"/>
      <c r="AA164" s="61"/>
    </row>
    <row r="165" spans="2:27" s="59" customFormat="1" x14ac:dyDescent="0.2">
      <c r="D165" s="59" t="s">
        <v>8</v>
      </c>
      <c r="E165" s="59">
        <f>IF(F$28&lt;&gt;0,E$153,F165)</f>
        <v>-25.003830668058537</v>
      </c>
      <c r="F165" s="59">
        <f>IF(F$14="",F$153,0)</f>
        <v>-25.003830668058537</v>
      </c>
      <c r="Y165" s="61"/>
      <c r="Z165" s="61"/>
      <c r="AA165" s="61"/>
    </row>
    <row r="166" spans="2:27" s="59" customFormat="1" x14ac:dyDescent="0.2">
      <c r="C166" s="59">
        <f>C164+1</f>
        <v>3</v>
      </c>
      <c r="D166" s="59" t="s">
        <v>2</v>
      </c>
      <c r="F166" s="59">
        <f>IF(G$28&lt;&gt;0,F$152,G166)</f>
        <v>8.3203757830561539E-2</v>
      </c>
      <c r="G166" s="59">
        <f>IF(G$14="",G$152,-1)</f>
        <v>8.3203757830561539E-2</v>
      </c>
      <c r="H166" s="59">
        <f>IF(G$28=5,E$152,G166)</f>
        <v>8.3203757830561539E-2</v>
      </c>
      <c r="Y166" s="61"/>
      <c r="Z166" s="61"/>
      <c r="AA166" s="61"/>
    </row>
    <row r="167" spans="2:27" s="59" customFormat="1" x14ac:dyDescent="0.2">
      <c r="D167" s="59" t="s">
        <v>8</v>
      </c>
      <c r="F167" s="59">
        <f>IF(G$28&lt;&gt;0,F$153,G167)</f>
        <v>-25.003830668058537</v>
      </c>
      <c r="G167" s="59">
        <f>IF(G$14="",G$153,0)</f>
        <v>-25.003830668058537</v>
      </c>
      <c r="H167" s="59">
        <f>IF(G$28=5,E$153,G167)</f>
        <v>-25.003830668058537</v>
      </c>
      <c r="Y167" s="61"/>
      <c r="Z167" s="61"/>
      <c r="AA167" s="61"/>
    </row>
    <row r="168" spans="2:27" s="59" customFormat="1" x14ac:dyDescent="0.2">
      <c r="C168" s="59">
        <f>C166+1</f>
        <v>4</v>
      </c>
      <c r="D168" s="59" t="s">
        <v>2</v>
      </c>
      <c r="G168" s="59">
        <f>IF(H$28&lt;&gt;0,G$152,H168)</f>
        <v>8.3203757830561539E-2</v>
      </c>
      <c r="H168" s="59">
        <f>IF(H$14="",H$152,-1)</f>
        <v>8.3203757830561539E-2</v>
      </c>
      <c r="I168" s="59">
        <f>IF(H$28=5,F$152,H168)</f>
        <v>8.3203757830561539E-2</v>
      </c>
      <c r="Y168" s="61"/>
      <c r="Z168" s="61"/>
      <c r="AA168" s="61"/>
    </row>
    <row r="169" spans="2:27" s="59" customFormat="1" x14ac:dyDescent="0.2">
      <c r="D169" s="59" t="s">
        <v>8</v>
      </c>
      <c r="G169" s="59">
        <f>IF(H$28&lt;&gt;0,G$153,H169)</f>
        <v>-25.003830668058537</v>
      </c>
      <c r="H169" s="59">
        <f>IF(H$14="",H$153,0)</f>
        <v>-25.003830668058537</v>
      </c>
      <c r="I169" s="59">
        <f>IF(H$28=5,F$153,H169)</f>
        <v>-25.003830668058537</v>
      </c>
      <c r="Y169" s="61"/>
      <c r="Z169" s="61"/>
      <c r="AA169" s="61"/>
    </row>
    <row r="170" spans="2:27" s="59" customFormat="1" x14ac:dyDescent="0.2">
      <c r="C170" s="59">
        <f>C168+1</f>
        <v>5</v>
      </c>
      <c r="D170" s="59" t="s">
        <v>2</v>
      </c>
      <c r="H170" s="59">
        <f>IF(I$28&lt;&gt;0,H$152,I170)</f>
        <v>9.3757233081908904</v>
      </c>
      <c r="I170" s="59">
        <f>IF(I$14="",I$152,-1)</f>
        <v>9.3757233081908904</v>
      </c>
      <c r="J170" s="59">
        <f>IF(I$28=5,G$152,I170)</f>
        <v>9.3757233081908904</v>
      </c>
      <c r="Y170" s="61"/>
      <c r="Z170" s="61"/>
      <c r="AA170" s="61"/>
    </row>
    <row r="171" spans="2:27" s="59" customFormat="1" x14ac:dyDescent="0.2">
      <c r="D171" s="59" t="s">
        <v>8</v>
      </c>
      <c r="H171" s="59">
        <f>IF(I$28&lt;&gt;0,H$153,I171)</f>
        <v>20.345323670361086</v>
      </c>
      <c r="I171" s="59">
        <f>IF(I$14="",I$153,0)</f>
        <v>20.345323670361086</v>
      </c>
      <c r="J171" s="59">
        <f>IF(I$28=5,G$153,I171)</f>
        <v>20.345323670361086</v>
      </c>
      <c r="Y171" s="61"/>
      <c r="Z171" s="61"/>
      <c r="AA171" s="61"/>
    </row>
    <row r="172" spans="2:27" s="59" customFormat="1" x14ac:dyDescent="0.2">
      <c r="C172" s="59">
        <f>C170+1</f>
        <v>6</v>
      </c>
      <c r="D172" s="59" t="s">
        <v>2</v>
      </c>
      <c r="I172" s="59">
        <f>IF(J$28&lt;&gt;0,I$152,J172)</f>
        <v>9.3757233081908904</v>
      </c>
      <c r="J172" s="59">
        <f>IF(J$14="",J$152,-1)</f>
        <v>6.7207177223736538</v>
      </c>
      <c r="K172" s="59">
        <f>IF(J$28=5,H$152,J172)</f>
        <v>8.3203757830561539E-2</v>
      </c>
      <c r="Y172" s="61"/>
      <c r="Z172" s="61"/>
      <c r="AA172" s="61"/>
    </row>
    <row r="173" spans="2:27" s="59" customFormat="1" x14ac:dyDescent="0.2">
      <c r="D173" s="59" t="s">
        <v>8</v>
      </c>
      <c r="I173" s="59">
        <f>IF(J$28&lt;&gt;0,I$153,J173)</f>
        <v>20.345323670361086</v>
      </c>
      <c r="J173" s="59">
        <f>IF(J$14="",J$153,0)</f>
        <v>7.3884224308126258</v>
      </c>
      <c r="K173" s="59">
        <f>IF(J$28=5,H$153,J173)</f>
        <v>-25.003830668058537</v>
      </c>
      <c r="Y173" s="61"/>
      <c r="Z173" s="61"/>
      <c r="AA173" s="61"/>
    </row>
    <row r="174" spans="2:27" s="59" customFormat="1" x14ac:dyDescent="0.2">
      <c r="C174" s="59">
        <f>C172+1</f>
        <v>7</v>
      </c>
      <c r="D174" s="59" t="s">
        <v>2</v>
      </c>
      <c r="J174" s="59">
        <f>IF(K$28&lt;&gt;0,J$152,K174)</f>
        <v>6.6496099596165939E-2</v>
      </c>
      <c r="K174" s="59">
        <f>IF(K$14="",K$152,-1)</f>
        <v>6.6496099596165939E-2</v>
      </c>
      <c r="L174" s="59">
        <f>IF(K$28=5,I$152,K174)</f>
        <v>6.6496099596165939E-2</v>
      </c>
      <c r="Y174" s="61"/>
      <c r="Z174" s="61"/>
      <c r="AA174" s="61"/>
    </row>
    <row r="175" spans="2:27" s="59" customFormat="1" x14ac:dyDescent="0.2">
      <c r="D175" s="59" t="s">
        <v>8</v>
      </c>
      <c r="J175" s="59">
        <f>IF(K$28&lt;&gt;0,J$153,K175)</f>
        <v>7.2989893112922699</v>
      </c>
      <c r="K175" s="59">
        <f>IF(K$14="",K$153,0)</f>
        <v>7.2989893112922699</v>
      </c>
      <c r="L175" s="59">
        <f>IF(K$28=5,I$153,K175)</f>
        <v>7.2989893112922699</v>
      </c>
      <c r="Y175" s="61"/>
      <c r="Z175" s="61"/>
      <c r="AA175" s="61"/>
    </row>
    <row r="176" spans="2:27" s="59" customFormat="1" x14ac:dyDescent="0.2">
      <c r="C176" s="59">
        <f>C174+1</f>
        <v>8</v>
      </c>
      <c r="D176" s="59" t="s">
        <v>2</v>
      </c>
      <c r="K176" s="59">
        <f>IF(L$28&lt;&gt;0,K$152,L176)</f>
        <v>6.6496099596165939E-2</v>
      </c>
      <c r="L176" s="59">
        <f>IF(L$14="",L$152,-1)</f>
        <v>6.6496099596165939E-2</v>
      </c>
      <c r="M176" s="59">
        <f>IF(L$28=5,J$152,L176)</f>
        <v>6.6496099596165939E-2</v>
      </c>
      <c r="Y176" s="61"/>
      <c r="Z176" s="61"/>
      <c r="AA176" s="61"/>
    </row>
    <row r="177" spans="2:27" s="59" customFormat="1" x14ac:dyDescent="0.2">
      <c r="D177" s="59" t="s">
        <v>8</v>
      </c>
      <c r="K177" s="59">
        <f>IF(L$28&lt;&gt;0,K$153,L177)</f>
        <v>7.2989893112922699</v>
      </c>
      <c r="L177" s="59">
        <f>IF(L$14="",L$153,0)</f>
        <v>8.0009796653089023</v>
      </c>
      <c r="M177" s="59">
        <f>IF(L$28=5,J$153,L177)</f>
        <v>8.0009796653089023</v>
      </c>
      <c r="Y177" s="61"/>
      <c r="Z177" s="61"/>
      <c r="AA177" s="61"/>
    </row>
    <row r="178" spans="2:27" s="59" customFormat="1" x14ac:dyDescent="0.2">
      <c r="C178" s="59">
        <f>C176+1</f>
        <v>9</v>
      </c>
      <c r="D178" s="59" t="s">
        <v>2</v>
      </c>
      <c r="L178" s="59">
        <f>IF(M$28&lt;&gt;0,L$152,M178)</f>
        <v>6.6489064798930036E-4</v>
      </c>
      <c r="M178" s="59">
        <f>IF(M$14="",M$152,-1)</f>
        <v>6.6489064798930036E-4</v>
      </c>
      <c r="N178" s="59">
        <f>IF(M$28=5,K$152,M178)</f>
        <v>6.6489064798930036E-4</v>
      </c>
      <c r="O178" s="59">
        <f t="shared" ref="O178:W178" si="139">IF(N$28=5,L$152,N178)</f>
        <v>6.6489064798930036E-4</v>
      </c>
      <c r="P178" s="59">
        <f t="shared" si="139"/>
        <v>6.6489064798930036E-4</v>
      </c>
      <c r="Q178" s="59">
        <f t="shared" si="139"/>
        <v>6.6489064798930036E-4</v>
      </c>
      <c r="R178" s="59">
        <f t="shared" si="139"/>
        <v>6.6489064798930036E-4</v>
      </c>
      <c r="S178" s="59">
        <f t="shared" si="139"/>
        <v>6.6489064798930036E-4</v>
      </c>
      <c r="T178" s="59" t="e">
        <f>IF(#REF!=5,R$152,#REF!)</f>
        <v>#REF!</v>
      </c>
      <c r="U178" s="59" t="e">
        <f>IF(T$28=5,S$152,T178)</f>
        <v>#REF!</v>
      </c>
      <c r="V178" s="59" t="e">
        <f>IF(U$28=5,#REF!,U178)</f>
        <v>#REF!</v>
      </c>
      <c r="W178" s="59" t="e">
        <f t="shared" si="139"/>
        <v>#REF!</v>
      </c>
      <c r="Y178" s="61"/>
      <c r="Z178" s="61"/>
      <c r="AA178" s="61"/>
    </row>
    <row r="179" spans="2:27" s="59" customFormat="1" x14ac:dyDescent="0.2">
      <c r="D179" s="59" t="s">
        <v>8</v>
      </c>
      <c r="L179" s="59">
        <f>IF(M$28&lt;&gt;0,L$153,M179)</f>
        <v>8.0000097956166751</v>
      </c>
      <c r="M179" s="59">
        <f>IF(M$14="",M$153,0)</f>
        <v>8.0000097956166751</v>
      </c>
      <c r="N179" s="59">
        <f>IF(M$28=5,K$153,M179)</f>
        <v>8.0000097956166751</v>
      </c>
      <c r="O179" s="59">
        <f t="shared" ref="O179:W179" si="140">IF(N$28=5,L$153,N179)</f>
        <v>8.0000097956166751</v>
      </c>
      <c r="P179" s="59">
        <f t="shared" si="140"/>
        <v>8.0000097956166751</v>
      </c>
      <c r="Q179" s="59">
        <f t="shared" si="140"/>
        <v>8.0000097956166751</v>
      </c>
      <c r="R179" s="59">
        <f t="shared" si="140"/>
        <v>8.0000097956166751</v>
      </c>
      <c r="S179" s="59">
        <f t="shared" si="140"/>
        <v>8.0000097956166751</v>
      </c>
      <c r="T179" s="59" t="e">
        <f>IF(#REF!=5,R$153,#REF!)</f>
        <v>#REF!</v>
      </c>
      <c r="U179" s="59" t="e">
        <f>IF(T$28=5,S$153,T179)</f>
        <v>#REF!</v>
      </c>
      <c r="V179" s="59" t="e">
        <f>IF(U$28=5,#REF!,U179)</f>
        <v>#REF!</v>
      </c>
      <c r="W179" s="59" t="e">
        <f t="shared" si="140"/>
        <v>#REF!</v>
      </c>
      <c r="Y179" s="61"/>
      <c r="Z179" s="61"/>
      <c r="AA179" s="61"/>
    </row>
    <row r="180" spans="2:27" s="59" customFormat="1" x14ac:dyDescent="0.2">
      <c r="C180" s="59">
        <f>C178+1</f>
        <v>10</v>
      </c>
      <c r="D180" s="59" t="s">
        <v>2</v>
      </c>
      <c r="M180" s="59">
        <f>IF(N$28&lt;&gt;0,M$152,N180)</f>
        <v>6.6489064798930036E-4</v>
      </c>
      <c r="N180" s="59">
        <f>IF(N$14="",N$152,-1)</f>
        <v>6.6489064798930036E-4</v>
      </c>
      <c r="O180" s="59">
        <f t="shared" ref="O180:W180" si="141">IF(O$14="",O$152,-1)</f>
        <v>15.17511246915182</v>
      </c>
      <c r="P180" s="59">
        <f t="shared" si="141"/>
        <v>9.2012211080269264</v>
      </c>
      <c r="Q180" s="59">
        <f t="shared" si="141"/>
        <v>9.0684559843778378E-2</v>
      </c>
      <c r="R180" s="59">
        <f t="shared" si="141"/>
        <v>9.0684559843778378E-2</v>
      </c>
      <c r="S180" s="59">
        <f t="shared" si="141"/>
        <v>9.0671476786990859E-4</v>
      </c>
      <c r="T180" s="59">
        <f t="shared" si="141"/>
        <v>9.0671345975486622E-6</v>
      </c>
      <c r="U180" s="59">
        <f t="shared" si="141"/>
        <v>9.0671344667373509E-8</v>
      </c>
      <c r="V180" s="59">
        <f t="shared" si="141"/>
        <v>-1</v>
      </c>
      <c r="W180" s="59">
        <f t="shared" si="141"/>
        <v>-1</v>
      </c>
      <c r="Y180" s="61"/>
      <c r="Z180" s="61"/>
      <c r="AA180" s="61"/>
    </row>
    <row r="181" spans="2:27" s="59" customFormat="1" x14ac:dyDescent="0.2">
      <c r="D181" s="59" t="s">
        <v>8</v>
      </c>
      <c r="M181" s="59">
        <f>IF(N$28&lt;&gt;0,M$153,N181)</f>
        <v>8.0000097956166751</v>
      </c>
      <c r="N181" s="59">
        <f>IF(N$14="",N$153,0)</f>
        <v>20.000024489041689</v>
      </c>
      <c r="O181" s="59">
        <f t="shared" ref="O181:W181" si="142">IF(O$14="",O$153,0)</f>
        <v>35.978118635387915</v>
      </c>
      <c r="P181" s="59">
        <f t="shared" si="142"/>
        <v>16.271117168489983</v>
      </c>
      <c r="Q181" s="59">
        <f t="shared" si="142"/>
        <v>16.00267205198114</v>
      </c>
      <c r="R181" s="59">
        <f t="shared" si="142"/>
        <v>20.003340064976424</v>
      </c>
      <c r="S181" s="59">
        <f t="shared" si="142"/>
        <v>20.000033395831053</v>
      </c>
      <c r="T181" s="59">
        <f t="shared" si="142"/>
        <v>20.000000333957825</v>
      </c>
      <c r="U181" s="59">
        <f t="shared" si="142"/>
        <v>20.000000003339579</v>
      </c>
      <c r="V181" s="59">
        <f t="shared" si="142"/>
        <v>0</v>
      </c>
      <c r="W181" s="59">
        <f t="shared" si="142"/>
        <v>0</v>
      </c>
      <c r="Y181" s="61"/>
      <c r="Z181" s="61"/>
      <c r="AA181" s="61"/>
    </row>
    <row r="182" spans="2:27" s="59" customFormat="1" x14ac:dyDescent="0.2">
      <c r="B182" s="59" t="s">
        <v>107</v>
      </c>
      <c r="Y182" s="61"/>
      <c r="Z182" s="61"/>
      <c r="AA182" s="61"/>
    </row>
    <row r="183" spans="2:27" s="59" customFormat="1" x14ac:dyDescent="0.2">
      <c r="Y183" s="61"/>
      <c r="Z183" s="61"/>
    </row>
    <row r="184" spans="2:27" s="59" customFormat="1" x14ac:dyDescent="0.2">
      <c r="Y184" s="61"/>
      <c r="Z184" s="61"/>
    </row>
    <row r="185" spans="2:27" s="59" customFormat="1" x14ac:dyDescent="0.2">
      <c r="Y185" s="61"/>
      <c r="Z185" s="61"/>
    </row>
    <row r="186" spans="2:27" s="59" customFormat="1" x14ac:dyDescent="0.2">
      <c r="Y186" s="61"/>
      <c r="Z186" s="61"/>
    </row>
    <row r="187" spans="2:27" s="59" customFormat="1" x14ac:dyDescent="0.2">
      <c r="Y187" s="61"/>
      <c r="Z187" s="61"/>
    </row>
    <row r="188" spans="2:27" s="59" customFormat="1" x14ac:dyDescent="0.2">
      <c r="Y188" s="61"/>
      <c r="Z188" s="61"/>
    </row>
    <row r="189" spans="2:27" s="59" customFormat="1" x14ac:dyDescent="0.2">
      <c r="Y189" s="61"/>
      <c r="Z189" s="61"/>
    </row>
    <row r="190" spans="2:27" s="59" customFormat="1" x14ac:dyDescent="0.2">
      <c r="Y190" s="61"/>
      <c r="Z190" s="61"/>
    </row>
    <row r="191" spans="2:27" s="59" customFormat="1" x14ac:dyDescent="0.2">
      <c r="Y191" s="61"/>
      <c r="Z191" s="61"/>
    </row>
    <row r="192" spans="2:27" s="59" customFormat="1" x14ac:dyDescent="0.2">
      <c r="Y192" s="61"/>
      <c r="Z192" s="61"/>
    </row>
    <row r="193" spans="25:26" s="59" customFormat="1" x14ac:dyDescent="0.2">
      <c r="Y193" s="61"/>
      <c r="Z193" s="61"/>
    </row>
    <row r="194" spans="25:26" s="59" customFormat="1" x14ac:dyDescent="0.2">
      <c r="Y194" s="61"/>
      <c r="Z194" s="61"/>
    </row>
    <row r="195" spans="25:26" s="59" customFormat="1" x14ac:dyDescent="0.2">
      <c r="Y195" s="61"/>
      <c r="Z195" s="61"/>
    </row>
    <row r="196" spans="25:26" s="59" customFormat="1" x14ac:dyDescent="0.2">
      <c r="Y196" s="61"/>
      <c r="Z196" s="61"/>
    </row>
    <row r="197" spans="25:26" s="59" customFormat="1" x14ac:dyDescent="0.2">
      <c r="Y197" s="61"/>
      <c r="Z197" s="61"/>
    </row>
    <row r="198" spans="25:26" s="59" customFormat="1" x14ac:dyDescent="0.2">
      <c r="Y198" s="61"/>
      <c r="Z198" s="61"/>
    </row>
    <row r="199" spans="25:26" s="59" customFormat="1" x14ac:dyDescent="0.2">
      <c r="Y199" s="61"/>
      <c r="Z199" s="61"/>
    </row>
    <row r="200" spans="25:26" s="59" customFormat="1" x14ac:dyDescent="0.2">
      <c r="Y200" s="61"/>
      <c r="Z200" s="61"/>
    </row>
    <row r="201" spans="25:26" s="59" customFormat="1" x14ac:dyDescent="0.2">
      <c r="Y201" s="61"/>
      <c r="Z201" s="61"/>
    </row>
    <row r="202" spans="25:26" s="59" customFormat="1" x14ac:dyDescent="0.2">
      <c r="Y202" s="61"/>
      <c r="Z202" s="61"/>
    </row>
    <row r="203" spans="25:26" s="59" customFormat="1" x14ac:dyDescent="0.2">
      <c r="Y203" s="61"/>
      <c r="Z203" s="61"/>
    </row>
    <row r="204" spans="25:26" s="59" customFormat="1" x14ac:dyDescent="0.2">
      <c r="Y204" s="61"/>
      <c r="Z204" s="61"/>
    </row>
    <row r="205" spans="25:26" s="59" customFormat="1" x14ac:dyDescent="0.2">
      <c r="Y205" s="61"/>
      <c r="Z205" s="61"/>
    </row>
    <row r="206" spans="25:26" s="59" customFormat="1" x14ac:dyDescent="0.2">
      <c r="Y206" s="61"/>
      <c r="Z206" s="61"/>
    </row>
    <row r="207" spans="25:26" s="59" customFormat="1" x14ac:dyDescent="0.2">
      <c r="Y207" s="61"/>
      <c r="Z207" s="61"/>
    </row>
    <row r="208" spans="25:26" s="59" customFormat="1" x14ac:dyDescent="0.2">
      <c r="Y208" s="61"/>
      <c r="Z208" s="61"/>
    </row>
    <row r="209" spans="25:26" s="59" customFormat="1" x14ac:dyDescent="0.2">
      <c r="Y209" s="61"/>
      <c r="Z209" s="61"/>
    </row>
    <row r="210" spans="25:26" s="59" customFormat="1" x14ac:dyDescent="0.2">
      <c r="Y210" s="61"/>
      <c r="Z210" s="61"/>
    </row>
    <row r="211" spans="25:26" s="59" customFormat="1" x14ac:dyDescent="0.2">
      <c r="Y211" s="61"/>
      <c r="Z211" s="61"/>
    </row>
    <row r="212" spans="25:26" s="59" customFormat="1" x14ac:dyDescent="0.2">
      <c r="Y212" s="61"/>
      <c r="Z212" s="61"/>
    </row>
    <row r="213" spans="25:26" s="59" customFormat="1" x14ac:dyDescent="0.2">
      <c r="Y213" s="61"/>
      <c r="Z213" s="61"/>
    </row>
    <row r="214" spans="25:26" s="59" customFormat="1" x14ac:dyDescent="0.2">
      <c r="Y214" s="61"/>
      <c r="Z214" s="61"/>
    </row>
    <row r="215" spans="25:26" s="59" customFormat="1" x14ac:dyDescent="0.2">
      <c r="Y215" s="61"/>
      <c r="Z215" s="61"/>
    </row>
    <row r="216" spans="25:26" s="59" customFormat="1" x14ac:dyDescent="0.2">
      <c r="Y216" s="61"/>
      <c r="Z216" s="61"/>
    </row>
    <row r="217" spans="25:26" s="59" customFormat="1" x14ac:dyDescent="0.2">
      <c r="Y217" s="61"/>
      <c r="Z217" s="61"/>
    </row>
    <row r="218" spans="25:26" s="59" customFormat="1" x14ac:dyDescent="0.2">
      <c r="Y218" s="61"/>
      <c r="Z218" s="61"/>
    </row>
    <row r="219" spans="25:26" s="59" customFormat="1" x14ac:dyDescent="0.2">
      <c r="Y219" s="61"/>
      <c r="Z219" s="61"/>
    </row>
    <row r="220" spans="25:26" s="59" customFormat="1" x14ac:dyDescent="0.2">
      <c r="Y220" s="61"/>
      <c r="Z220" s="61"/>
    </row>
    <row r="221" spans="25:26" s="59" customFormat="1" x14ac:dyDescent="0.2">
      <c r="Y221" s="61"/>
      <c r="Z221" s="61"/>
    </row>
    <row r="222" spans="25:26" s="59" customFormat="1" x14ac:dyDescent="0.2">
      <c r="Y222" s="61"/>
      <c r="Z222" s="61"/>
    </row>
    <row r="223" spans="25:26" s="59" customFormat="1" x14ac:dyDescent="0.2">
      <c r="Y223" s="61"/>
      <c r="Z223" s="61"/>
    </row>
    <row r="224" spans="25:26" s="59" customFormat="1" x14ac:dyDescent="0.2">
      <c r="Y224" s="61"/>
      <c r="Z224" s="61"/>
    </row>
    <row r="225" spans="25:33" s="59" customFormat="1" x14ac:dyDescent="0.2">
      <c r="Y225" s="61"/>
      <c r="Z225" s="61"/>
    </row>
    <row r="226" spans="25:33" s="59" customFormat="1" x14ac:dyDescent="0.2">
      <c r="Y226" s="61"/>
      <c r="Z226" s="61"/>
    </row>
    <row r="227" spans="25:33" s="59" customFormat="1" x14ac:dyDescent="0.2">
      <c r="Y227" s="61"/>
      <c r="Z227" s="61"/>
    </row>
    <row r="228" spans="25:33" s="59" customFormat="1" x14ac:dyDescent="0.2">
      <c r="Y228" s="61"/>
      <c r="Z228" s="61"/>
    </row>
    <row r="229" spans="25:33" s="59" customFormat="1" x14ac:dyDescent="0.2">
      <c r="Y229" s="61"/>
      <c r="Z229" s="61"/>
    </row>
    <row r="230" spans="25:33" s="59" customFormat="1" x14ac:dyDescent="0.2">
      <c r="Y230" s="61"/>
      <c r="Z230" s="61"/>
    </row>
    <row r="231" spans="25:33" s="59" customFormat="1" x14ac:dyDescent="0.2">
      <c r="Y231" s="61"/>
      <c r="Z231" s="61"/>
    </row>
    <row r="232" spans="25:33" s="51" customFormat="1" x14ac:dyDescent="0.2">
      <c r="Y232" s="61"/>
      <c r="Z232" s="61"/>
      <c r="AA232" s="59"/>
      <c r="AB232" s="59"/>
      <c r="AC232" s="59"/>
      <c r="AD232" s="59"/>
      <c r="AE232" s="59"/>
      <c r="AF232" s="59"/>
      <c r="AG232" s="59"/>
    </row>
    <row r="233" spans="25:33" s="51" customFormat="1" x14ac:dyDescent="0.2">
      <c r="Y233" s="61"/>
      <c r="Z233" s="61"/>
      <c r="AA233" s="59"/>
      <c r="AB233" s="59"/>
      <c r="AC233" s="59"/>
      <c r="AD233" s="59"/>
      <c r="AE233" s="59"/>
      <c r="AF233" s="59"/>
      <c r="AG233" s="59"/>
    </row>
    <row r="234" spans="25:33" s="51" customFormat="1" x14ac:dyDescent="0.2">
      <c r="Y234" s="61"/>
      <c r="Z234" s="61"/>
      <c r="AA234" s="59"/>
      <c r="AB234" s="59"/>
      <c r="AC234" s="59"/>
      <c r="AD234" s="59"/>
      <c r="AE234" s="59"/>
      <c r="AF234" s="59"/>
      <c r="AG234" s="59"/>
    </row>
    <row r="235" spans="25:33" s="51" customFormat="1" x14ac:dyDescent="0.2">
      <c r="Y235" s="61"/>
      <c r="Z235" s="61"/>
      <c r="AA235" s="59"/>
      <c r="AB235" s="59"/>
      <c r="AC235" s="59"/>
      <c r="AD235" s="59"/>
      <c r="AE235" s="59"/>
      <c r="AF235" s="59"/>
      <c r="AG235" s="59"/>
    </row>
    <row r="236" spans="25:33" s="51" customFormat="1" x14ac:dyDescent="0.2">
      <c r="Y236" s="61"/>
      <c r="Z236" s="61"/>
      <c r="AA236" s="59"/>
      <c r="AB236" s="59"/>
      <c r="AC236" s="59"/>
      <c r="AD236" s="59"/>
      <c r="AE236" s="59"/>
      <c r="AF236" s="59"/>
      <c r="AG236" s="59"/>
    </row>
    <row r="237" spans="25:33" s="51" customFormat="1" x14ac:dyDescent="0.2">
      <c r="Y237" s="61"/>
      <c r="Z237" s="61"/>
      <c r="AA237" s="59"/>
      <c r="AB237" s="59"/>
      <c r="AC237" s="59"/>
      <c r="AD237" s="59"/>
      <c r="AE237" s="59"/>
      <c r="AF237" s="59"/>
      <c r="AG237" s="59"/>
    </row>
    <row r="238" spans="25:33" s="51" customFormat="1" x14ac:dyDescent="0.2">
      <c r="Y238" s="61"/>
      <c r="Z238" s="61"/>
      <c r="AA238" s="59"/>
      <c r="AB238" s="59"/>
      <c r="AC238" s="59"/>
      <c r="AD238" s="59"/>
      <c r="AE238" s="59"/>
      <c r="AF238" s="59"/>
      <c r="AG238" s="59"/>
    </row>
    <row r="239" spans="25:33" s="51" customFormat="1" x14ac:dyDescent="0.2">
      <c r="Y239" s="61"/>
      <c r="Z239" s="61"/>
      <c r="AA239" s="59"/>
      <c r="AB239" s="59"/>
      <c r="AC239" s="59"/>
      <c r="AD239" s="59"/>
      <c r="AE239" s="59"/>
      <c r="AF239" s="59"/>
      <c r="AG239" s="59"/>
    </row>
    <row r="240" spans="25:33" s="51" customFormat="1" x14ac:dyDescent="0.2">
      <c r="Y240" s="61"/>
      <c r="Z240" s="61"/>
      <c r="AA240" s="59"/>
      <c r="AB240" s="59"/>
      <c r="AC240" s="59"/>
      <c r="AD240" s="59"/>
      <c r="AE240" s="59"/>
      <c r="AF240" s="59"/>
      <c r="AG240" s="59"/>
    </row>
    <row r="241" spans="25:33" s="51" customFormat="1" x14ac:dyDescent="0.2">
      <c r="Y241" s="61"/>
      <c r="Z241" s="61"/>
      <c r="AA241" s="59"/>
      <c r="AB241" s="59"/>
      <c r="AC241" s="59"/>
      <c r="AD241" s="59"/>
      <c r="AE241" s="59"/>
      <c r="AF241" s="59"/>
      <c r="AG241" s="59"/>
    </row>
    <row r="242" spans="25:33" s="51" customFormat="1" x14ac:dyDescent="0.2">
      <c r="Y242" s="61"/>
      <c r="Z242" s="61"/>
      <c r="AA242" s="59"/>
      <c r="AB242" s="59"/>
      <c r="AC242" s="59"/>
      <c r="AD242" s="59"/>
      <c r="AE242" s="59"/>
      <c r="AF242" s="59"/>
      <c r="AG242" s="59"/>
    </row>
    <row r="243" spans="25:33" s="51" customFormat="1" x14ac:dyDescent="0.2">
      <c r="Y243" s="61"/>
      <c r="Z243" s="61"/>
      <c r="AA243" s="59"/>
      <c r="AB243" s="59"/>
      <c r="AC243" s="59"/>
      <c r="AD243" s="59"/>
      <c r="AE243" s="59"/>
      <c r="AF243" s="59"/>
      <c r="AG243" s="59"/>
    </row>
    <row r="244" spans="25:33" s="51" customFormat="1" x14ac:dyDescent="0.2">
      <c r="Y244" s="61"/>
      <c r="Z244" s="61"/>
      <c r="AA244" s="59"/>
      <c r="AB244" s="59"/>
      <c r="AC244" s="59"/>
      <c r="AD244" s="59"/>
      <c r="AE244" s="59"/>
      <c r="AF244" s="59"/>
      <c r="AG244" s="59"/>
    </row>
    <row r="245" spans="25:33" s="51" customFormat="1" x14ac:dyDescent="0.2">
      <c r="Y245" s="61"/>
      <c r="Z245" s="61"/>
      <c r="AA245" s="59"/>
      <c r="AB245" s="59"/>
      <c r="AC245" s="59"/>
      <c r="AD245" s="59"/>
      <c r="AE245" s="59"/>
      <c r="AF245" s="59"/>
      <c r="AG245" s="59"/>
    </row>
    <row r="246" spans="25:33" s="51" customFormat="1" x14ac:dyDescent="0.2">
      <c r="Y246" s="61"/>
      <c r="Z246" s="61"/>
      <c r="AA246" s="59"/>
      <c r="AB246" s="59"/>
      <c r="AC246" s="59"/>
      <c r="AD246" s="59"/>
      <c r="AE246" s="59"/>
      <c r="AF246" s="59"/>
      <c r="AG246" s="59"/>
    </row>
    <row r="247" spans="25:33" s="51" customFormat="1" x14ac:dyDescent="0.2">
      <c r="Y247" s="61"/>
      <c r="Z247" s="61"/>
      <c r="AA247" s="59"/>
      <c r="AB247" s="59"/>
      <c r="AC247" s="59"/>
      <c r="AD247" s="59"/>
      <c r="AE247" s="59"/>
      <c r="AF247" s="59"/>
      <c r="AG247" s="59"/>
    </row>
    <row r="248" spans="25:33" s="51" customFormat="1" x14ac:dyDescent="0.2">
      <c r="Y248" s="61"/>
      <c r="Z248" s="61"/>
      <c r="AA248" s="59"/>
      <c r="AB248" s="59"/>
      <c r="AC248" s="59"/>
      <c r="AD248" s="59"/>
      <c r="AE248" s="59"/>
      <c r="AF248" s="59"/>
      <c r="AG248" s="59"/>
    </row>
    <row r="249" spans="25:33" s="51" customFormat="1" x14ac:dyDescent="0.2">
      <c r="Y249" s="61"/>
      <c r="Z249" s="61"/>
      <c r="AA249" s="59"/>
      <c r="AB249" s="59"/>
      <c r="AC249" s="59"/>
      <c r="AD249" s="59"/>
      <c r="AE249" s="59"/>
      <c r="AF249" s="59"/>
      <c r="AG249" s="59"/>
    </row>
    <row r="250" spans="25:33" s="51" customFormat="1" x14ac:dyDescent="0.2">
      <c r="Y250" s="61"/>
      <c r="Z250" s="61"/>
      <c r="AA250" s="59"/>
      <c r="AB250" s="59"/>
      <c r="AC250" s="59"/>
      <c r="AD250" s="59"/>
      <c r="AE250" s="59"/>
      <c r="AF250" s="59"/>
      <c r="AG250" s="59"/>
    </row>
    <row r="251" spans="25:33" s="51" customFormat="1" x14ac:dyDescent="0.2">
      <c r="Y251" s="61"/>
      <c r="Z251" s="61"/>
      <c r="AA251" s="59"/>
      <c r="AB251" s="59"/>
      <c r="AC251" s="59"/>
      <c r="AD251" s="59"/>
      <c r="AE251" s="59"/>
      <c r="AF251" s="59"/>
      <c r="AG251" s="59"/>
    </row>
    <row r="252" spans="25:33" s="51" customFormat="1" x14ac:dyDescent="0.2">
      <c r="Y252" s="61"/>
      <c r="Z252" s="61"/>
      <c r="AA252" s="59"/>
      <c r="AB252" s="59"/>
      <c r="AC252" s="59"/>
      <c r="AD252" s="59"/>
      <c r="AE252" s="59"/>
      <c r="AF252" s="59"/>
      <c r="AG252" s="59"/>
    </row>
    <row r="253" spans="25:33" s="51" customFormat="1" x14ac:dyDescent="0.2">
      <c r="Y253" s="61"/>
      <c r="Z253" s="61"/>
      <c r="AA253" s="59"/>
      <c r="AB253" s="59"/>
      <c r="AC253" s="59"/>
      <c r="AD253" s="59"/>
      <c r="AE253" s="59"/>
      <c r="AF253" s="59"/>
      <c r="AG253" s="59"/>
    </row>
    <row r="254" spans="25:33" s="51" customFormat="1" x14ac:dyDescent="0.2">
      <c r="Y254" s="61"/>
      <c r="Z254" s="61"/>
      <c r="AA254" s="59"/>
      <c r="AB254" s="59"/>
      <c r="AC254" s="59"/>
      <c r="AD254" s="59"/>
      <c r="AE254" s="59"/>
      <c r="AF254" s="59"/>
      <c r="AG254" s="59"/>
    </row>
    <row r="255" spans="25:33" s="51" customFormat="1" x14ac:dyDescent="0.2">
      <c r="Y255" s="61"/>
      <c r="Z255" s="61"/>
      <c r="AA255" s="59"/>
      <c r="AB255" s="59"/>
      <c r="AC255" s="59"/>
      <c r="AD255" s="59"/>
      <c r="AE255" s="59"/>
      <c r="AF255" s="59"/>
      <c r="AG255" s="59"/>
    </row>
    <row r="256" spans="25:33" s="51" customFormat="1" x14ac:dyDescent="0.2">
      <c r="Y256" s="61"/>
      <c r="Z256" s="61"/>
      <c r="AA256" s="59"/>
      <c r="AB256" s="59"/>
      <c r="AC256" s="59"/>
      <c r="AD256" s="59"/>
      <c r="AE256" s="59"/>
      <c r="AF256" s="59"/>
      <c r="AG256" s="59"/>
    </row>
    <row r="257" spans="1:33" s="51" customFormat="1" x14ac:dyDescent="0.2">
      <c r="Y257" s="61"/>
      <c r="Z257" s="61"/>
      <c r="AA257" s="59"/>
      <c r="AB257" s="59"/>
      <c r="AC257" s="59"/>
      <c r="AD257" s="59"/>
      <c r="AE257" s="59"/>
      <c r="AF257" s="59"/>
      <c r="AG257" s="59"/>
    </row>
    <row r="258" spans="1:33" s="51" customFormat="1" x14ac:dyDescent="0.2">
      <c r="Y258" s="61"/>
      <c r="Z258" s="61"/>
      <c r="AA258" s="59"/>
      <c r="AB258" s="59"/>
      <c r="AC258" s="59"/>
      <c r="AD258" s="59"/>
      <c r="AE258" s="59"/>
      <c r="AF258" s="59"/>
      <c r="AG258" s="59"/>
    </row>
    <row r="259" spans="1:33" s="51" customFormat="1" x14ac:dyDescent="0.2">
      <c r="Y259" s="61"/>
      <c r="Z259" s="61"/>
      <c r="AA259" s="59"/>
      <c r="AB259" s="59"/>
      <c r="AC259" s="59"/>
      <c r="AD259" s="59"/>
      <c r="AE259" s="59"/>
      <c r="AF259" s="59"/>
      <c r="AG259" s="59"/>
    </row>
    <row r="260" spans="1:33" s="51" customFormat="1" x14ac:dyDescent="0.2">
      <c r="Y260" s="61"/>
      <c r="Z260" s="61"/>
      <c r="AA260" s="59"/>
      <c r="AB260" s="59"/>
      <c r="AC260" s="59"/>
      <c r="AD260" s="59"/>
      <c r="AE260" s="59"/>
      <c r="AF260" s="59"/>
      <c r="AG260" s="59"/>
    </row>
    <row r="261" spans="1:33" s="51" customFormat="1" x14ac:dyDescent="0.2">
      <c r="Y261" s="61"/>
      <c r="Z261" s="61"/>
      <c r="AA261" s="59"/>
      <c r="AB261" s="59"/>
      <c r="AC261" s="59"/>
      <c r="AD261" s="59"/>
      <c r="AE261" s="59"/>
      <c r="AF261" s="59"/>
      <c r="AG261" s="59"/>
    </row>
    <row r="262" spans="1:33" s="51" customFormat="1" x14ac:dyDescent="0.2">
      <c r="Y262" s="61"/>
      <c r="Z262" s="61"/>
      <c r="AA262" s="59"/>
      <c r="AB262" s="59"/>
      <c r="AC262" s="59"/>
      <c r="AD262" s="59"/>
      <c r="AE262" s="59"/>
      <c r="AF262" s="59"/>
      <c r="AG262" s="59"/>
    </row>
    <row r="263" spans="1:33" s="51" customFormat="1" x14ac:dyDescent="0.2">
      <c r="Y263" s="61"/>
      <c r="Z263" s="61"/>
      <c r="AA263" s="59"/>
      <c r="AB263" s="59"/>
      <c r="AC263" s="59"/>
      <c r="AD263" s="59"/>
      <c r="AE263" s="59"/>
      <c r="AF263" s="59"/>
      <c r="AG263" s="59"/>
    </row>
    <row r="264" spans="1:33" s="51" customFormat="1" x14ac:dyDescent="0.2">
      <c r="Y264" s="61"/>
      <c r="Z264" s="61"/>
      <c r="AA264" s="59"/>
      <c r="AB264" s="59"/>
      <c r="AC264" s="59"/>
      <c r="AD264" s="59"/>
      <c r="AE264" s="59"/>
      <c r="AF264" s="59"/>
      <c r="AG264" s="59"/>
    </row>
    <row r="265" spans="1:33" s="51" customFormat="1" x14ac:dyDescent="0.2">
      <c r="Y265" s="61"/>
      <c r="Z265" s="61"/>
      <c r="AA265" s="59"/>
      <c r="AB265" s="59"/>
      <c r="AC265" s="59"/>
      <c r="AD265" s="59"/>
      <c r="AE265" s="59"/>
      <c r="AF265" s="59"/>
      <c r="AG265" s="59"/>
    </row>
    <row r="266" spans="1:33" s="51" customFormat="1" x14ac:dyDescent="0.2">
      <c r="Y266" s="61"/>
      <c r="Z266" s="61"/>
      <c r="AA266" s="59"/>
      <c r="AB266" s="59"/>
      <c r="AC266" s="59"/>
      <c r="AD266" s="59"/>
      <c r="AE266" s="59"/>
      <c r="AF266" s="59"/>
      <c r="AG266" s="59"/>
    </row>
    <row r="267" spans="1:33" s="51" customFormat="1" x14ac:dyDescent="0.2">
      <c r="Y267" s="61"/>
      <c r="Z267" s="61"/>
      <c r="AA267" s="59"/>
      <c r="AB267" s="59"/>
      <c r="AC267" s="59"/>
      <c r="AD267" s="59"/>
      <c r="AE267" s="59"/>
      <c r="AF267" s="59"/>
      <c r="AG267" s="59"/>
    </row>
    <row r="268" spans="1:33" s="51" customFormat="1" x14ac:dyDescent="0.2">
      <c r="Y268" s="61"/>
      <c r="Z268" s="61"/>
      <c r="AA268" s="59"/>
      <c r="AB268" s="59"/>
      <c r="AC268" s="59"/>
      <c r="AD268" s="59"/>
      <c r="AE268" s="59"/>
      <c r="AF268" s="59"/>
      <c r="AG268" s="59"/>
    </row>
    <row r="269" spans="1:33" s="51" customFormat="1" x14ac:dyDescent="0.2">
      <c r="Y269" s="61"/>
      <c r="Z269" s="61"/>
      <c r="AA269" s="59"/>
      <c r="AB269" s="59"/>
      <c r="AC269" s="59"/>
      <c r="AD269" s="59"/>
      <c r="AE269" s="59"/>
      <c r="AF269" s="59"/>
      <c r="AG269" s="59"/>
    </row>
    <row r="270" spans="1:33" s="51" customFormat="1" x14ac:dyDescent="0.2">
      <c r="Y270" s="61"/>
      <c r="Z270" s="61"/>
      <c r="AA270" s="59"/>
      <c r="AB270" s="59"/>
      <c r="AC270" s="59"/>
      <c r="AD270" s="59"/>
      <c r="AE270" s="59"/>
      <c r="AF270" s="59"/>
      <c r="AG270" s="59"/>
    </row>
    <row r="271" spans="1:33" s="51" customFormat="1" x14ac:dyDescent="0.2">
      <c r="Y271" s="61"/>
      <c r="Z271" s="61"/>
      <c r="AA271" s="59"/>
      <c r="AB271" s="59"/>
      <c r="AC271" s="59"/>
      <c r="AD271" s="59"/>
      <c r="AE271" s="59"/>
      <c r="AF271" s="59"/>
      <c r="AG271" s="59"/>
    </row>
    <row r="272" spans="1:33" x14ac:dyDescent="0.2">
      <c r="A272" s="47"/>
      <c r="B272" s="47"/>
      <c r="C272" s="47"/>
      <c r="D272" s="47"/>
      <c r="E272" s="47"/>
      <c r="F272" s="47"/>
      <c r="G272" s="47"/>
      <c r="H272" s="47"/>
      <c r="I272" s="47"/>
      <c r="J272" s="47"/>
      <c r="K272" s="47"/>
      <c r="L272" s="47"/>
      <c r="X272" s="47"/>
    </row>
    <row r="273" spans="1:24" x14ac:dyDescent="0.2">
      <c r="A273" s="47"/>
      <c r="B273" s="47"/>
      <c r="C273" s="47"/>
      <c r="D273" s="47"/>
      <c r="E273" s="47"/>
      <c r="F273" s="47"/>
      <c r="G273" s="47"/>
      <c r="H273" s="47"/>
      <c r="I273" s="47"/>
      <c r="J273" s="47"/>
      <c r="K273" s="47"/>
      <c r="L273" s="47"/>
      <c r="X273" s="47"/>
    </row>
    <row r="274" spans="1:24" x14ac:dyDescent="0.2">
      <c r="A274" s="47"/>
      <c r="B274" s="47"/>
      <c r="C274" s="47"/>
      <c r="D274" s="47"/>
      <c r="E274" s="47"/>
      <c r="F274" s="47"/>
      <c r="G274" s="47"/>
      <c r="H274" s="47"/>
      <c r="I274" s="47"/>
      <c r="J274" s="47"/>
      <c r="K274" s="47"/>
      <c r="L274" s="47"/>
      <c r="X274" s="47"/>
    </row>
    <row r="275" spans="1:24" x14ac:dyDescent="0.2">
      <c r="A275" s="47"/>
      <c r="B275" s="47"/>
      <c r="C275" s="47"/>
      <c r="D275" s="47"/>
      <c r="E275" s="47"/>
      <c r="F275" s="47"/>
      <c r="G275" s="47"/>
      <c r="H275" s="47"/>
      <c r="I275" s="47"/>
      <c r="J275" s="47"/>
      <c r="K275" s="47"/>
      <c r="L275" s="47"/>
      <c r="X275" s="47"/>
    </row>
    <row r="276" spans="1:24" x14ac:dyDescent="0.2">
      <c r="A276" s="47"/>
      <c r="B276" s="47"/>
      <c r="C276" s="47"/>
      <c r="D276" s="47"/>
      <c r="E276" s="47"/>
      <c r="F276" s="47"/>
      <c r="G276" s="47"/>
      <c r="H276" s="47"/>
      <c r="I276" s="47"/>
      <c r="J276" s="47"/>
      <c r="K276" s="47"/>
      <c r="L276" s="47"/>
      <c r="X276" s="47"/>
    </row>
    <row r="277" spans="1:24" x14ac:dyDescent="0.2">
      <c r="A277" s="47"/>
      <c r="B277" s="47"/>
      <c r="C277" s="47"/>
      <c r="D277" s="47"/>
      <c r="E277" s="47"/>
      <c r="F277" s="47"/>
      <c r="G277" s="47"/>
      <c r="H277" s="47"/>
      <c r="I277" s="47"/>
      <c r="J277" s="47"/>
      <c r="K277" s="47"/>
      <c r="L277" s="47"/>
      <c r="X277" s="47"/>
    </row>
    <row r="278" spans="1:24" x14ac:dyDescent="0.2">
      <c r="A278" s="47"/>
      <c r="B278" s="47"/>
      <c r="C278" s="47"/>
      <c r="D278" s="47"/>
      <c r="E278" s="47"/>
      <c r="F278" s="47"/>
      <c r="G278" s="47"/>
      <c r="H278" s="47"/>
      <c r="I278" s="47"/>
      <c r="J278" s="47"/>
      <c r="K278" s="47"/>
      <c r="L278" s="47"/>
      <c r="X278" s="47"/>
    </row>
    <row r="279" spans="1:24" x14ac:dyDescent="0.2">
      <c r="A279" s="47"/>
      <c r="B279" s="47"/>
      <c r="C279" s="47"/>
      <c r="D279" s="47"/>
      <c r="E279" s="47"/>
      <c r="F279" s="47"/>
      <c r="G279" s="47"/>
      <c r="H279" s="47"/>
      <c r="I279" s="47"/>
      <c r="J279" s="47"/>
      <c r="K279" s="47"/>
      <c r="L279" s="47"/>
      <c r="X279" s="47"/>
    </row>
    <row r="280" spans="1:24" x14ac:dyDescent="0.2">
      <c r="A280" s="47"/>
      <c r="B280" s="47"/>
      <c r="C280" s="47"/>
      <c r="D280" s="47"/>
      <c r="E280" s="47"/>
      <c r="F280" s="47"/>
      <c r="G280" s="47"/>
      <c r="H280" s="47"/>
      <c r="I280" s="47"/>
      <c r="J280" s="47"/>
      <c r="K280" s="47"/>
      <c r="L280" s="47"/>
      <c r="X280" s="47"/>
    </row>
    <row r="281" spans="1:24" x14ac:dyDescent="0.2">
      <c r="A281" s="47"/>
      <c r="B281" s="47"/>
      <c r="C281" s="47"/>
      <c r="D281" s="47"/>
      <c r="E281" s="47"/>
      <c r="F281" s="47"/>
      <c r="G281" s="47"/>
      <c r="H281" s="47"/>
      <c r="I281" s="47"/>
      <c r="J281" s="47"/>
      <c r="K281" s="47"/>
      <c r="L281" s="47"/>
      <c r="X281" s="47"/>
    </row>
    <row r="282" spans="1:24" x14ac:dyDescent="0.2">
      <c r="A282" s="47"/>
      <c r="B282" s="47"/>
      <c r="C282" s="47"/>
      <c r="D282" s="47"/>
      <c r="E282" s="47"/>
      <c r="F282" s="47"/>
      <c r="G282" s="47"/>
      <c r="H282" s="47"/>
      <c r="I282" s="47"/>
      <c r="J282" s="47"/>
      <c r="K282" s="47"/>
      <c r="L282" s="47"/>
      <c r="X282" s="47"/>
    </row>
    <row r="283" spans="1:24" x14ac:dyDescent="0.2">
      <c r="A283" s="47"/>
      <c r="B283" s="47"/>
      <c r="C283" s="47"/>
      <c r="D283" s="47"/>
      <c r="E283" s="47"/>
      <c r="F283" s="47"/>
      <c r="G283" s="47"/>
      <c r="H283" s="47"/>
      <c r="I283" s="47"/>
      <c r="J283" s="47"/>
      <c r="K283" s="47"/>
      <c r="L283" s="47"/>
      <c r="X283" s="47"/>
    </row>
    <row r="284" spans="1:24" x14ac:dyDescent="0.2">
      <c r="A284" s="47"/>
      <c r="B284" s="47"/>
      <c r="C284" s="47"/>
      <c r="D284" s="47"/>
      <c r="E284" s="47"/>
      <c r="F284" s="47"/>
      <c r="G284" s="47"/>
      <c r="H284" s="47"/>
      <c r="I284" s="47"/>
      <c r="J284" s="47"/>
      <c r="K284" s="47"/>
      <c r="L284" s="47"/>
      <c r="X284" s="47"/>
    </row>
    <row r="285" spans="1:24" x14ac:dyDescent="0.2">
      <c r="A285" s="47"/>
      <c r="B285" s="47"/>
      <c r="C285" s="47"/>
      <c r="D285" s="47"/>
      <c r="E285" s="47"/>
      <c r="F285" s="47"/>
      <c r="G285" s="47"/>
      <c r="H285" s="47"/>
      <c r="I285" s="47"/>
      <c r="J285" s="47"/>
      <c r="K285" s="47"/>
      <c r="L285" s="47"/>
      <c r="X285" s="47"/>
    </row>
    <row r="286" spans="1:24" x14ac:dyDescent="0.2">
      <c r="A286" s="47"/>
      <c r="B286" s="47"/>
      <c r="C286" s="47"/>
      <c r="D286" s="47"/>
      <c r="E286" s="47"/>
      <c r="F286" s="47"/>
      <c r="G286" s="47"/>
      <c r="H286" s="47"/>
      <c r="I286" s="47"/>
      <c r="J286" s="47"/>
      <c r="K286" s="47"/>
      <c r="L286" s="47"/>
      <c r="X286" s="47"/>
    </row>
    <row r="287" spans="1:24" x14ac:dyDescent="0.2">
      <c r="A287" s="47"/>
      <c r="B287" s="47"/>
      <c r="C287" s="47"/>
      <c r="D287" s="47"/>
      <c r="E287" s="47"/>
      <c r="F287" s="47"/>
      <c r="G287" s="47"/>
      <c r="H287" s="47"/>
      <c r="I287" s="47"/>
      <c r="J287" s="47"/>
      <c r="K287" s="47"/>
      <c r="L287" s="47"/>
      <c r="X287" s="47"/>
    </row>
    <row r="288" spans="1:24" x14ac:dyDescent="0.2">
      <c r="A288" s="47"/>
      <c r="B288" s="47"/>
      <c r="C288" s="47"/>
      <c r="D288" s="47"/>
      <c r="E288" s="47"/>
      <c r="F288" s="47"/>
      <c r="G288" s="47"/>
      <c r="H288" s="47"/>
      <c r="I288" s="47"/>
      <c r="J288" s="47"/>
      <c r="K288" s="47"/>
      <c r="L288" s="47"/>
      <c r="X288" s="47"/>
    </row>
    <row r="289" spans="1:24" x14ac:dyDescent="0.2">
      <c r="A289" s="47"/>
      <c r="B289" s="47"/>
      <c r="C289" s="47"/>
      <c r="D289" s="47"/>
      <c r="E289" s="47"/>
      <c r="F289" s="47"/>
      <c r="G289" s="47"/>
      <c r="H289" s="47"/>
      <c r="I289" s="47"/>
      <c r="J289" s="47"/>
      <c r="K289" s="47"/>
      <c r="L289" s="47"/>
      <c r="X289" s="47"/>
    </row>
    <row r="290" spans="1:24" x14ac:dyDescent="0.2">
      <c r="A290" s="47"/>
      <c r="B290" s="47"/>
      <c r="C290" s="47"/>
      <c r="D290" s="47"/>
      <c r="E290" s="47"/>
      <c r="F290" s="47"/>
      <c r="G290" s="47"/>
      <c r="H290" s="47"/>
      <c r="I290" s="47"/>
      <c r="J290" s="47"/>
      <c r="K290" s="47"/>
      <c r="L290" s="47"/>
      <c r="X290" s="47"/>
    </row>
    <row r="291" spans="1:24" x14ac:dyDescent="0.2">
      <c r="A291" s="47"/>
      <c r="B291" s="47"/>
      <c r="C291" s="47"/>
      <c r="D291" s="47"/>
      <c r="E291" s="47"/>
      <c r="F291" s="47"/>
      <c r="G291" s="47"/>
      <c r="H291" s="47"/>
      <c r="I291" s="47"/>
      <c r="J291" s="47"/>
      <c r="K291" s="47"/>
      <c r="L291" s="47"/>
      <c r="X291" s="47"/>
    </row>
    <row r="292" spans="1:24" x14ac:dyDescent="0.2">
      <c r="A292" s="47"/>
      <c r="B292" s="47"/>
      <c r="C292" s="47"/>
      <c r="D292" s="47"/>
      <c r="E292" s="47"/>
      <c r="F292" s="47"/>
      <c r="G292" s="47"/>
      <c r="H292" s="47"/>
      <c r="I292" s="47"/>
      <c r="J292" s="47"/>
      <c r="K292" s="47"/>
      <c r="L292" s="47"/>
      <c r="X292" s="47"/>
    </row>
    <row r="293" spans="1:24" x14ac:dyDescent="0.2">
      <c r="A293" s="47"/>
      <c r="B293" s="47"/>
      <c r="C293" s="47"/>
      <c r="D293" s="47"/>
      <c r="E293" s="47"/>
      <c r="F293" s="47"/>
      <c r="G293" s="47"/>
      <c r="H293" s="47"/>
      <c r="I293" s="47"/>
      <c r="J293" s="47"/>
      <c r="K293" s="47"/>
      <c r="L293" s="47"/>
      <c r="X293" s="47"/>
    </row>
    <row r="294" spans="1:24" x14ac:dyDescent="0.2">
      <c r="A294" s="47"/>
      <c r="B294" s="47"/>
      <c r="C294" s="47"/>
      <c r="D294" s="47"/>
      <c r="E294" s="47"/>
      <c r="F294" s="47"/>
      <c r="G294" s="47"/>
      <c r="H294" s="47"/>
      <c r="I294" s="47"/>
      <c r="J294" s="47"/>
      <c r="K294" s="47"/>
      <c r="L294" s="47"/>
      <c r="X294" s="47"/>
    </row>
    <row r="295" spans="1:24" x14ac:dyDescent="0.2">
      <c r="A295" s="47"/>
      <c r="B295" s="47"/>
      <c r="C295" s="47"/>
      <c r="D295" s="47"/>
      <c r="E295" s="47"/>
      <c r="F295" s="47"/>
      <c r="G295" s="47"/>
      <c r="H295" s="47"/>
      <c r="I295" s="47"/>
      <c r="J295" s="47"/>
      <c r="K295" s="47"/>
      <c r="L295" s="47"/>
      <c r="X295" s="47"/>
    </row>
    <row r="296" spans="1:24" x14ac:dyDescent="0.2">
      <c r="A296" s="47"/>
      <c r="B296" s="47"/>
      <c r="C296" s="47"/>
      <c r="D296" s="47"/>
      <c r="E296" s="47"/>
      <c r="F296" s="47"/>
      <c r="G296" s="47"/>
      <c r="H296" s="47"/>
      <c r="I296" s="47"/>
      <c r="J296" s="47"/>
      <c r="K296" s="47"/>
      <c r="L296" s="47"/>
      <c r="X296" s="47"/>
    </row>
    <row r="297" spans="1:24" x14ac:dyDescent="0.2">
      <c r="A297" s="47"/>
      <c r="B297" s="47"/>
      <c r="C297" s="47"/>
      <c r="D297" s="47"/>
      <c r="E297" s="47"/>
      <c r="F297" s="47"/>
      <c r="G297" s="47"/>
      <c r="H297" s="47"/>
      <c r="I297" s="47"/>
      <c r="J297" s="47"/>
      <c r="K297" s="47"/>
      <c r="L297" s="47"/>
      <c r="X297" s="47"/>
    </row>
    <row r="298" spans="1:24" x14ac:dyDescent="0.2">
      <c r="A298" s="47"/>
      <c r="B298" s="47"/>
      <c r="C298" s="47"/>
      <c r="D298" s="47"/>
      <c r="E298" s="47"/>
      <c r="F298" s="47"/>
      <c r="G298" s="47"/>
      <c r="H298" s="47"/>
      <c r="I298" s="47"/>
      <c r="J298" s="47"/>
      <c r="K298" s="47"/>
      <c r="L298" s="47"/>
      <c r="X298" s="47"/>
    </row>
    <row r="299" spans="1:24" x14ac:dyDescent="0.2">
      <c r="A299" s="47"/>
      <c r="B299" s="47"/>
      <c r="C299" s="47"/>
      <c r="D299" s="47"/>
      <c r="E299" s="47"/>
      <c r="F299" s="47"/>
      <c r="G299" s="47"/>
      <c r="H299" s="47"/>
      <c r="I299" s="47"/>
      <c r="J299" s="47"/>
      <c r="K299" s="47"/>
      <c r="L299" s="47"/>
      <c r="X299" s="47"/>
    </row>
    <row r="300" spans="1:24" x14ac:dyDescent="0.2">
      <c r="A300" s="47"/>
      <c r="B300" s="47"/>
      <c r="C300" s="47"/>
      <c r="D300" s="47"/>
      <c r="E300" s="47"/>
      <c r="F300" s="47"/>
      <c r="G300" s="47"/>
      <c r="H300" s="47"/>
      <c r="I300" s="47"/>
      <c r="J300" s="47"/>
      <c r="K300" s="47"/>
      <c r="L300" s="47"/>
      <c r="X300" s="47"/>
    </row>
    <row r="301" spans="1:24" x14ac:dyDescent="0.2">
      <c r="A301" s="47"/>
      <c r="B301" s="47"/>
      <c r="C301" s="47"/>
      <c r="D301" s="47"/>
      <c r="E301" s="47"/>
      <c r="F301" s="47"/>
      <c r="G301" s="47"/>
      <c r="H301" s="47"/>
      <c r="I301" s="47"/>
      <c r="J301" s="47"/>
      <c r="K301" s="47"/>
      <c r="L301" s="47"/>
      <c r="X301" s="47"/>
    </row>
    <row r="302" spans="1:24" x14ac:dyDescent="0.2">
      <c r="A302" s="47"/>
      <c r="B302" s="47"/>
      <c r="C302" s="47"/>
      <c r="D302" s="47"/>
      <c r="E302" s="47"/>
      <c r="F302" s="47"/>
      <c r="G302" s="47"/>
      <c r="H302" s="47"/>
      <c r="I302" s="47"/>
      <c r="J302" s="47"/>
      <c r="K302" s="47"/>
      <c r="L302" s="47"/>
      <c r="X302" s="47"/>
    </row>
    <row r="303" spans="1:24" x14ac:dyDescent="0.2">
      <c r="A303" s="47"/>
      <c r="B303" s="47"/>
      <c r="C303" s="47"/>
      <c r="D303" s="47"/>
      <c r="E303" s="47"/>
      <c r="F303" s="47"/>
      <c r="G303" s="47"/>
      <c r="H303" s="47"/>
      <c r="I303" s="47"/>
      <c r="J303" s="47"/>
      <c r="K303" s="47"/>
      <c r="L303" s="47"/>
      <c r="X303" s="47"/>
    </row>
    <row r="304" spans="1:24" x14ac:dyDescent="0.2">
      <c r="A304" s="47"/>
      <c r="B304" s="47"/>
      <c r="C304" s="47"/>
      <c r="D304" s="47"/>
      <c r="E304" s="47"/>
      <c r="F304" s="47"/>
      <c r="G304" s="47"/>
      <c r="H304" s="47"/>
      <c r="I304" s="47"/>
      <c r="J304" s="47"/>
      <c r="K304" s="47"/>
      <c r="L304" s="47"/>
      <c r="X304" s="47"/>
    </row>
    <row r="305" spans="1:24" x14ac:dyDescent="0.2">
      <c r="A305" s="47"/>
      <c r="B305" s="47"/>
      <c r="C305" s="47"/>
      <c r="D305" s="47"/>
      <c r="E305" s="47"/>
      <c r="F305" s="47"/>
      <c r="G305" s="47"/>
      <c r="H305" s="47"/>
      <c r="I305" s="47"/>
      <c r="J305" s="47"/>
      <c r="K305" s="47"/>
      <c r="L305" s="47"/>
      <c r="X305" s="47"/>
    </row>
    <row r="306" spans="1:24" x14ac:dyDescent="0.2">
      <c r="A306" s="47"/>
      <c r="B306" s="47"/>
      <c r="C306" s="47"/>
      <c r="D306" s="47"/>
      <c r="E306" s="47"/>
      <c r="F306" s="47"/>
      <c r="G306" s="47"/>
      <c r="H306" s="47"/>
      <c r="I306" s="47"/>
      <c r="J306" s="47"/>
      <c r="K306" s="47"/>
      <c r="L306" s="47"/>
      <c r="X306" s="47"/>
    </row>
    <row r="307" spans="1:24" x14ac:dyDescent="0.2">
      <c r="A307" s="47"/>
      <c r="B307" s="47"/>
      <c r="C307" s="47"/>
      <c r="D307" s="47"/>
      <c r="E307" s="47"/>
      <c r="F307" s="47"/>
      <c r="G307" s="47"/>
      <c r="H307" s="47"/>
      <c r="I307" s="47"/>
      <c r="J307" s="47"/>
      <c r="K307" s="47"/>
      <c r="L307" s="47"/>
      <c r="X307" s="47"/>
    </row>
    <row r="308" spans="1:24" x14ac:dyDescent="0.2">
      <c r="A308" s="47"/>
      <c r="B308" s="47"/>
      <c r="C308" s="47"/>
      <c r="D308" s="47"/>
      <c r="E308" s="47"/>
      <c r="F308" s="47"/>
      <c r="G308" s="47"/>
      <c r="H308" s="47"/>
      <c r="I308" s="47"/>
      <c r="J308" s="47"/>
      <c r="K308" s="47"/>
      <c r="L308" s="47"/>
      <c r="X308" s="47"/>
    </row>
    <row r="309" spans="1:24" x14ac:dyDescent="0.2">
      <c r="A309" s="47"/>
      <c r="B309" s="47"/>
      <c r="C309" s="47"/>
      <c r="D309" s="47"/>
      <c r="E309" s="47"/>
      <c r="F309" s="47"/>
      <c r="G309" s="47"/>
      <c r="H309" s="47"/>
      <c r="I309" s="47"/>
      <c r="J309" s="47"/>
      <c r="K309" s="47"/>
      <c r="L309" s="47"/>
      <c r="X309" s="47"/>
    </row>
    <row r="310" spans="1:24" x14ac:dyDescent="0.2">
      <c r="A310" s="47"/>
      <c r="B310" s="47"/>
      <c r="C310" s="47"/>
      <c r="D310" s="47"/>
      <c r="E310" s="47"/>
      <c r="F310" s="47"/>
      <c r="G310" s="47"/>
      <c r="H310" s="47"/>
      <c r="I310" s="47"/>
      <c r="J310" s="47"/>
      <c r="K310" s="47"/>
      <c r="L310" s="47"/>
      <c r="X310" s="47"/>
    </row>
    <row r="311" spans="1:24" x14ac:dyDescent="0.2">
      <c r="A311" s="47"/>
      <c r="B311" s="47"/>
      <c r="C311" s="47"/>
      <c r="D311" s="47"/>
      <c r="E311" s="47"/>
      <c r="F311" s="47"/>
      <c r="G311" s="47"/>
      <c r="H311" s="47"/>
      <c r="I311" s="47"/>
      <c r="J311" s="47"/>
      <c r="K311" s="47"/>
      <c r="L311" s="47"/>
      <c r="X311" s="47"/>
    </row>
    <row r="312" spans="1:24" x14ac:dyDescent="0.2">
      <c r="A312" s="47"/>
      <c r="B312" s="47"/>
      <c r="C312" s="47"/>
      <c r="D312" s="47"/>
      <c r="E312" s="47"/>
      <c r="F312" s="47"/>
      <c r="G312" s="47"/>
      <c r="H312" s="47"/>
      <c r="I312" s="47"/>
      <c r="J312" s="47"/>
      <c r="K312" s="47"/>
      <c r="L312" s="47"/>
      <c r="X312" s="47"/>
    </row>
    <row r="313" spans="1:24" x14ac:dyDescent="0.2">
      <c r="A313" s="47"/>
      <c r="B313" s="47"/>
      <c r="C313" s="47"/>
      <c r="D313" s="47"/>
      <c r="E313" s="47"/>
      <c r="F313" s="47"/>
      <c r="G313" s="47"/>
      <c r="H313" s="47"/>
      <c r="I313" s="47"/>
      <c r="J313" s="47"/>
      <c r="K313" s="47"/>
      <c r="L313" s="47"/>
      <c r="X313" s="47"/>
    </row>
    <row r="314" spans="1:24" x14ac:dyDescent="0.2">
      <c r="A314" s="47"/>
      <c r="B314" s="47"/>
      <c r="C314" s="47"/>
      <c r="D314" s="47"/>
      <c r="E314" s="47"/>
      <c r="F314" s="47"/>
      <c r="G314" s="47"/>
      <c r="H314" s="47"/>
      <c r="I314" s="47"/>
      <c r="J314" s="47"/>
      <c r="K314" s="47"/>
      <c r="L314" s="47"/>
      <c r="X314" s="47"/>
    </row>
    <row r="315" spans="1:24" x14ac:dyDescent="0.2">
      <c r="A315" s="47"/>
      <c r="B315" s="47"/>
      <c r="C315" s="47"/>
      <c r="D315" s="47"/>
      <c r="E315" s="47"/>
      <c r="F315" s="47"/>
      <c r="G315" s="47"/>
      <c r="H315" s="47"/>
      <c r="I315" s="47"/>
      <c r="J315" s="47"/>
      <c r="K315" s="47"/>
      <c r="L315" s="47"/>
      <c r="X315" s="47"/>
    </row>
    <row r="316" spans="1:24" x14ac:dyDescent="0.2">
      <c r="A316" s="47"/>
      <c r="B316" s="47"/>
      <c r="C316" s="47"/>
      <c r="D316" s="47"/>
      <c r="E316" s="47"/>
      <c r="F316" s="47"/>
      <c r="G316" s="47"/>
      <c r="H316" s="47"/>
      <c r="I316" s="47"/>
      <c r="J316" s="47"/>
      <c r="K316" s="47"/>
      <c r="L316" s="47"/>
      <c r="X316" s="47"/>
    </row>
    <row r="317" spans="1:24" x14ac:dyDescent="0.2">
      <c r="A317" s="47"/>
      <c r="B317" s="47"/>
      <c r="C317" s="47"/>
      <c r="D317" s="47"/>
      <c r="E317" s="47"/>
      <c r="F317" s="47"/>
      <c r="G317" s="47"/>
      <c r="H317" s="47"/>
      <c r="I317" s="47"/>
      <c r="J317" s="47"/>
      <c r="K317" s="47"/>
      <c r="L317" s="47"/>
      <c r="X317" s="47"/>
    </row>
    <row r="318" spans="1:24" x14ac:dyDescent="0.2">
      <c r="A318" s="47"/>
      <c r="B318" s="47"/>
      <c r="C318" s="47"/>
      <c r="D318" s="47"/>
      <c r="E318" s="47"/>
      <c r="F318" s="47"/>
      <c r="G318" s="47"/>
      <c r="H318" s="47"/>
      <c r="I318" s="47"/>
      <c r="J318" s="47"/>
      <c r="K318" s="47"/>
      <c r="L318" s="47"/>
      <c r="X318" s="47"/>
    </row>
    <row r="319" spans="1:24" x14ac:dyDescent="0.2">
      <c r="A319" s="47"/>
      <c r="B319" s="47"/>
      <c r="C319" s="47"/>
      <c r="D319" s="47"/>
      <c r="E319" s="47"/>
      <c r="F319" s="47"/>
      <c r="G319" s="47"/>
      <c r="H319" s="47"/>
      <c r="I319" s="47"/>
      <c r="J319" s="47"/>
      <c r="K319" s="47"/>
      <c r="L319" s="47"/>
      <c r="X319" s="47"/>
    </row>
    <row r="320" spans="1:24" x14ac:dyDescent="0.2">
      <c r="A320" s="47"/>
      <c r="B320" s="47"/>
      <c r="C320" s="47"/>
      <c r="D320" s="47"/>
      <c r="E320" s="47"/>
      <c r="F320" s="47"/>
      <c r="G320" s="47"/>
      <c r="H320" s="47"/>
      <c r="I320" s="47"/>
      <c r="J320" s="47"/>
      <c r="K320" s="47"/>
      <c r="L320" s="47"/>
      <c r="X320" s="47"/>
    </row>
    <row r="321" spans="1:24" x14ac:dyDescent="0.2">
      <c r="A321" s="47"/>
      <c r="B321" s="47"/>
      <c r="C321" s="47"/>
      <c r="D321" s="47"/>
      <c r="E321" s="47"/>
      <c r="F321" s="47"/>
      <c r="G321" s="47"/>
      <c r="H321" s="47"/>
      <c r="I321" s="47"/>
      <c r="J321" s="47"/>
      <c r="K321" s="47"/>
      <c r="L321" s="47"/>
      <c r="X321" s="47"/>
    </row>
    <row r="322" spans="1:24" x14ac:dyDescent="0.2">
      <c r="A322" s="47"/>
      <c r="B322" s="47"/>
      <c r="C322" s="47"/>
      <c r="D322" s="47"/>
      <c r="E322" s="47"/>
      <c r="F322" s="47"/>
      <c r="G322" s="47"/>
      <c r="H322" s="47"/>
      <c r="I322" s="47"/>
      <c r="J322" s="47"/>
      <c r="K322" s="47"/>
      <c r="L322" s="47"/>
      <c r="X322" s="47"/>
    </row>
    <row r="323" spans="1:24" x14ac:dyDescent="0.2">
      <c r="A323" s="47"/>
      <c r="B323" s="47"/>
      <c r="C323" s="47"/>
      <c r="D323" s="47"/>
      <c r="E323" s="47"/>
      <c r="F323" s="47"/>
      <c r="G323" s="47"/>
      <c r="H323" s="47"/>
      <c r="I323" s="47"/>
      <c r="J323" s="47"/>
      <c r="K323" s="47"/>
      <c r="L323" s="47"/>
      <c r="X323" s="47"/>
    </row>
    <row r="324" spans="1:24" x14ac:dyDescent="0.2">
      <c r="A324" s="47"/>
      <c r="B324" s="47"/>
      <c r="C324" s="47"/>
      <c r="D324" s="47"/>
      <c r="E324" s="47"/>
      <c r="F324" s="47"/>
      <c r="G324" s="47"/>
      <c r="H324" s="47"/>
      <c r="I324" s="47"/>
      <c r="J324" s="47"/>
      <c r="K324" s="47"/>
      <c r="L324" s="47"/>
      <c r="X324" s="47"/>
    </row>
    <row r="325" spans="1:24" x14ac:dyDescent="0.2">
      <c r="A325" s="47"/>
      <c r="B325" s="47"/>
      <c r="C325" s="47"/>
      <c r="D325" s="47"/>
      <c r="E325" s="47"/>
      <c r="F325" s="47"/>
      <c r="G325" s="47"/>
      <c r="H325" s="47"/>
      <c r="I325" s="47"/>
      <c r="J325" s="47"/>
      <c r="K325" s="47"/>
      <c r="L325" s="47"/>
      <c r="X325" s="47"/>
    </row>
    <row r="326" spans="1:24" x14ac:dyDescent="0.2">
      <c r="A326" s="47"/>
      <c r="B326" s="47"/>
      <c r="C326" s="47"/>
      <c r="D326" s="47"/>
      <c r="E326" s="47"/>
      <c r="F326" s="47"/>
      <c r="G326" s="47"/>
      <c r="H326" s="47"/>
      <c r="I326" s="47"/>
      <c r="J326" s="47"/>
      <c r="K326" s="47"/>
      <c r="L326" s="47"/>
      <c r="X326" s="47"/>
    </row>
    <row r="327" spans="1:24" x14ac:dyDescent="0.2">
      <c r="A327" s="47"/>
      <c r="B327" s="47"/>
      <c r="C327" s="47"/>
      <c r="D327" s="47"/>
      <c r="E327" s="47"/>
      <c r="F327" s="47"/>
      <c r="G327" s="47"/>
      <c r="H327" s="47"/>
      <c r="I327" s="47"/>
      <c r="J327" s="47"/>
      <c r="K327" s="47"/>
      <c r="L327" s="47"/>
      <c r="X327" s="47"/>
    </row>
    <row r="328" spans="1:24" x14ac:dyDescent="0.2">
      <c r="A328" s="47"/>
      <c r="B328" s="47"/>
      <c r="C328" s="47"/>
      <c r="D328" s="47"/>
      <c r="E328" s="47"/>
      <c r="F328" s="47"/>
      <c r="G328" s="47"/>
      <c r="H328" s="47"/>
      <c r="I328" s="47"/>
      <c r="J328" s="47"/>
      <c r="K328" s="47"/>
      <c r="L328" s="47"/>
      <c r="X328" s="47"/>
    </row>
    <row r="329" spans="1:24" x14ac:dyDescent="0.2">
      <c r="A329" s="47"/>
      <c r="B329" s="47"/>
      <c r="C329" s="47"/>
      <c r="D329" s="47"/>
      <c r="E329" s="47"/>
      <c r="F329" s="47"/>
      <c r="G329" s="47"/>
      <c r="H329" s="47"/>
      <c r="I329" s="47"/>
      <c r="J329" s="47"/>
      <c r="K329" s="47"/>
      <c r="L329" s="47"/>
      <c r="X329" s="47"/>
    </row>
    <row r="330" spans="1:24" x14ac:dyDescent="0.2">
      <c r="A330" s="47"/>
      <c r="B330" s="47"/>
      <c r="C330" s="47"/>
      <c r="D330" s="47"/>
      <c r="E330" s="47"/>
      <c r="F330" s="47"/>
      <c r="G330" s="47"/>
      <c r="H330" s="47"/>
      <c r="I330" s="47"/>
      <c r="J330" s="47"/>
      <c r="K330" s="47"/>
      <c r="L330" s="47"/>
      <c r="X330" s="47"/>
    </row>
    <row r="331" spans="1:24" x14ac:dyDescent="0.2">
      <c r="A331" s="47"/>
      <c r="B331" s="47"/>
      <c r="C331" s="47"/>
      <c r="D331" s="47"/>
      <c r="E331" s="47"/>
      <c r="F331" s="47"/>
      <c r="G331" s="47"/>
      <c r="H331" s="47"/>
      <c r="I331" s="47"/>
      <c r="J331" s="47"/>
      <c r="K331" s="47"/>
      <c r="L331" s="47"/>
      <c r="X331" s="47"/>
    </row>
    <row r="332" spans="1:24" x14ac:dyDescent="0.2">
      <c r="A332" s="47"/>
      <c r="B332" s="47"/>
      <c r="C332" s="47"/>
      <c r="D332" s="47"/>
      <c r="E332" s="47"/>
      <c r="F332" s="47"/>
      <c r="G332" s="47"/>
      <c r="H332" s="47"/>
      <c r="I332" s="47"/>
      <c r="J332" s="47"/>
      <c r="K332" s="47"/>
      <c r="L332" s="47"/>
      <c r="X332" s="47"/>
    </row>
    <row r="333" spans="1:24" x14ac:dyDescent="0.2">
      <c r="A333" s="47"/>
      <c r="B333" s="47"/>
      <c r="C333" s="47"/>
      <c r="D333" s="47"/>
      <c r="E333" s="47"/>
      <c r="F333" s="47"/>
      <c r="G333" s="47"/>
      <c r="H333" s="47"/>
      <c r="I333" s="47"/>
      <c r="J333" s="47"/>
      <c r="K333" s="47"/>
      <c r="L333" s="47"/>
      <c r="X333" s="47"/>
    </row>
    <row r="334" spans="1:24" x14ac:dyDescent="0.2">
      <c r="A334" s="47"/>
      <c r="B334" s="47"/>
      <c r="C334" s="47"/>
      <c r="D334" s="47"/>
      <c r="E334" s="47"/>
      <c r="F334" s="47"/>
      <c r="G334" s="47"/>
      <c r="H334" s="47"/>
      <c r="I334" s="47"/>
      <c r="J334" s="47"/>
      <c r="K334" s="47"/>
      <c r="L334" s="47"/>
      <c r="X334" s="47"/>
    </row>
    <row r="335" spans="1:24" x14ac:dyDescent="0.2">
      <c r="A335" s="47"/>
      <c r="B335" s="47"/>
      <c r="C335" s="47"/>
      <c r="D335" s="47"/>
      <c r="E335" s="47"/>
      <c r="F335" s="47"/>
      <c r="G335" s="47"/>
      <c r="H335" s="47"/>
      <c r="I335" s="47"/>
      <c r="J335" s="47"/>
      <c r="K335" s="47"/>
      <c r="L335" s="47"/>
      <c r="X335" s="47"/>
    </row>
    <row r="336" spans="1:24" x14ac:dyDescent="0.2">
      <c r="A336" s="47"/>
      <c r="B336" s="47"/>
      <c r="C336" s="47"/>
      <c r="D336" s="47"/>
      <c r="E336" s="47"/>
      <c r="F336" s="47"/>
      <c r="G336" s="47"/>
      <c r="H336" s="47"/>
      <c r="I336" s="47"/>
      <c r="J336" s="47"/>
      <c r="K336" s="47"/>
      <c r="L336" s="47"/>
      <c r="X336" s="47"/>
    </row>
    <row r="337" spans="1:24" x14ac:dyDescent="0.2">
      <c r="A337" s="47"/>
      <c r="B337" s="47"/>
      <c r="C337" s="47"/>
      <c r="D337" s="47"/>
      <c r="E337" s="47"/>
      <c r="F337" s="47"/>
      <c r="G337" s="47"/>
      <c r="H337" s="47"/>
      <c r="I337" s="47"/>
      <c r="J337" s="47"/>
      <c r="K337" s="47"/>
      <c r="L337" s="47"/>
      <c r="X337" s="47"/>
    </row>
    <row r="338" spans="1:24" x14ac:dyDescent="0.2">
      <c r="A338" s="47"/>
      <c r="B338" s="47"/>
      <c r="C338" s="47"/>
      <c r="D338" s="47"/>
      <c r="E338" s="47"/>
      <c r="F338" s="47"/>
      <c r="G338" s="47"/>
      <c r="H338" s="47"/>
      <c r="I338" s="47"/>
      <c r="J338" s="47"/>
      <c r="K338" s="47"/>
      <c r="L338" s="47"/>
      <c r="X338" s="47"/>
    </row>
    <row r="339" spans="1:24" x14ac:dyDescent="0.2">
      <c r="A339" s="47"/>
      <c r="B339" s="47"/>
      <c r="C339" s="47"/>
      <c r="D339" s="47"/>
      <c r="E339" s="47"/>
      <c r="F339" s="47"/>
      <c r="G339" s="47"/>
      <c r="H339" s="47"/>
      <c r="I339" s="47"/>
      <c r="J339" s="47"/>
      <c r="K339" s="47"/>
      <c r="L339" s="47"/>
      <c r="X339" s="47"/>
    </row>
    <row r="340" spans="1:24" x14ac:dyDescent="0.2">
      <c r="A340" s="47"/>
      <c r="B340" s="47"/>
      <c r="C340" s="47"/>
      <c r="D340" s="47"/>
      <c r="E340" s="47"/>
      <c r="F340" s="47"/>
      <c r="G340" s="47"/>
      <c r="H340" s="47"/>
      <c r="I340" s="47"/>
      <c r="J340" s="47"/>
      <c r="K340" s="47"/>
      <c r="L340" s="47"/>
      <c r="X340" s="47"/>
    </row>
    <row r="341" spans="1:24" x14ac:dyDescent="0.2">
      <c r="A341" s="47"/>
      <c r="B341" s="47"/>
      <c r="C341" s="47"/>
      <c r="D341" s="47"/>
      <c r="E341" s="47"/>
      <c r="F341" s="47"/>
      <c r="G341" s="47"/>
      <c r="H341" s="47"/>
      <c r="I341" s="47"/>
      <c r="J341" s="47"/>
      <c r="K341" s="47"/>
      <c r="L341" s="47"/>
      <c r="X341" s="47"/>
    </row>
    <row r="342" spans="1:24" x14ac:dyDescent="0.2">
      <c r="A342" s="47"/>
      <c r="B342" s="47"/>
      <c r="C342" s="47"/>
      <c r="D342" s="47"/>
      <c r="E342" s="47"/>
      <c r="F342" s="47"/>
      <c r="G342" s="47"/>
      <c r="H342" s="47"/>
      <c r="I342" s="47"/>
      <c r="J342" s="47"/>
      <c r="K342" s="47"/>
      <c r="L342" s="47"/>
      <c r="X342" s="47"/>
    </row>
    <row r="343" spans="1:24" x14ac:dyDescent="0.2">
      <c r="A343" s="47"/>
      <c r="B343" s="47"/>
      <c r="C343" s="47"/>
      <c r="D343" s="47"/>
      <c r="E343" s="47"/>
      <c r="F343" s="47"/>
      <c r="G343" s="47"/>
      <c r="H343" s="47"/>
      <c r="I343" s="47"/>
      <c r="J343" s="47"/>
      <c r="K343" s="47"/>
      <c r="L343" s="47"/>
      <c r="X343" s="47"/>
    </row>
    <row r="344" spans="1:24" x14ac:dyDescent="0.2">
      <c r="A344" s="47"/>
      <c r="B344" s="47"/>
      <c r="C344" s="47"/>
      <c r="D344" s="47"/>
      <c r="E344" s="47"/>
      <c r="F344" s="47"/>
      <c r="G344" s="47"/>
      <c r="H344" s="47"/>
      <c r="I344" s="47"/>
      <c r="J344" s="47"/>
      <c r="K344" s="47"/>
      <c r="L344" s="47"/>
      <c r="X344" s="47"/>
    </row>
    <row r="345" spans="1:24" x14ac:dyDescent="0.2">
      <c r="A345" s="47"/>
      <c r="B345" s="47"/>
      <c r="C345" s="47"/>
      <c r="D345" s="47"/>
      <c r="E345" s="47"/>
      <c r="F345" s="47"/>
      <c r="G345" s="47"/>
      <c r="H345" s="47"/>
      <c r="I345" s="47"/>
      <c r="J345" s="47"/>
      <c r="K345" s="47"/>
      <c r="L345" s="47"/>
      <c r="X345" s="47"/>
    </row>
    <row r="346" spans="1:24" x14ac:dyDescent="0.2">
      <c r="A346" s="47"/>
      <c r="B346" s="47"/>
      <c r="C346" s="47"/>
      <c r="D346" s="47"/>
      <c r="E346" s="47"/>
      <c r="F346" s="47"/>
      <c r="G346" s="47"/>
      <c r="H346" s="47"/>
      <c r="I346" s="47"/>
      <c r="J346" s="47"/>
      <c r="K346" s="47"/>
      <c r="L346" s="47"/>
      <c r="X346" s="47"/>
    </row>
    <row r="347" spans="1:24" x14ac:dyDescent="0.2">
      <c r="A347" s="47"/>
      <c r="B347" s="47"/>
      <c r="C347" s="47"/>
      <c r="D347" s="47"/>
      <c r="E347" s="47"/>
      <c r="F347" s="47"/>
      <c r="G347" s="47"/>
      <c r="H347" s="47"/>
      <c r="I347" s="47"/>
      <c r="J347" s="47"/>
      <c r="K347" s="47"/>
      <c r="L347" s="47"/>
      <c r="X347" s="47"/>
    </row>
    <row r="348" spans="1:24" x14ac:dyDescent="0.2">
      <c r="A348" s="47"/>
      <c r="B348" s="47"/>
      <c r="C348" s="47"/>
      <c r="D348" s="47"/>
      <c r="E348" s="47"/>
      <c r="F348" s="47"/>
      <c r="G348" s="47"/>
      <c r="H348" s="47"/>
      <c r="I348" s="47"/>
      <c r="J348" s="47"/>
      <c r="K348" s="47"/>
      <c r="L348" s="47"/>
      <c r="X348" s="47"/>
    </row>
    <row r="349" spans="1:24" x14ac:dyDescent="0.2">
      <c r="A349" s="47"/>
      <c r="B349" s="47"/>
      <c r="C349" s="47"/>
      <c r="D349" s="47"/>
      <c r="E349" s="47"/>
      <c r="F349" s="47"/>
      <c r="G349" s="47"/>
      <c r="H349" s="47"/>
      <c r="I349" s="47"/>
      <c r="J349" s="47"/>
      <c r="K349" s="47"/>
      <c r="L349" s="47"/>
      <c r="X349" s="47"/>
    </row>
    <row r="350" spans="1:24" x14ac:dyDescent="0.2">
      <c r="A350" s="47"/>
      <c r="B350" s="47"/>
      <c r="C350" s="47"/>
      <c r="D350" s="47"/>
      <c r="E350" s="47"/>
      <c r="F350" s="47"/>
      <c r="G350" s="47"/>
      <c r="H350" s="47"/>
      <c r="I350" s="47"/>
      <c r="J350" s="47"/>
      <c r="K350" s="47"/>
      <c r="L350" s="47"/>
      <c r="X350" s="47"/>
    </row>
    <row r="351" spans="1:24" x14ac:dyDescent="0.2">
      <c r="A351" s="47"/>
      <c r="B351" s="47"/>
      <c r="C351" s="47"/>
      <c r="D351" s="47"/>
      <c r="E351" s="47"/>
      <c r="F351" s="47"/>
      <c r="G351" s="47"/>
      <c r="H351" s="47"/>
      <c r="I351" s="47"/>
      <c r="J351" s="47"/>
      <c r="K351" s="47"/>
      <c r="L351" s="47"/>
      <c r="X351" s="47"/>
    </row>
    <row r="352" spans="1:24" x14ac:dyDescent="0.2">
      <c r="A352" s="47"/>
      <c r="B352" s="47"/>
      <c r="C352" s="47"/>
      <c r="D352" s="47"/>
      <c r="E352" s="47"/>
      <c r="F352" s="47"/>
      <c r="G352" s="47"/>
      <c r="H352" s="47"/>
      <c r="I352" s="47"/>
      <c r="J352" s="47"/>
      <c r="K352" s="47"/>
      <c r="L352" s="47"/>
      <c r="X352" s="47"/>
    </row>
    <row r="353" spans="1:24" x14ac:dyDescent="0.2">
      <c r="A353" s="47"/>
      <c r="B353" s="47"/>
      <c r="C353" s="47"/>
      <c r="D353" s="47"/>
      <c r="E353" s="47"/>
      <c r="F353" s="47"/>
      <c r="G353" s="47"/>
      <c r="H353" s="47"/>
      <c r="I353" s="47"/>
      <c r="J353" s="47"/>
      <c r="K353" s="47"/>
      <c r="L353" s="47"/>
      <c r="X353" s="47"/>
    </row>
    <row r="354" spans="1:24" x14ac:dyDescent="0.2">
      <c r="A354" s="47"/>
      <c r="B354" s="47"/>
      <c r="C354" s="47"/>
      <c r="D354" s="47"/>
      <c r="E354" s="47"/>
      <c r="F354" s="47"/>
      <c r="G354" s="47"/>
      <c r="H354" s="47"/>
      <c r="I354" s="47"/>
      <c r="J354" s="47"/>
      <c r="K354" s="47"/>
      <c r="L354" s="47"/>
      <c r="X354" s="47"/>
    </row>
    <row r="355" spans="1:24" x14ac:dyDescent="0.2">
      <c r="A355" s="47"/>
      <c r="B355" s="47"/>
      <c r="C355" s="47"/>
      <c r="D355" s="47"/>
      <c r="E355" s="47"/>
      <c r="F355" s="47"/>
      <c r="G355" s="47"/>
      <c r="H355" s="47"/>
      <c r="I355" s="47"/>
      <c r="J355" s="47"/>
      <c r="K355" s="47"/>
      <c r="L355" s="47"/>
      <c r="X355" s="47"/>
    </row>
    <row r="356" spans="1:24" x14ac:dyDescent="0.2">
      <c r="A356" s="47"/>
      <c r="B356" s="47"/>
      <c r="C356" s="47"/>
      <c r="D356" s="47"/>
      <c r="E356" s="47"/>
      <c r="F356" s="47"/>
      <c r="G356" s="47"/>
      <c r="H356" s="47"/>
      <c r="I356" s="47"/>
      <c r="J356" s="47"/>
      <c r="K356" s="47"/>
      <c r="L356" s="47"/>
      <c r="X356" s="47"/>
    </row>
  </sheetData>
  <dataValidations disablePrompts="1" count="1">
    <dataValidation type="list" allowBlank="1" showInputMessage="1" showErrorMessage="1" sqref="E5:Y5">
      <formula1>index_ahu</formula1>
    </dataValidation>
  </dataValidations>
  <pageMargins left="0.75" right="0.75" top="1" bottom="1" header="0.4921259845" footer="0.4921259845"/>
  <pageSetup paperSize="8" orientation="landscape" horizontalDpi="4294967292" verticalDpi="300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8193" r:id="rId4" name="Button 1">
              <controlPr defaultSize="0" print="0" autoFill="0" autoPict="0" macro="[0]!Template_Show">
                <anchor moveWithCells="1" sizeWithCells="1">
                  <from>
                    <xdr:col>11</xdr:col>
                    <xdr:colOff>447675</xdr:colOff>
                    <xdr:row>0</xdr:row>
                    <xdr:rowOff>38100</xdr:rowOff>
                  </from>
                  <to>
                    <xdr:col>13</xdr:col>
                    <xdr:colOff>323850</xdr:colOff>
                    <xdr:row>1</xdr:row>
                    <xdr:rowOff>57150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List10"/>
  <dimension ref="A1:AI356"/>
  <sheetViews>
    <sheetView zoomScaleNormal="100" workbookViewId="0">
      <selection activeCell="T12" sqref="T12"/>
    </sheetView>
  </sheetViews>
  <sheetFormatPr defaultRowHeight="12.75" x14ac:dyDescent="0.2"/>
  <cols>
    <col min="1" max="1" width="2.42578125" style="12" customWidth="1"/>
    <col min="2" max="2" width="16.7109375" style="12" customWidth="1"/>
    <col min="3" max="3" width="3.7109375" style="12" customWidth="1"/>
    <col min="4" max="4" width="9.140625" style="12"/>
    <col min="5" max="5" width="10.140625" style="12" customWidth="1"/>
    <col min="6" max="6" width="9.42578125" style="12" customWidth="1"/>
    <col min="7" max="7" width="9" style="12" customWidth="1"/>
    <col min="8" max="8" width="7.28515625" style="12" customWidth="1"/>
    <col min="9" max="9" width="7.42578125" style="12" customWidth="1"/>
    <col min="10" max="10" width="10.7109375" style="12" customWidth="1"/>
    <col min="11" max="11" width="9.42578125" style="12" customWidth="1"/>
    <col min="12" max="12" width="7.28515625" style="12" customWidth="1"/>
    <col min="13" max="13" width="7.28515625" style="110" customWidth="1"/>
    <col min="14" max="23" width="9.85546875" style="110" customWidth="1"/>
    <col min="24" max="24" width="9.140625" style="12"/>
    <col min="25" max="25" width="11" style="61" customWidth="1"/>
    <col min="26" max="26" width="12" style="61" customWidth="1"/>
    <col min="27" max="33" width="9.140625" style="56"/>
    <col min="34" max="16384" width="9.140625" style="12"/>
  </cols>
  <sheetData>
    <row r="1" spans="1:35" ht="20.25" x14ac:dyDescent="0.3">
      <c r="A1" s="7"/>
      <c r="B1" s="8"/>
      <c r="C1" s="9" t="s">
        <v>78</v>
      </c>
      <c r="D1" s="7"/>
      <c r="E1" s="7"/>
      <c r="F1" s="7"/>
      <c r="G1" s="7"/>
      <c r="H1" s="7"/>
      <c r="I1" s="7"/>
      <c r="J1" s="10" t="s">
        <v>75</v>
      </c>
      <c r="K1" s="11">
        <v>94.5</v>
      </c>
      <c r="L1" s="7" t="s">
        <v>11</v>
      </c>
      <c r="M1" s="93"/>
      <c r="N1" s="93"/>
      <c r="O1" s="93"/>
      <c r="P1" s="93"/>
      <c r="Q1" s="93"/>
      <c r="R1" s="93"/>
      <c r="S1" s="93"/>
      <c r="T1" s="93"/>
      <c r="U1" s="93"/>
      <c r="V1" s="93"/>
      <c r="W1" s="93"/>
      <c r="X1" s="7"/>
      <c r="Y1" s="90"/>
      <c r="Z1" s="90"/>
      <c r="AA1" s="90"/>
      <c r="AB1" s="90"/>
      <c r="AC1" s="90"/>
      <c r="AD1" s="58"/>
    </row>
    <row r="2" spans="1:35" ht="12.75" customHeight="1" x14ac:dyDescent="0.2">
      <c r="A2" s="7"/>
      <c r="B2" s="13"/>
      <c r="C2" s="52" t="s">
        <v>194</v>
      </c>
      <c r="D2" s="53"/>
      <c r="E2" s="53"/>
      <c r="F2" s="54"/>
      <c r="G2" s="7"/>
      <c r="H2" s="7"/>
      <c r="I2" s="7"/>
      <c r="J2" s="14" t="s">
        <v>76</v>
      </c>
      <c r="K2" s="11">
        <v>100</v>
      </c>
      <c r="L2" s="7" t="s">
        <v>5</v>
      </c>
      <c r="M2" s="94">
        <f>K2/100</f>
        <v>1</v>
      </c>
      <c r="N2" s="93"/>
      <c r="O2" s="93"/>
      <c r="P2" s="93"/>
      <c r="Q2" s="93"/>
      <c r="R2" s="93"/>
      <c r="S2" s="93"/>
      <c r="T2" s="93"/>
      <c r="U2" s="93"/>
      <c r="V2" s="93"/>
      <c r="W2" s="93"/>
      <c r="X2" s="7"/>
      <c r="Y2" s="90"/>
      <c r="Z2" s="90"/>
      <c r="AA2" s="90"/>
      <c r="AB2" s="90"/>
      <c r="AC2" s="90"/>
      <c r="AD2" s="58"/>
    </row>
    <row r="3" spans="1:35" ht="12.75" customHeight="1" x14ac:dyDescent="0.2">
      <c r="A3" s="7"/>
      <c r="B3" s="7"/>
      <c r="C3" s="7"/>
      <c r="D3" s="7"/>
      <c r="E3" s="7"/>
      <c r="F3" s="7"/>
      <c r="G3" s="7"/>
      <c r="H3" s="7"/>
      <c r="I3" s="7"/>
      <c r="J3" s="14" t="s">
        <v>77</v>
      </c>
      <c r="K3" s="11">
        <v>3</v>
      </c>
      <c r="L3" s="15" t="s">
        <v>4</v>
      </c>
      <c r="M3" s="93"/>
      <c r="N3" s="93"/>
      <c r="O3" s="93"/>
      <c r="P3" s="93"/>
      <c r="Q3" s="93"/>
      <c r="R3" s="93"/>
      <c r="S3" s="93"/>
      <c r="T3" s="93"/>
      <c r="U3" s="93"/>
      <c r="V3" s="93"/>
      <c r="W3" s="93"/>
      <c r="X3" s="7"/>
      <c r="Y3" s="90" t="s">
        <v>118</v>
      </c>
      <c r="Z3" s="90">
        <f>IF(Tchladice&lt;-50,#N/A,IF(Tchladice&lt;0,EXP((1738.4+28.74*Tchladice)/(271+Tchladice)),IF(Tchladice&lt;=100,EXP((1500.3+23.5*Tchladice)/(234+Tchladice)),#N/A)))</f>
        <v>755.8538982845879</v>
      </c>
      <c r="AA3" s="90"/>
      <c r="AB3" s="90"/>
      <c r="AC3" s="90"/>
      <c r="AD3" s="58"/>
    </row>
    <row r="4" spans="1:35" ht="12.75" customHeight="1" x14ac:dyDescent="0.2">
      <c r="A4" s="7"/>
      <c r="B4" s="16" t="s">
        <v>69</v>
      </c>
      <c r="C4" s="7"/>
      <c r="D4" s="7"/>
      <c r="E4" s="17">
        <v>1</v>
      </c>
      <c r="F4" s="17">
        <v>2</v>
      </c>
      <c r="G4" s="17">
        <v>3</v>
      </c>
      <c r="H4" s="17">
        <v>4</v>
      </c>
      <c r="I4" s="17">
        <v>5</v>
      </c>
      <c r="J4" s="17">
        <v>6</v>
      </c>
      <c r="K4" s="17">
        <v>7</v>
      </c>
      <c r="L4" s="17">
        <v>8</v>
      </c>
      <c r="M4" s="17">
        <v>9</v>
      </c>
      <c r="N4" s="17">
        <v>10</v>
      </c>
      <c r="O4" s="17">
        <v>11</v>
      </c>
      <c r="P4" s="17">
        <v>12</v>
      </c>
      <c r="Q4" s="17">
        <v>13</v>
      </c>
      <c r="R4" s="17">
        <v>14</v>
      </c>
      <c r="S4" s="17">
        <v>15</v>
      </c>
      <c r="T4" s="17">
        <v>17</v>
      </c>
      <c r="U4" s="17">
        <v>18</v>
      </c>
      <c r="V4" s="17">
        <v>19</v>
      </c>
      <c r="W4" s="17">
        <v>20</v>
      </c>
      <c r="X4" s="7"/>
      <c r="Y4" s="90" t="s">
        <v>119</v>
      </c>
      <c r="Z4" s="90">
        <f>0.6222*Z3/(Tlak_vzduchu-Z3/1000)</f>
        <v>5.0167644068397435</v>
      </c>
      <c r="AA4" s="90"/>
      <c r="AB4" s="91"/>
      <c r="AC4" s="91"/>
      <c r="AD4"/>
      <c r="AE4"/>
      <c r="AF4"/>
      <c r="AG4"/>
      <c r="AH4"/>
      <c r="AI4"/>
    </row>
    <row r="5" spans="1:35" ht="12.75" customHeight="1" x14ac:dyDescent="0.2">
      <c r="A5" s="7"/>
      <c r="B5" s="15" t="s">
        <v>61</v>
      </c>
      <c r="C5" s="7" t="s">
        <v>149</v>
      </c>
      <c r="D5" s="7" t="s">
        <v>150</v>
      </c>
      <c r="E5" s="92" t="s">
        <v>167</v>
      </c>
      <c r="F5" s="92" t="s">
        <v>160</v>
      </c>
      <c r="G5" s="92" t="s">
        <v>161</v>
      </c>
      <c r="H5" s="92" t="s">
        <v>164</v>
      </c>
      <c r="I5" s="92" t="s">
        <v>165</v>
      </c>
      <c r="J5" s="92" t="s">
        <v>166</v>
      </c>
      <c r="K5" s="92" t="s">
        <v>152</v>
      </c>
      <c r="L5" s="92" t="s">
        <v>153</v>
      </c>
      <c r="M5" s="92" t="s">
        <v>143</v>
      </c>
      <c r="N5" s="92" t="s">
        <v>144</v>
      </c>
      <c r="O5" s="92" t="s">
        <v>145</v>
      </c>
      <c r="P5" s="92" t="s">
        <v>146</v>
      </c>
      <c r="Q5" s="92" t="s">
        <v>147</v>
      </c>
      <c r="R5" s="92" t="s">
        <v>148</v>
      </c>
      <c r="S5" s="92" t="s">
        <v>195</v>
      </c>
      <c r="T5" s="92" t="s">
        <v>172</v>
      </c>
      <c r="U5" s="92" t="s">
        <v>170</v>
      </c>
      <c r="V5" s="92"/>
      <c r="W5" s="92"/>
      <c r="X5" s="7"/>
      <c r="Y5" s="90"/>
      <c r="Z5" s="90"/>
      <c r="AA5" s="90"/>
      <c r="AB5" s="91"/>
      <c r="AC5" s="91"/>
      <c r="AD5"/>
      <c r="AE5"/>
      <c r="AF5"/>
      <c r="AG5"/>
      <c r="AH5"/>
      <c r="AI5"/>
    </row>
    <row r="6" spans="1:35" x14ac:dyDescent="0.2">
      <c r="A6" s="7"/>
      <c r="B6" s="7" t="s">
        <v>62</v>
      </c>
      <c r="C6" s="18" t="s">
        <v>0</v>
      </c>
      <c r="D6" s="19" t="s">
        <v>4</v>
      </c>
      <c r="E6" s="2">
        <v>-25</v>
      </c>
      <c r="F6" s="2">
        <v>-25</v>
      </c>
      <c r="G6" s="2">
        <v>-25</v>
      </c>
      <c r="H6" s="2">
        <v>-25</v>
      </c>
      <c r="I6" s="2">
        <v>20</v>
      </c>
      <c r="J6" s="2"/>
      <c r="K6" s="122">
        <f>J16</f>
        <v>4.277020603210544</v>
      </c>
      <c r="L6" s="122">
        <v>8</v>
      </c>
      <c r="M6" s="123">
        <f>L6</f>
        <v>8</v>
      </c>
      <c r="N6" s="96">
        <v>20</v>
      </c>
      <c r="O6" s="96">
        <v>35</v>
      </c>
      <c r="P6" s="96">
        <v>16</v>
      </c>
      <c r="Q6" s="123">
        <f>P16</f>
        <v>16</v>
      </c>
      <c r="R6" s="2">
        <v>20</v>
      </c>
      <c r="S6" s="122">
        <f>R16</f>
        <v>20</v>
      </c>
      <c r="T6" s="122">
        <f t="shared" ref="T6:U6" si="0">S16</f>
        <v>20</v>
      </c>
      <c r="U6" s="122">
        <f t="shared" si="0"/>
        <v>20</v>
      </c>
      <c r="V6" s="96"/>
      <c r="W6" s="96"/>
      <c r="X6" s="7"/>
      <c r="Y6" s="90"/>
      <c r="Z6" s="90">
        <f>1.01*Tchladice+(2501+1.86*Tchladice)*Z4/1000</f>
        <v>15.604921326896363</v>
      </c>
      <c r="AA6" s="90"/>
      <c r="AB6" s="90"/>
      <c r="AC6" s="90"/>
      <c r="AD6" s="58"/>
    </row>
    <row r="7" spans="1:35" x14ac:dyDescent="0.2">
      <c r="A7" s="7"/>
      <c r="B7" s="7" t="s">
        <v>63</v>
      </c>
      <c r="C7" s="20" t="s">
        <v>1</v>
      </c>
      <c r="D7" s="19" t="s">
        <v>5</v>
      </c>
      <c r="E7" s="2">
        <v>20</v>
      </c>
      <c r="F7" s="2">
        <v>20</v>
      </c>
      <c r="G7" s="2">
        <v>20</v>
      </c>
      <c r="H7" s="2">
        <v>20</v>
      </c>
      <c r="I7" s="2">
        <v>60</v>
      </c>
      <c r="J7" s="2"/>
      <c r="K7" s="55">
        <f>J17</f>
        <v>1</v>
      </c>
      <c r="L7" s="55"/>
      <c r="M7" s="97">
        <f>L17</f>
        <v>7.7246107631210341E-3</v>
      </c>
      <c r="N7" s="96"/>
      <c r="O7" s="96">
        <v>40</v>
      </c>
      <c r="P7" s="96"/>
      <c r="Q7" s="97">
        <f>P17</f>
        <v>0.75771330367416145</v>
      </c>
      <c r="R7" s="2"/>
      <c r="S7" s="55">
        <f>R17</f>
        <v>5.8899545819655012E-3</v>
      </c>
      <c r="T7" s="55">
        <f t="shared" ref="T7:U7" si="1">S17</f>
        <v>5.889954581965501E-5</v>
      </c>
      <c r="U7" s="55">
        <f t="shared" si="1"/>
        <v>5.8899545819655022E-7</v>
      </c>
      <c r="V7" s="96"/>
      <c r="W7" s="96"/>
      <c r="X7" s="7"/>
      <c r="Y7" s="90"/>
      <c r="Z7" s="90"/>
      <c r="AA7" s="90"/>
      <c r="AB7" s="90"/>
      <c r="AC7" s="90"/>
      <c r="AD7" s="58"/>
    </row>
    <row r="8" spans="1:35" x14ac:dyDescent="0.2">
      <c r="A8" s="7"/>
      <c r="B8" s="7" t="s">
        <v>67</v>
      </c>
      <c r="C8" s="18" t="s">
        <v>2</v>
      </c>
      <c r="D8" s="19" t="s">
        <v>6</v>
      </c>
      <c r="E8" s="2"/>
      <c r="F8" s="2"/>
      <c r="G8" s="2"/>
      <c r="H8" s="2"/>
      <c r="I8" s="2"/>
      <c r="J8" s="2"/>
      <c r="K8" s="2"/>
      <c r="L8" s="2"/>
      <c r="M8" s="96"/>
      <c r="N8" s="96"/>
      <c r="O8" s="96"/>
      <c r="P8" s="96"/>
      <c r="Q8" s="96"/>
      <c r="R8" s="2"/>
      <c r="S8" s="2"/>
      <c r="T8" s="2"/>
      <c r="U8" s="2"/>
      <c r="V8" s="96"/>
      <c r="W8" s="96"/>
      <c r="X8" s="7"/>
      <c r="Y8" s="90"/>
      <c r="Z8" s="90"/>
      <c r="AA8" s="90"/>
      <c r="AB8" s="90"/>
      <c r="AC8" s="90"/>
      <c r="AD8" s="58"/>
    </row>
    <row r="9" spans="1:35" ht="13.5" thickBot="1" x14ac:dyDescent="0.25">
      <c r="A9" s="7"/>
      <c r="B9" s="7" t="s">
        <v>65</v>
      </c>
      <c r="C9" s="18" t="s">
        <v>3</v>
      </c>
      <c r="D9" s="19" t="s">
        <v>7</v>
      </c>
      <c r="E9" s="3"/>
      <c r="F9" s="3"/>
      <c r="G9" s="3"/>
      <c r="H9" s="3"/>
      <c r="I9" s="3"/>
      <c r="J9" s="3"/>
      <c r="K9" s="3"/>
      <c r="L9" s="49"/>
      <c r="M9" s="98"/>
      <c r="N9" s="98"/>
      <c r="O9" s="98"/>
      <c r="P9" s="98"/>
      <c r="Q9" s="98"/>
      <c r="R9" s="49"/>
      <c r="S9" s="49"/>
      <c r="T9" s="49"/>
      <c r="U9" s="49"/>
      <c r="V9" s="98"/>
      <c r="W9" s="98"/>
      <c r="X9" s="7"/>
      <c r="Y9" s="90"/>
      <c r="Z9" s="90"/>
      <c r="AA9" s="90"/>
      <c r="AB9" s="90"/>
      <c r="AC9" s="90"/>
      <c r="AD9" s="58"/>
    </row>
    <row r="10" spans="1:35" ht="13.5" thickTop="1" x14ac:dyDescent="0.2">
      <c r="A10" s="7"/>
      <c r="B10" s="7" t="s">
        <v>68</v>
      </c>
      <c r="C10" s="22" t="s">
        <v>60</v>
      </c>
      <c r="D10" s="19"/>
      <c r="E10" s="4"/>
      <c r="F10" s="4"/>
      <c r="G10" s="4"/>
      <c r="H10" s="4"/>
      <c r="I10" s="4"/>
      <c r="J10" s="4" t="s">
        <v>142</v>
      </c>
      <c r="K10" s="4"/>
      <c r="L10" s="4" t="s">
        <v>53</v>
      </c>
      <c r="M10" s="99"/>
      <c r="N10" s="99" t="s">
        <v>53</v>
      </c>
      <c r="O10" s="99"/>
      <c r="P10" s="99" t="s">
        <v>58</v>
      </c>
      <c r="Q10" s="99"/>
      <c r="R10" s="4" t="s">
        <v>53</v>
      </c>
      <c r="S10" s="4"/>
      <c r="T10" s="4"/>
      <c r="U10" s="4"/>
      <c r="V10" s="99"/>
      <c r="W10" s="99"/>
      <c r="X10" s="7"/>
      <c r="Y10" s="90"/>
      <c r="Z10" s="90"/>
      <c r="AA10" s="90"/>
      <c r="AB10" s="90"/>
      <c r="AC10" s="90"/>
      <c r="AD10" s="58"/>
    </row>
    <row r="11" spans="1:35" x14ac:dyDescent="0.2">
      <c r="A11" s="7"/>
      <c r="B11" s="7" t="s">
        <v>64</v>
      </c>
      <c r="C11" s="16" t="s">
        <v>21</v>
      </c>
      <c r="D11" s="19" t="s">
        <v>22</v>
      </c>
      <c r="E11" s="6">
        <v>6000</v>
      </c>
      <c r="F11" s="6">
        <v>6000</v>
      </c>
      <c r="G11" s="6">
        <v>6000</v>
      </c>
      <c r="H11" s="6">
        <v>6000</v>
      </c>
      <c r="I11" s="6">
        <v>10000</v>
      </c>
      <c r="J11" s="6"/>
      <c r="K11" s="6">
        <f>H11+I11</f>
        <v>16000</v>
      </c>
      <c r="L11" s="6"/>
      <c r="M11" s="100">
        <f>K11</f>
        <v>16000</v>
      </c>
      <c r="N11" s="100"/>
      <c r="O11" s="100">
        <f>K11</f>
        <v>16000</v>
      </c>
      <c r="P11" s="100"/>
      <c r="Q11" s="100">
        <f>O11</f>
        <v>16000</v>
      </c>
      <c r="R11" s="100"/>
      <c r="S11" s="6">
        <f>Q11</f>
        <v>16000</v>
      </c>
      <c r="T11" s="6">
        <f>S11</f>
        <v>16000</v>
      </c>
      <c r="U11" s="6">
        <f t="shared" ref="T11:U11" si="2">S11</f>
        <v>16000</v>
      </c>
      <c r="V11" s="100"/>
      <c r="W11" s="100"/>
      <c r="X11" s="7"/>
      <c r="Y11" s="90"/>
      <c r="Z11" s="90"/>
      <c r="AA11" s="90"/>
      <c r="AB11" s="90"/>
      <c r="AC11" s="90"/>
      <c r="AD11" s="58"/>
    </row>
    <row r="12" spans="1:35" x14ac:dyDescent="0.2">
      <c r="A12" s="7"/>
      <c r="B12" s="7"/>
      <c r="C12" s="7"/>
      <c r="D12" s="19" t="s">
        <v>23</v>
      </c>
      <c r="E12" s="2"/>
      <c r="F12" s="2"/>
      <c r="G12" s="2"/>
      <c r="H12" s="2"/>
      <c r="I12" s="2"/>
      <c r="J12" s="2"/>
      <c r="K12" s="2"/>
      <c r="L12" s="2"/>
      <c r="M12" s="96"/>
      <c r="N12" s="96"/>
      <c r="O12" s="96"/>
      <c r="P12" s="96"/>
      <c r="Q12" s="96"/>
      <c r="R12" s="2"/>
      <c r="S12" s="2"/>
      <c r="T12" s="2"/>
      <c r="U12" s="96"/>
      <c r="V12" s="96"/>
      <c r="W12" s="96"/>
      <c r="X12" s="7"/>
      <c r="Y12" s="90"/>
      <c r="Z12" s="90"/>
      <c r="AA12" s="90"/>
      <c r="AB12" s="90"/>
      <c r="AC12" s="90"/>
      <c r="AD12" s="58"/>
    </row>
    <row r="13" spans="1:35" x14ac:dyDescent="0.2">
      <c r="A13" s="7"/>
      <c r="B13" s="7" t="s">
        <v>66</v>
      </c>
      <c r="C13" s="16" t="s">
        <v>27</v>
      </c>
      <c r="D13" s="19" t="s">
        <v>28</v>
      </c>
      <c r="E13" s="2"/>
      <c r="F13" s="2"/>
      <c r="G13" s="2"/>
      <c r="H13" s="2"/>
      <c r="I13" s="2"/>
      <c r="J13" s="2"/>
      <c r="K13" s="2"/>
      <c r="L13" s="2"/>
      <c r="M13" s="96"/>
      <c r="N13" s="96"/>
      <c r="O13" s="96"/>
      <c r="P13" s="96"/>
      <c r="Q13" s="96"/>
      <c r="R13" s="2"/>
      <c r="S13" s="2"/>
      <c r="T13" s="2"/>
      <c r="U13" s="96"/>
      <c r="V13" s="96"/>
      <c r="W13" s="96"/>
      <c r="X13" s="7"/>
      <c r="Y13" s="90"/>
      <c r="Z13" s="90"/>
      <c r="AA13" s="90"/>
      <c r="AB13" s="90"/>
      <c r="AC13" s="90"/>
      <c r="AD13" s="58"/>
    </row>
    <row r="14" spans="1:35" x14ac:dyDescent="0.2">
      <c r="A14" s="7"/>
      <c r="B14" s="16"/>
      <c r="C14" s="7"/>
      <c r="D14" s="7"/>
      <c r="E14" s="23" t="str">
        <f t="shared" ref="E14:W14" si="3">IF(E96,"ERROR",IF(E97,"?",IF(E98,"-","")))</f>
        <v/>
      </c>
      <c r="F14" s="23" t="str">
        <f t="shared" si="3"/>
        <v/>
      </c>
      <c r="G14" s="23" t="str">
        <f t="shared" si="3"/>
        <v/>
      </c>
      <c r="H14" s="23"/>
      <c r="I14" s="23" t="str">
        <f t="shared" si="3"/>
        <v/>
      </c>
      <c r="J14" s="23" t="str">
        <f t="shared" si="3"/>
        <v/>
      </c>
      <c r="K14" s="23" t="str">
        <f t="shared" si="3"/>
        <v/>
      </c>
      <c r="L14" s="23" t="str">
        <f t="shared" si="3"/>
        <v/>
      </c>
      <c r="M14" s="95" t="str">
        <f t="shared" si="3"/>
        <v/>
      </c>
      <c r="N14" s="95" t="str">
        <f t="shared" si="3"/>
        <v/>
      </c>
      <c r="O14" s="95" t="str">
        <f t="shared" si="3"/>
        <v/>
      </c>
      <c r="P14" s="95" t="str">
        <f t="shared" si="3"/>
        <v/>
      </c>
      <c r="Q14" s="95" t="str">
        <f t="shared" si="3"/>
        <v/>
      </c>
      <c r="R14" s="95" t="str">
        <f t="shared" si="3"/>
        <v/>
      </c>
      <c r="S14" s="95" t="str">
        <f t="shared" si="3"/>
        <v/>
      </c>
      <c r="T14" s="95" t="str">
        <f t="shared" si="3"/>
        <v/>
      </c>
      <c r="U14" s="95" t="str">
        <f t="shared" si="3"/>
        <v/>
      </c>
      <c r="V14" s="95" t="str">
        <f t="shared" si="3"/>
        <v>-</v>
      </c>
      <c r="W14" s="95" t="str">
        <f t="shared" si="3"/>
        <v>-</v>
      </c>
      <c r="X14" s="7"/>
      <c r="Y14" s="90"/>
      <c r="Z14" s="90"/>
      <c r="AA14" s="90"/>
      <c r="AB14" s="90"/>
      <c r="AC14" s="90"/>
      <c r="AD14" s="58"/>
    </row>
    <row r="15" spans="1:35" ht="13.5" thickBot="1" x14ac:dyDescent="0.25">
      <c r="A15" s="7"/>
      <c r="B15" s="16" t="s">
        <v>151</v>
      </c>
      <c r="C15" s="7" t="s">
        <v>149</v>
      </c>
      <c r="D15" s="7" t="s">
        <v>150</v>
      </c>
      <c r="E15" s="21" t="str">
        <f>IF(E5&gt;0,E5,"")</f>
        <v>air_in_left</v>
      </c>
      <c r="F15" s="21" t="str">
        <f t="shared" ref="F15:W15" si="4">IF(F5&gt;0,F5,"")</f>
        <v>Filter_G4</v>
      </c>
      <c r="G15" s="21" t="str">
        <f t="shared" si="4"/>
        <v>Filter_F7</v>
      </c>
      <c r="H15" s="21" t="str">
        <f t="shared" si="4"/>
        <v>Mix_up1</v>
      </c>
      <c r="I15" s="21" t="str">
        <f t="shared" si="4"/>
        <v>Mix_up2</v>
      </c>
      <c r="J15" s="21" t="str">
        <f t="shared" si="4"/>
        <v>Mix_up_result</v>
      </c>
      <c r="K15" s="21" t="str">
        <f t="shared" si="4"/>
        <v>RE1_in</v>
      </c>
      <c r="L15" s="21" t="str">
        <f t="shared" si="4"/>
        <v>RE1_out</v>
      </c>
      <c r="M15" s="101" t="str">
        <f t="shared" si="4"/>
        <v>HE1_in</v>
      </c>
      <c r="N15" s="101" t="str">
        <f t="shared" si="4"/>
        <v>HE1_out</v>
      </c>
      <c r="O15" s="101" t="str">
        <f t="shared" si="4"/>
        <v>CE1_in</v>
      </c>
      <c r="P15" s="101" t="str">
        <f t="shared" si="4"/>
        <v>CE1_out</v>
      </c>
      <c r="Q15" s="101" t="str">
        <f t="shared" si="4"/>
        <v>HE2_in</v>
      </c>
      <c r="R15" s="101" t="str">
        <f t="shared" si="4"/>
        <v>HE2_out</v>
      </c>
      <c r="S15" s="101" t="str">
        <f t="shared" si="4"/>
        <v>fan</v>
      </c>
      <c r="T15" s="101" t="str">
        <f t="shared" si="4"/>
        <v>silencer</v>
      </c>
      <c r="U15" s="101" t="str">
        <f t="shared" si="4"/>
        <v>air_out_up</v>
      </c>
      <c r="V15" s="101" t="str">
        <f t="shared" si="4"/>
        <v/>
      </c>
      <c r="W15" s="101" t="str">
        <f t="shared" si="4"/>
        <v/>
      </c>
      <c r="X15" s="7"/>
      <c r="AA15" s="57"/>
      <c r="AB15" s="58"/>
      <c r="AC15" s="58"/>
      <c r="AD15" s="58"/>
    </row>
    <row r="16" spans="1:35" x14ac:dyDescent="0.2">
      <c r="A16" s="7"/>
      <c r="B16" s="7" t="s">
        <v>62</v>
      </c>
      <c r="C16" s="18" t="s">
        <v>0</v>
      </c>
      <c r="D16" s="19" t="s">
        <v>4</v>
      </c>
      <c r="E16" s="24">
        <f t="shared" ref="E16:W16" si="5">IF(E14="",E151,"")</f>
        <v>-25</v>
      </c>
      <c r="F16" s="24">
        <f t="shared" si="5"/>
        <v>-25</v>
      </c>
      <c r="G16" s="24">
        <f t="shared" si="5"/>
        <v>-25</v>
      </c>
      <c r="H16" s="24">
        <f t="shared" si="5"/>
        <v>-25</v>
      </c>
      <c r="I16" s="24">
        <f t="shared" si="5"/>
        <v>20</v>
      </c>
      <c r="J16" s="24">
        <f t="shared" si="5"/>
        <v>4.277020603210544</v>
      </c>
      <c r="K16" s="24">
        <f t="shared" si="5"/>
        <v>4.277020603210544</v>
      </c>
      <c r="L16" s="24">
        <f t="shared" si="5"/>
        <v>8</v>
      </c>
      <c r="M16" s="102">
        <f t="shared" si="5"/>
        <v>8</v>
      </c>
      <c r="N16" s="103">
        <f t="shared" si="5"/>
        <v>20</v>
      </c>
      <c r="O16" s="103">
        <f t="shared" si="5"/>
        <v>35</v>
      </c>
      <c r="P16" s="103">
        <f t="shared" si="5"/>
        <v>16</v>
      </c>
      <c r="Q16" s="103">
        <f t="shared" si="5"/>
        <v>16</v>
      </c>
      <c r="R16" s="103">
        <f t="shared" si="5"/>
        <v>20</v>
      </c>
      <c r="S16" s="103">
        <f t="shared" si="5"/>
        <v>20</v>
      </c>
      <c r="T16" s="103">
        <f t="shared" si="5"/>
        <v>20</v>
      </c>
      <c r="U16" s="103">
        <f t="shared" si="5"/>
        <v>20</v>
      </c>
      <c r="V16" s="103" t="str">
        <f t="shared" si="5"/>
        <v/>
      </c>
      <c r="W16" s="103" t="str">
        <f t="shared" si="5"/>
        <v/>
      </c>
      <c r="X16" s="7"/>
      <c r="AA16" s="57"/>
      <c r="AB16" s="58"/>
      <c r="AC16" s="58"/>
      <c r="AD16" s="58"/>
    </row>
    <row r="17" spans="1:30" x14ac:dyDescent="0.2">
      <c r="A17" s="7"/>
      <c r="B17" s="7" t="s">
        <v>94</v>
      </c>
      <c r="C17" s="20" t="s">
        <v>1</v>
      </c>
      <c r="D17" s="19" t="s">
        <v>5</v>
      </c>
      <c r="E17" s="25">
        <f t="shared" ref="E17:N17" si="6">IF(E14="",IF(E18=0,0,Tlak_vzduchu/E154*1000/(0.6222/E18*1000+1)),"")</f>
        <v>0.19999999999999998</v>
      </c>
      <c r="F17" s="25">
        <f t="shared" si="6"/>
        <v>0.19999999999999998</v>
      </c>
      <c r="G17" s="25">
        <f t="shared" si="6"/>
        <v>0.19999999999999998</v>
      </c>
      <c r="H17" s="25">
        <f t="shared" ref="H17" si="7">IF(H14="",IF(H18=0,0,Tlak_vzduchu/H154*1000/(0.6222/H18*1000+1)),"")</f>
        <v>0.19999999999999998</v>
      </c>
      <c r="I17" s="25">
        <f t="shared" si="6"/>
        <v>0.59999999999999987</v>
      </c>
      <c r="J17" s="25">
        <f t="shared" si="6"/>
        <v>1</v>
      </c>
      <c r="K17" s="25">
        <f t="shared" si="6"/>
        <v>0.01</v>
      </c>
      <c r="L17" s="25">
        <f t="shared" si="6"/>
        <v>7.7246107631210341E-3</v>
      </c>
      <c r="M17" s="104">
        <f t="shared" si="6"/>
        <v>7.7246107631210312E-5</v>
      </c>
      <c r="N17" s="104">
        <f t="shared" si="6"/>
        <v>3.5387413096825205E-5</v>
      </c>
      <c r="O17" s="104">
        <f t="shared" ref="O17:W17" si="8">IF(O14="",IF(O18=0,0,Tlak_vzduchu/O154*1000/(0.6222/O18*1000+1)),"")</f>
        <v>0.4</v>
      </c>
      <c r="P17" s="104">
        <f t="shared" si="8"/>
        <v>0.75771330367416145</v>
      </c>
      <c r="Q17" s="104">
        <f t="shared" si="8"/>
        <v>7.5771330367416147E-3</v>
      </c>
      <c r="R17" s="104">
        <f t="shared" si="8"/>
        <v>5.8899545819655012E-3</v>
      </c>
      <c r="S17" s="104">
        <f t="shared" si="8"/>
        <v>5.889954581965501E-5</v>
      </c>
      <c r="T17" s="104">
        <f t="shared" si="8"/>
        <v>5.8899545819655022E-7</v>
      </c>
      <c r="U17" s="104">
        <f t="shared" si="8"/>
        <v>5.889954581965502E-9</v>
      </c>
      <c r="V17" s="104" t="str">
        <f t="shared" si="8"/>
        <v/>
      </c>
      <c r="W17" s="104" t="str">
        <f t="shared" si="8"/>
        <v/>
      </c>
      <c r="X17" s="7"/>
      <c r="AA17" s="57"/>
      <c r="AB17" s="58"/>
      <c r="AC17" s="58"/>
      <c r="AD17" s="58"/>
    </row>
    <row r="18" spans="1:30" x14ac:dyDescent="0.2">
      <c r="A18" s="7"/>
      <c r="B18" s="7" t="s">
        <v>95</v>
      </c>
      <c r="C18" s="18" t="s">
        <v>2</v>
      </c>
      <c r="D18" s="19" t="s">
        <v>6</v>
      </c>
      <c r="E18" s="21">
        <f t="shared" ref="E18:W18" si="9">IF(E14="",E152,"")</f>
        <v>8.3203757830561539E-2</v>
      </c>
      <c r="F18" s="21">
        <f t="shared" si="9"/>
        <v>8.3203757830561539E-2</v>
      </c>
      <c r="G18" s="21">
        <f t="shared" si="9"/>
        <v>8.3203757830561539E-2</v>
      </c>
      <c r="H18" s="21">
        <f t="shared" si="9"/>
        <v>8.3203757830561539E-2</v>
      </c>
      <c r="I18" s="21">
        <f t="shared" si="9"/>
        <v>9.3757233081908904</v>
      </c>
      <c r="J18" s="21">
        <f t="shared" si="9"/>
        <v>5.4957390094007232</v>
      </c>
      <c r="K18" s="21">
        <f t="shared" si="9"/>
        <v>5.4480985171597482E-2</v>
      </c>
      <c r="L18" s="21">
        <f t="shared" si="9"/>
        <v>5.4480985171597482E-2</v>
      </c>
      <c r="M18" s="101">
        <f t="shared" si="9"/>
        <v>5.4476262829484417E-4</v>
      </c>
      <c r="N18" s="101">
        <f t="shared" si="9"/>
        <v>5.4476262829484417E-4</v>
      </c>
      <c r="O18" s="101">
        <f t="shared" si="9"/>
        <v>15.17511246915182</v>
      </c>
      <c r="P18" s="101">
        <f t="shared" si="9"/>
        <v>9.2012211080269264</v>
      </c>
      <c r="Q18" s="101">
        <f t="shared" si="9"/>
        <v>9.0684559843778378E-2</v>
      </c>
      <c r="R18" s="101">
        <f t="shared" si="9"/>
        <v>9.0684559843778378E-2</v>
      </c>
      <c r="S18" s="101">
        <f t="shared" si="9"/>
        <v>9.0671476786990859E-4</v>
      </c>
      <c r="T18" s="101">
        <f t="shared" si="9"/>
        <v>9.0671345975486622E-6</v>
      </c>
      <c r="U18" s="101">
        <f t="shared" si="9"/>
        <v>9.0671344667373509E-8</v>
      </c>
      <c r="V18" s="101" t="str">
        <f t="shared" si="9"/>
        <v/>
      </c>
      <c r="W18" s="101" t="str">
        <f t="shared" si="9"/>
        <v/>
      </c>
      <c r="X18" s="7"/>
      <c r="AA18" s="57"/>
      <c r="AB18" s="58"/>
      <c r="AC18" s="58"/>
      <c r="AD18" s="58"/>
    </row>
    <row r="19" spans="1:30" x14ac:dyDescent="0.2">
      <c r="A19" s="7"/>
      <c r="B19" s="7" t="s">
        <v>65</v>
      </c>
      <c r="C19" s="18" t="s">
        <v>3</v>
      </c>
      <c r="D19" s="19" t="s">
        <v>7</v>
      </c>
      <c r="E19" s="21">
        <f t="shared" ref="E19:W19" si="10">IF(E14="",E155,"")</f>
        <v>-25.045776376404888</v>
      </c>
      <c r="F19" s="21">
        <f t="shared" si="10"/>
        <v>-25.045776376404888</v>
      </c>
      <c r="G19" s="21">
        <f t="shared" si="10"/>
        <v>-25.045776376404888</v>
      </c>
      <c r="H19" s="21">
        <f t="shared" si="10"/>
        <v>-25.045776376404888</v>
      </c>
      <c r="I19" s="21">
        <f t="shared" si="10"/>
        <v>43.997460900850115</v>
      </c>
      <c r="J19" s="21">
        <f t="shared" si="10"/>
        <v>18.108354095243776</v>
      </c>
      <c r="K19" s="21">
        <f t="shared" si="10"/>
        <v>4.4564811634674903</v>
      </c>
      <c r="L19" s="21">
        <f t="shared" si="10"/>
        <v>8.2170676209735181</v>
      </c>
      <c r="M19" s="101">
        <f t="shared" si="10"/>
        <v>8.0813705574012751</v>
      </c>
      <c r="N19" s="101">
        <f t="shared" si="10"/>
        <v>20.201382716503137</v>
      </c>
      <c r="O19" s="101">
        <f t="shared" si="10"/>
        <v>74.290856107090491</v>
      </c>
      <c r="P19" s="101">
        <f t="shared" si="10"/>
        <v>39.446082331350226</v>
      </c>
      <c r="Q19" s="101">
        <f t="shared" si="10"/>
        <v>16.389500856670242</v>
      </c>
      <c r="R19" s="101">
        <f t="shared" si="10"/>
        <v>20.430175549795479</v>
      </c>
      <c r="S19" s="101">
        <f t="shared" si="10"/>
        <v>20.202301423423808</v>
      </c>
      <c r="T19" s="101">
        <f t="shared" si="10"/>
        <v>20.200023014201033</v>
      </c>
      <c r="U19" s="101">
        <f t="shared" si="10"/>
        <v>20.200000230142006</v>
      </c>
      <c r="V19" s="101" t="str">
        <f t="shared" si="10"/>
        <v/>
      </c>
      <c r="W19" s="101" t="str">
        <f t="shared" si="10"/>
        <v/>
      </c>
      <c r="X19" s="7"/>
      <c r="AA19" s="57"/>
    </row>
    <row r="20" spans="1:30" x14ac:dyDescent="0.2">
      <c r="A20" s="7"/>
      <c r="B20" s="7" t="s">
        <v>72</v>
      </c>
      <c r="C20" s="20" t="s">
        <v>24</v>
      </c>
      <c r="D20" s="19" t="s">
        <v>26</v>
      </c>
      <c r="E20" s="26">
        <f>IF(E14="",Tlak_vzduchu*1000*(E18/1000+1)/461.39/(273.15+E16)/(E18/1000+0.6222),"")</f>
        <v>1.3264699195276246</v>
      </c>
      <c r="F20" s="26">
        <f t="shared" ref="F20:N20" si="11">IF(F14="",Tlak_vzduchu*1000*(F18/1000+1)/461.39/(273.15+F16)/(F18/1000+0.6222),"")</f>
        <v>1.3264699195276246</v>
      </c>
      <c r="G20" s="26">
        <f t="shared" si="11"/>
        <v>1.3264699195276246</v>
      </c>
      <c r="H20" s="26">
        <f t="shared" ref="H20" si="12">IF(H14="",Tlak_vzduchu*1000*(H18/1000+1)/461.39/(273.15+H16)/(H18/1000+0.6222),"")</f>
        <v>1.3264699195276246</v>
      </c>
      <c r="I20" s="26">
        <f t="shared" si="11"/>
        <v>1.1166090914094011</v>
      </c>
      <c r="J20" s="26">
        <f t="shared" si="11"/>
        <v>1.1826219273091421</v>
      </c>
      <c r="K20" s="26">
        <f t="shared" si="11"/>
        <v>1.1865075348566412</v>
      </c>
      <c r="L20" s="26">
        <f t="shared" si="11"/>
        <v>1.1707958396533451</v>
      </c>
      <c r="M20" s="105">
        <f t="shared" si="11"/>
        <v>1.1708341811978988</v>
      </c>
      <c r="N20" s="105">
        <f t="shared" si="11"/>
        <v>1.1229064644168147</v>
      </c>
      <c r="O20" s="105">
        <f t="shared" ref="O20:W20" si="13">IF(O14="",Tlak_vzduchu*1000*(O18/1000+1)/461.39/(273.15+O16)/(O18/1000+0.6222),"")</f>
        <v>1.0586376113064897</v>
      </c>
      <c r="P20" s="105">
        <f t="shared" si="13"/>
        <v>1.1321729753566148</v>
      </c>
      <c r="Q20" s="105">
        <f t="shared" si="13"/>
        <v>1.1383780587890284</v>
      </c>
      <c r="R20" s="105">
        <f t="shared" si="13"/>
        <v>1.1228450134703996</v>
      </c>
      <c r="S20" s="105">
        <f t="shared" si="13"/>
        <v>1.1229062176278097</v>
      </c>
      <c r="T20" s="105">
        <f t="shared" si="13"/>
        <v>1.1229068296693836</v>
      </c>
      <c r="U20" s="105">
        <f t="shared" si="13"/>
        <v>1.1229068357897993</v>
      </c>
      <c r="V20" s="105" t="str">
        <f t="shared" si="13"/>
        <v/>
      </c>
      <c r="W20" s="105" t="str">
        <f t="shared" si="13"/>
        <v/>
      </c>
      <c r="X20" s="7"/>
      <c r="AA20" s="57"/>
    </row>
    <row r="21" spans="1:30" ht="13.5" thickBot="1" x14ac:dyDescent="0.25">
      <c r="A21" s="7"/>
      <c r="B21" s="7" t="s">
        <v>71</v>
      </c>
      <c r="C21" s="18" t="s">
        <v>25</v>
      </c>
      <c r="D21" s="19" t="s">
        <v>4</v>
      </c>
      <c r="E21" s="21">
        <f t="shared" ref="E21:W21" si="14">IF(E14="",E156,"")</f>
        <v>-25.736542713815986</v>
      </c>
      <c r="F21" s="21">
        <f t="shared" si="14"/>
        <v>-25.736542701112796</v>
      </c>
      <c r="G21" s="21">
        <f t="shared" si="14"/>
        <v>-25.736542710631916</v>
      </c>
      <c r="H21" s="21">
        <f t="shared" si="14"/>
        <v>-25.736542713815986</v>
      </c>
      <c r="I21" s="21">
        <f t="shared" si="14"/>
        <v>14.98170477717769</v>
      </c>
      <c r="J21" s="21">
        <f t="shared" si="14"/>
        <v>4.2780735733811968</v>
      </c>
      <c r="K21" s="21">
        <f t="shared" si="14"/>
        <v>-3.2203557258118334</v>
      </c>
      <c r="L21" s="21">
        <f t="shared" si="14"/>
        <v>-1.1207509577152117</v>
      </c>
      <c r="M21" s="101">
        <f t="shared" si="14"/>
        <v>-1.1213952521538815</v>
      </c>
      <c r="N21" s="101">
        <f t="shared" si="14"/>
        <v>5.3064115875936508</v>
      </c>
      <c r="O21" s="101">
        <f t="shared" si="14"/>
        <v>-2.6495095945477067</v>
      </c>
      <c r="P21" s="101">
        <f t="shared" si="14"/>
        <v>-2.6495095945477067</v>
      </c>
      <c r="Q21" s="101">
        <f t="shared" si="14"/>
        <v>-2.6495095945477067</v>
      </c>
      <c r="R21" s="101">
        <f t="shared" si="14"/>
        <v>-2.6495095945477067</v>
      </c>
      <c r="S21" s="101">
        <f t="shared" si="14"/>
        <v>-2.6495095945477067</v>
      </c>
      <c r="T21" s="101">
        <f t="shared" si="14"/>
        <v>-2.6495095945477067</v>
      </c>
      <c r="U21" s="101">
        <f t="shared" si="14"/>
        <v>-2.6495095945477067</v>
      </c>
      <c r="V21" s="101" t="str">
        <f t="shared" si="14"/>
        <v/>
      </c>
      <c r="W21" s="101" t="str">
        <f t="shared" si="14"/>
        <v/>
      </c>
      <c r="X21" s="7"/>
      <c r="AA21" s="57"/>
    </row>
    <row r="22" spans="1:30" ht="13.5" thickTop="1" x14ac:dyDescent="0.2">
      <c r="A22" s="7"/>
      <c r="B22" s="7" t="s">
        <v>64</v>
      </c>
      <c r="C22" s="16" t="s">
        <v>57</v>
      </c>
      <c r="D22" s="19" t="s">
        <v>22</v>
      </c>
      <c r="E22" s="27">
        <f>IF(E14="",E35*3600/E20*(1+E18/1000),"")</f>
        <v>5428.3922771657117</v>
      </c>
      <c r="F22" s="27">
        <f t="shared" ref="F22:W22" si="15">IF(F14="",F35*3600/F20*(1+F18/1000),"")</f>
        <v>5428.3922771657117</v>
      </c>
      <c r="G22" s="27">
        <f t="shared" si="15"/>
        <v>5428.3922771657117</v>
      </c>
      <c r="H22" s="27">
        <f t="shared" si="15"/>
        <v>5428.3922771657117</v>
      </c>
      <c r="I22" s="27">
        <f t="shared" si="15"/>
        <v>10847.58199882619</v>
      </c>
      <c r="J22" s="27">
        <f t="shared" si="15"/>
        <v>16324.336411474264</v>
      </c>
      <c r="K22" s="27">
        <f t="shared" si="15"/>
        <v>16182.826885490658</v>
      </c>
      <c r="L22" s="27">
        <f t="shared" si="15"/>
        <v>16399.995101281223</v>
      </c>
      <c r="M22" s="106">
        <f t="shared" si="15"/>
        <v>16398.573570681576</v>
      </c>
      <c r="N22" s="106">
        <f t="shared" si="15"/>
        <v>17098.494903949148</v>
      </c>
      <c r="O22" s="106">
        <f t="shared" si="15"/>
        <v>18411.74161132719</v>
      </c>
      <c r="P22" s="106">
        <f t="shared" si="15"/>
        <v>17114.57866159613</v>
      </c>
      <c r="Q22" s="106">
        <f t="shared" si="15"/>
        <v>16867.631096101082</v>
      </c>
      <c r="R22" s="106">
        <f t="shared" si="15"/>
        <v>17100.972006993019</v>
      </c>
      <c r="S22" s="106">
        <f t="shared" si="15"/>
        <v>17098.504850640555</v>
      </c>
      <c r="T22" s="106">
        <f t="shared" si="15"/>
        <v>17098.480182671989</v>
      </c>
      <c r="U22" s="106">
        <f t="shared" si="15"/>
        <v>17098.479935992658</v>
      </c>
      <c r="V22" s="106" t="str">
        <f t="shared" si="15"/>
        <v/>
      </c>
      <c r="W22" s="106" t="str">
        <f t="shared" si="15"/>
        <v/>
      </c>
      <c r="X22" s="7"/>
      <c r="AA22" s="57"/>
    </row>
    <row r="23" spans="1:30" x14ac:dyDescent="0.2">
      <c r="A23" s="7"/>
      <c r="B23" s="7" t="s">
        <v>73</v>
      </c>
      <c r="C23" s="16" t="s">
        <v>56</v>
      </c>
      <c r="D23" s="19" t="s">
        <v>22</v>
      </c>
      <c r="E23" s="28">
        <f>IF(E14="",E35*3600/1.2,"")</f>
        <v>6000</v>
      </c>
      <c r="F23" s="28">
        <f t="shared" ref="F23:W23" si="16">IF(F14="",F35*3600/1.2,"")</f>
        <v>6000</v>
      </c>
      <c r="G23" s="28">
        <f t="shared" si="16"/>
        <v>6000</v>
      </c>
      <c r="H23" s="28">
        <f t="shared" si="16"/>
        <v>6000</v>
      </c>
      <c r="I23" s="28">
        <f t="shared" si="16"/>
        <v>9999.9999999999982</v>
      </c>
      <c r="J23" s="28">
        <f t="shared" si="16"/>
        <v>16000</v>
      </c>
      <c r="K23" s="28">
        <f t="shared" si="16"/>
        <v>16000</v>
      </c>
      <c r="L23" s="28">
        <f t="shared" si="16"/>
        <v>16000</v>
      </c>
      <c r="M23" s="107">
        <f t="shared" si="16"/>
        <v>16000</v>
      </c>
      <c r="N23" s="108">
        <f t="shared" si="16"/>
        <v>16000</v>
      </c>
      <c r="O23" s="108">
        <f t="shared" si="16"/>
        <v>16000</v>
      </c>
      <c r="P23" s="108">
        <f t="shared" si="16"/>
        <v>16000</v>
      </c>
      <c r="Q23" s="108">
        <f t="shared" si="16"/>
        <v>16000</v>
      </c>
      <c r="R23" s="108">
        <f t="shared" si="16"/>
        <v>16000</v>
      </c>
      <c r="S23" s="108">
        <f t="shared" si="16"/>
        <v>16000</v>
      </c>
      <c r="T23" s="108">
        <f t="shared" si="16"/>
        <v>16000</v>
      </c>
      <c r="U23" s="108">
        <f t="shared" si="16"/>
        <v>16000</v>
      </c>
      <c r="V23" s="108" t="str">
        <f t="shared" si="16"/>
        <v/>
      </c>
      <c r="W23" s="108" t="str">
        <f t="shared" si="16"/>
        <v/>
      </c>
      <c r="X23" s="7"/>
      <c r="AA23" s="57"/>
    </row>
    <row r="24" spans="1:30" x14ac:dyDescent="0.2">
      <c r="A24" s="7"/>
      <c r="B24" s="7" t="s">
        <v>66</v>
      </c>
      <c r="C24" s="16" t="s">
        <v>27</v>
      </c>
      <c r="D24" s="19" t="s">
        <v>28</v>
      </c>
      <c r="E24" s="29" t="str">
        <f>IF(AND(E14="",E28&lt;&gt;5,E28&lt;&gt;0),E35*(E19-D19),"")</f>
        <v/>
      </c>
      <c r="F24" s="29" t="str">
        <f>IF(AND(F14="",F28&lt;&gt;5,F28&lt;&gt;0),F35*(F19-E19),"")</f>
        <v/>
      </c>
      <c r="G24" s="29" t="str">
        <f t="shared" ref="G24:W24" si="17">IF(AND(G14="",G28&lt;&gt;5,G28&lt;&gt;0),G35*(G19-F19),"")</f>
        <v/>
      </c>
      <c r="H24" s="29" t="str">
        <f t="shared" si="17"/>
        <v/>
      </c>
      <c r="I24" s="29" t="str">
        <f t="shared" si="17"/>
        <v/>
      </c>
      <c r="J24" s="29" t="str">
        <f t="shared" si="17"/>
        <v/>
      </c>
      <c r="K24" s="29" t="str">
        <f t="shared" si="17"/>
        <v/>
      </c>
      <c r="L24" s="29">
        <f t="shared" si="17"/>
        <v>20.056461106698812</v>
      </c>
      <c r="M24" s="29" t="str">
        <f t="shared" si="17"/>
        <v/>
      </c>
      <c r="N24" s="29">
        <f t="shared" si="17"/>
        <v>64.640064848543261</v>
      </c>
      <c r="O24" s="29" t="str">
        <f t="shared" si="17"/>
        <v/>
      </c>
      <c r="P24" s="29">
        <f t="shared" si="17"/>
        <v>-185.83879347061475</v>
      </c>
      <c r="Q24" s="29" t="str">
        <f t="shared" si="17"/>
        <v/>
      </c>
      <c r="R24" s="29">
        <f t="shared" si="17"/>
        <v>21.55026503000126</v>
      </c>
      <c r="S24" s="29" t="str">
        <f t="shared" si="17"/>
        <v/>
      </c>
      <c r="T24" s="29" t="str">
        <f>IF(AND(T14="",T28&lt;&gt;5,T28&lt;&gt;0),T35*(T19-#REF!),"")</f>
        <v/>
      </c>
      <c r="U24" s="29" t="str">
        <f t="shared" si="17"/>
        <v/>
      </c>
      <c r="V24" s="29" t="str">
        <f t="shared" si="17"/>
        <v/>
      </c>
      <c r="W24" s="29" t="str">
        <f t="shared" si="17"/>
        <v/>
      </c>
      <c r="X24" s="7"/>
      <c r="AA24" s="57"/>
    </row>
    <row r="25" spans="1:30" x14ac:dyDescent="0.2">
      <c r="A25" s="7"/>
      <c r="B25" s="7" t="s">
        <v>74</v>
      </c>
      <c r="C25" s="16" t="s">
        <v>29</v>
      </c>
      <c r="D25" s="19" t="s">
        <v>30</v>
      </c>
      <c r="E25" s="29" t="str">
        <f>IF(AND(E14="",E28&lt;&gt;0),IF(E28&lt;&gt;5,E35*(E18-D18)*3.6,(E35*E18-D35*D18-C35*C18)*3.6),"")</f>
        <v/>
      </c>
      <c r="F25" s="29" t="str">
        <f t="shared" ref="F25:W25" si="18">IF(AND(F14="",F28&lt;&gt;0),IF(F28&lt;&gt;5,F35*(F18-E18)*3.6,(F35*F18-E35*E18-D35*D18)*3.6),"")</f>
        <v/>
      </c>
      <c r="G25" s="29" t="str">
        <f t="shared" si="18"/>
        <v/>
      </c>
      <c r="H25" s="29" t="str">
        <f t="shared" si="18"/>
        <v/>
      </c>
      <c r="I25" s="29" t="str">
        <f t="shared" si="18"/>
        <v/>
      </c>
      <c r="J25" s="29">
        <f t="shared" si="18"/>
        <v>-7.589557774176833</v>
      </c>
      <c r="K25" s="29" t="str">
        <f t="shared" si="18"/>
        <v/>
      </c>
      <c r="L25" s="29">
        <f t="shared" si="18"/>
        <v>0</v>
      </c>
      <c r="M25" s="109" t="str">
        <f t="shared" si="18"/>
        <v/>
      </c>
      <c r="N25" s="101">
        <f t="shared" si="18"/>
        <v>0</v>
      </c>
      <c r="O25" s="101" t="str">
        <f t="shared" si="18"/>
        <v/>
      </c>
      <c r="P25" s="101">
        <f t="shared" si="18"/>
        <v>-114.69871413359796</v>
      </c>
      <c r="Q25" s="101" t="str">
        <f t="shared" si="18"/>
        <v/>
      </c>
      <c r="R25" s="101">
        <f t="shared" si="18"/>
        <v>0</v>
      </c>
      <c r="S25" s="101" t="str">
        <f t="shared" si="18"/>
        <v/>
      </c>
      <c r="T25" s="101" t="str">
        <f>IF(AND(T14="",T28&lt;&gt;0),IF(T28&lt;&gt;5,T35*(T18-#REF!)*3.6,(T35*T18-#REF!*#REF!-S35*S18)*3.6),"")</f>
        <v/>
      </c>
      <c r="U25" s="101" t="str">
        <f>IF(AND(U14="",U28&lt;&gt;0),IF(U28&lt;&gt;5,U35*(U18-T18)*3.6,(U35*U18-T35*T18-#REF!*#REF!)*3.6),"")</f>
        <v/>
      </c>
      <c r="V25" s="101" t="str">
        <f t="shared" si="18"/>
        <v/>
      </c>
      <c r="W25" s="101" t="str">
        <f t="shared" si="18"/>
        <v/>
      </c>
      <c r="X25" s="7"/>
      <c r="AA25" s="57"/>
    </row>
    <row r="26" spans="1:30" x14ac:dyDescent="0.2">
      <c r="A26" s="7"/>
      <c r="B26" s="7"/>
      <c r="C26" s="7"/>
      <c r="D26" s="7"/>
      <c r="E26" s="7"/>
      <c r="F26" s="7"/>
      <c r="G26" s="7"/>
      <c r="H26" s="7"/>
      <c r="I26" s="7"/>
      <c r="J26" s="7"/>
      <c r="K26" s="7"/>
      <c r="L26" s="7"/>
      <c r="M26" s="93"/>
      <c r="N26" s="93"/>
      <c r="O26" s="93"/>
      <c r="P26" s="93"/>
      <c r="Q26" s="93"/>
      <c r="R26" s="93"/>
      <c r="S26" s="93"/>
      <c r="T26" s="93"/>
      <c r="U26" s="93"/>
      <c r="V26" s="93"/>
      <c r="W26" s="93"/>
      <c r="X26" s="7"/>
      <c r="AA26" s="57"/>
    </row>
    <row r="27" spans="1:30" s="59" customFormat="1" x14ac:dyDescent="0.2">
      <c r="B27" s="65" t="s">
        <v>89</v>
      </c>
      <c r="Y27" s="61"/>
      <c r="Z27" s="61"/>
      <c r="AA27" s="61"/>
    </row>
    <row r="28" spans="1:30" s="59" customFormat="1" x14ac:dyDescent="0.2">
      <c r="B28" s="60" t="s">
        <v>103</v>
      </c>
      <c r="C28" s="59" t="s">
        <v>44</v>
      </c>
      <c r="E28" s="59">
        <f>IF(OR(E10="-",E10=""),0,IF(OR(E10="o",E10="O"),1,IF(OR(E10="c",E10="C"),2,IF(OR(E10="a",E10="A"),3,IF(OR(E10="p",E10="P"),4,IF(OR(E10="s",E10="S"),5,IF(OR(E10="x",E10="X"),6,10)))))))</f>
        <v>0</v>
      </c>
      <c r="F28" s="59">
        <f t="shared" ref="F28:W28" si="19">IF(OR(F10="-",F10=""),0,IF(OR(F10="o",F10="O"),1,IF(OR(F10="c",F10="C"),2,IF(OR(F10="a",F10="A"),3,IF(OR(F10="p",F10="P"),4,IF(OR(F10="s",F10="S"),5,IF(OR(F10="x",F10="X"),6,10)))))))</f>
        <v>0</v>
      </c>
      <c r="G28" s="59">
        <f t="shared" si="19"/>
        <v>0</v>
      </c>
      <c r="H28" s="59">
        <f t="shared" si="19"/>
        <v>0</v>
      </c>
      <c r="I28" s="59">
        <f t="shared" si="19"/>
        <v>0</v>
      </c>
      <c r="J28" s="59">
        <f t="shared" si="19"/>
        <v>5</v>
      </c>
      <c r="K28" s="59">
        <f t="shared" si="19"/>
        <v>0</v>
      </c>
      <c r="L28" s="59">
        <f t="shared" si="19"/>
        <v>1</v>
      </c>
      <c r="M28" s="59">
        <f t="shared" si="19"/>
        <v>0</v>
      </c>
      <c r="N28" s="59">
        <f t="shared" si="19"/>
        <v>1</v>
      </c>
      <c r="O28" s="59">
        <f t="shared" si="19"/>
        <v>0</v>
      </c>
      <c r="P28" s="59">
        <f t="shared" si="19"/>
        <v>2</v>
      </c>
      <c r="Q28" s="59">
        <f t="shared" si="19"/>
        <v>0</v>
      </c>
      <c r="R28" s="59">
        <f>IF(OR(R10="-",R10=""),0,IF(OR(R10="o",R10="O"),1,IF(OR(R10="c",R10="C"),2,IF(OR(R10="a",R10="A"),3,IF(OR(R10="p",R10="P"),4,IF(OR(R10="s",R10="S"),5,IF(OR(R10="x",R10="X"),6,10)))))))</f>
        <v>1</v>
      </c>
      <c r="S28" s="59">
        <f>IF(OR(S10="-",S10=""),0,IF(OR(S10="o",S10="O"),1,IF(OR(S10="c",S10="C"),2,IF(OR(S10="a",S10="A"),3,IF(OR(S10="p",S10="P"),4,IF(OR(S10="s",S10="S"),5,IF(OR(S10="x",S10="X"),6,10)))))))</f>
        <v>0</v>
      </c>
      <c r="T28" s="59">
        <f t="shared" si="19"/>
        <v>0</v>
      </c>
      <c r="U28" s="59">
        <f>IF(OR(U10="-",U10=""),0,IF(OR(U10="o",U10="O"),1,IF(OR(U10="c",U10="C"),2,IF(OR(U10="a",U10="A"),3,IF(OR(U10="p",U10="P"),4,IF(OR(U10="s",U10="S"),5,IF(OR(U10="x",U10="X"),6,10)))))))</f>
        <v>0</v>
      </c>
      <c r="V28" s="59">
        <f>IF(OR(V10="-",V10=""),0,IF(OR(V10="o",V10="O"),1,IF(OR(V10="c",V10="C"),2,IF(OR(V10="a",V10="A"),3,IF(OR(V10="p",V10="P"),4,IF(OR(V10="s",V10="S"),5,IF(OR(V10="x",V10="X"),6,10)))))))</f>
        <v>0</v>
      </c>
      <c r="W28" s="59">
        <f t="shared" si="19"/>
        <v>0</v>
      </c>
      <c r="Y28" s="61"/>
      <c r="Z28" s="61"/>
      <c r="AA28" s="61"/>
    </row>
    <row r="29" spans="1:30" s="59" customFormat="1" x14ac:dyDescent="0.2">
      <c r="C29" s="62" t="s">
        <v>0</v>
      </c>
      <c r="E29" s="59">
        <f>IF(E6="",0,1)</f>
        <v>1</v>
      </c>
      <c r="F29" s="59">
        <f>IF(F6="",0,1)</f>
        <v>1</v>
      </c>
      <c r="G29" s="59">
        <f t="shared" ref="G29:W32" si="20">IF(G6="",0,1)</f>
        <v>1</v>
      </c>
      <c r="H29" s="59">
        <f t="shared" si="20"/>
        <v>1</v>
      </c>
      <c r="I29" s="59">
        <f t="shared" si="20"/>
        <v>1</v>
      </c>
      <c r="J29" s="59">
        <f t="shared" si="20"/>
        <v>0</v>
      </c>
      <c r="K29" s="59">
        <f t="shared" si="20"/>
        <v>1</v>
      </c>
      <c r="L29" s="59">
        <f t="shared" si="20"/>
        <v>1</v>
      </c>
      <c r="M29" s="59">
        <f t="shared" si="20"/>
        <v>1</v>
      </c>
      <c r="N29" s="59">
        <f t="shared" si="20"/>
        <v>1</v>
      </c>
      <c r="O29" s="59">
        <f t="shared" si="20"/>
        <v>1</v>
      </c>
      <c r="P29" s="59">
        <f t="shared" si="20"/>
        <v>1</v>
      </c>
      <c r="Q29" s="59">
        <f t="shared" si="20"/>
        <v>1</v>
      </c>
      <c r="R29" s="59">
        <f t="shared" si="20"/>
        <v>1</v>
      </c>
      <c r="S29" s="59">
        <f t="shared" si="20"/>
        <v>1</v>
      </c>
      <c r="T29" s="59">
        <f t="shared" si="20"/>
        <v>1</v>
      </c>
      <c r="U29" s="59">
        <f t="shared" si="20"/>
        <v>1</v>
      </c>
      <c r="V29" s="59">
        <f t="shared" si="20"/>
        <v>0</v>
      </c>
      <c r="W29" s="59">
        <f t="shared" si="20"/>
        <v>0</v>
      </c>
      <c r="Y29" s="61"/>
      <c r="Z29" s="61"/>
      <c r="AA29" s="61"/>
    </row>
    <row r="30" spans="1:30" s="59" customFormat="1" x14ac:dyDescent="0.2">
      <c r="C30" s="63" t="s">
        <v>1</v>
      </c>
      <c r="E30" s="59">
        <f t="shared" ref="E30:F32" si="21">IF(E7="",0,1)</f>
        <v>1</v>
      </c>
      <c r="F30" s="59">
        <f t="shared" si="21"/>
        <v>1</v>
      </c>
      <c r="G30" s="59">
        <f t="shared" si="20"/>
        <v>1</v>
      </c>
      <c r="H30" s="59">
        <f t="shared" si="20"/>
        <v>1</v>
      </c>
      <c r="I30" s="59">
        <f t="shared" si="20"/>
        <v>1</v>
      </c>
      <c r="J30" s="59">
        <f t="shared" si="20"/>
        <v>0</v>
      </c>
      <c r="K30" s="59">
        <f t="shared" si="20"/>
        <v>1</v>
      </c>
      <c r="L30" s="59">
        <f t="shared" si="20"/>
        <v>0</v>
      </c>
      <c r="M30" s="59">
        <f t="shared" si="20"/>
        <v>1</v>
      </c>
      <c r="N30" s="59">
        <f t="shared" si="20"/>
        <v>0</v>
      </c>
      <c r="O30" s="59">
        <f t="shared" si="20"/>
        <v>1</v>
      </c>
      <c r="P30" s="59">
        <f t="shared" si="20"/>
        <v>0</v>
      </c>
      <c r="Q30" s="59">
        <f t="shared" si="20"/>
        <v>1</v>
      </c>
      <c r="R30" s="59">
        <f t="shared" si="20"/>
        <v>0</v>
      </c>
      <c r="S30" s="59">
        <f t="shared" si="20"/>
        <v>1</v>
      </c>
      <c r="T30" s="59">
        <f t="shared" si="20"/>
        <v>1</v>
      </c>
      <c r="U30" s="59">
        <f t="shared" si="20"/>
        <v>1</v>
      </c>
      <c r="V30" s="59">
        <f t="shared" si="20"/>
        <v>0</v>
      </c>
      <c r="W30" s="59">
        <f t="shared" si="20"/>
        <v>0</v>
      </c>
      <c r="Y30" s="61"/>
      <c r="Z30" s="61"/>
      <c r="AA30" s="61"/>
    </row>
    <row r="31" spans="1:30" s="59" customFormat="1" x14ac:dyDescent="0.2">
      <c r="C31" s="62" t="s">
        <v>2</v>
      </c>
      <c r="E31" s="59">
        <f t="shared" si="21"/>
        <v>0</v>
      </c>
      <c r="F31" s="59">
        <f t="shared" si="21"/>
        <v>0</v>
      </c>
      <c r="G31" s="59">
        <f t="shared" si="20"/>
        <v>0</v>
      </c>
      <c r="H31" s="59">
        <f t="shared" si="20"/>
        <v>0</v>
      </c>
      <c r="I31" s="59">
        <f t="shared" si="20"/>
        <v>0</v>
      </c>
      <c r="J31" s="59">
        <f t="shared" si="20"/>
        <v>0</v>
      </c>
      <c r="K31" s="59">
        <f t="shared" si="20"/>
        <v>0</v>
      </c>
      <c r="L31" s="59">
        <f t="shared" si="20"/>
        <v>0</v>
      </c>
      <c r="M31" s="59">
        <f t="shared" si="20"/>
        <v>0</v>
      </c>
      <c r="N31" s="59">
        <f t="shared" si="20"/>
        <v>0</v>
      </c>
      <c r="O31" s="59">
        <f t="shared" si="20"/>
        <v>0</v>
      </c>
      <c r="P31" s="59">
        <f t="shared" si="20"/>
        <v>0</v>
      </c>
      <c r="Q31" s="59">
        <f t="shared" si="20"/>
        <v>0</v>
      </c>
      <c r="R31" s="59">
        <f t="shared" si="20"/>
        <v>0</v>
      </c>
      <c r="S31" s="59">
        <f t="shared" si="20"/>
        <v>0</v>
      </c>
      <c r="T31" s="59">
        <f t="shared" si="20"/>
        <v>0</v>
      </c>
      <c r="U31" s="59">
        <f t="shared" si="20"/>
        <v>0</v>
      </c>
      <c r="V31" s="59">
        <f t="shared" si="20"/>
        <v>0</v>
      </c>
      <c r="W31" s="59">
        <f t="shared" si="20"/>
        <v>0</v>
      </c>
      <c r="Y31" s="61"/>
      <c r="Z31" s="61"/>
      <c r="AA31" s="61"/>
    </row>
    <row r="32" spans="1:30" s="59" customFormat="1" x14ac:dyDescent="0.2">
      <c r="C32" s="62" t="s">
        <v>3</v>
      </c>
      <c r="E32" s="59">
        <f t="shared" si="21"/>
        <v>0</v>
      </c>
      <c r="F32" s="59">
        <f t="shared" si="21"/>
        <v>0</v>
      </c>
      <c r="G32" s="59">
        <f t="shared" si="20"/>
        <v>0</v>
      </c>
      <c r="H32" s="59">
        <f t="shared" si="20"/>
        <v>0</v>
      </c>
      <c r="I32" s="59">
        <f t="shared" si="20"/>
        <v>0</v>
      </c>
      <c r="J32" s="59">
        <f t="shared" si="20"/>
        <v>0</v>
      </c>
      <c r="K32" s="59">
        <f t="shared" si="20"/>
        <v>0</v>
      </c>
      <c r="L32" s="59">
        <f t="shared" si="20"/>
        <v>0</v>
      </c>
      <c r="M32" s="59">
        <f t="shared" si="20"/>
        <v>0</v>
      </c>
      <c r="N32" s="59">
        <f t="shared" si="20"/>
        <v>0</v>
      </c>
      <c r="O32" s="59">
        <f t="shared" si="20"/>
        <v>0</v>
      </c>
      <c r="P32" s="59">
        <f t="shared" si="20"/>
        <v>0</v>
      </c>
      <c r="Q32" s="59">
        <f t="shared" si="20"/>
        <v>0</v>
      </c>
      <c r="R32" s="59">
        <f t="shared" si="20"/>
        <v>0</v>
      </c>
      <c r="S32" s="59">
        <f t="shared" si="20"/>
        <v>0</v>
      </c>
      <c r="T32" s="59">
        <f t="shared" si="20"/>
        <v>0</v>
      </c>
      <c r="U32" s="59">
        <f t="shared" si="20"/>
        <v>0</v>
      </c>
      <c r="V32" s="59">
        <f t="shared" si="20"/>
        <v>0</v>
      </c>
      <c r="W32" s="59">
        <f t="shared" si="20"/>
        <v>0</v>
      </c>
      <c r="Y32" s="61"/>
      <c r="Z32" s="61"/>
      <c r="AA32" s="61"/>
    </row>
    <row r="33" spans="2:27" s="59" customFormat="1" x14ac:dyDescent="0.2">
      <c r="C33" s="62" t="s">
        <v>27</v>
      </c>
      <c r="E33" s="59">
        <f>IF(E13="",0,1)</f>
        <v>0</v>
      </c>
      <c r="F33" s="59">
        <f t="shared" ref="F33:W33" si="22">IF(F13="",0,1)</f>
        <v>0</v>
      </c>
      <c r="G33" s="59">
        <f t="shared" si="22"/>
        <v>0</v>
      </c>
      <c r="H33" s="59">
        <f t="shared" si="22"/>
        <v>0</v>
      </c>
      <c r="I33" s="59">
        <f t="shared" si="22"/>
        <v>0</v>
      </c>
      <c r="J33" s="59">
        <f t="shared" si="22"/>
        <v>0</v>
      </c>
      <c r="K33" s="59">
        <f t="shared" si="22"/>
        <v>0</v>
      </c>
      <c r="L33" s="59">
        <f t="shared" si="22"/>
        <v>0</v>
      </c>
      <c r="M33" s="59">
        <f t="shared" si="22"/>
        <v>0</v>
      </c>
      <c r="N33" s="59">
        <f t="shared" si="22"/>
        <v>0</v>
      </c>
      <c r="O33" s="59">
        <f t="shared" si="22"/>
        <v>0</v>
      </c>
      <c r="P33" s="59">
        <f t="shared" si="22"/>
        <v>0</v>
      </c>
      <c r="Q33" s="59">
        <f t="shared" si="22"/>
        <v>0</v>
      </c>
      <c r="R33" s="59">
        <f>IF(R13="",0,1)</f>
        <v>0</v>
      </c>
      <c r="S33" s="59">
        <f>IF(S13="",0,1)</f>
        <v>0</v>
      </c>
      <c r="T33" s="59">
        <f t="shared" si="22"/>
        <v>0</v>
      </c>
      <c r="U33" s="59">
        <f>IF(U13="",0,1)</f>
        <v>0</v>
      </c>
      <c r="V33" s="59">
        <f>IF(V13="",0,1)</f>
        <v>0</v>
      </c>
      <c r="W33" s="59">
        <f t="shared" si="22"/>
        <v>0</v>
      </c>
      <c r="Y33" s="61"/>
      <c r="Z33" s="61"/>
      <c r="AA33" s="61"/>
    </row>
    <row r="34" spans="2:27" s="59" customFormat="1" ht="25.5" x14ac:dyDescent="0.2">
      <c r="B34" s="64" t="s">
        <v>104</v>
      </c>
      <c r="C34" s="65"/>
      <c r="E34" s="59">
        <f>E29+E30+E31+E32</f>
        <v>2</v>
      </c>
      <c r="F34" s="59">
        <f t="shared" ref="F34:W34" si="23">F29+F30+F31+F32</f>
        <v>2</v>
      </c>
      <c r="G34" s="59">
        <f t="shared" si="23"/>
        <v>2</v>
      </c>
      <c r="H34" s="59">
        <f t="shared" si="23"/>
        <v>2</v>
      </c>
      <c r="I34" s="59">
        <f t="shared" si="23"/>
        <v>2</v>
      </c>
      <c r="J34" s="59">
        <f t="shared" si="23"/>
        <v>0</v>
      </c>
      <c r="K34" s="59">
        <f t="shared" si="23"/>
        <v>2</v>
      </c>
      <c r="L34" s="59">
        <f t="shared" si="23"/>
        <v>1</v>
      </c>
      <c r="M34" s="59">
        <f t="shared" si="23"/>
        <v>2</v>
      </c>
      <c r="N34" s="59">
        <f t="shared" si="23"/>
        <v>1</v>
      </c>
      <c r="O34" s="59">
        <f t="shared" si="23"/>
        <v>2</v>
      </c>
      <c r="P34" s="59">
        <f t="shared" si="23"/>
        <v>1</v>
      </c>
      <c r="Q34" s="59">
        <f t="shared" si="23"/>
        <v>2</v>
      </c>
      <c r="R34" s="59">
        <f t="shared" si="23"/>
        <v>1</v>
      </c>
      <c r="S34" s="59">
        <f t="shared" si="23"/>
        <v>2</v>
      </c>
      <c r="T34" s="59">
        <f t="shared" si="23"/>
        <v>2</v>
      </c>
      <c r="U34" s="59">
        <f t="shared" si="23"/>
        <v>2</v>
      </c>
      <c r="V34" s="59">
        <f t="shared" si="23"/>
        <v>0</v>
      </c>
      <c r="W34" s="59">
        <f t="shared" si="23"/>
        <v>0</v>
      </c>
      <c r="Y34" s="61"/>
      <c r="Z34" s="61"/>
      <c r="AA34" s="61"/>
    </row>
    <row r="35" spans="2:27" s="59" customFormat="1" x14ac:dyDescent="0.2">
      <c r="B35" s="59" t="s">
        <v>90</v>
      </c>
      <c r="C35" s="65" t="s">
        <v>91</v>
      </c>
      <c r="E35" s="59">
        <f>IF(E11&lt;&gt;"",E11/3600*1.2,IF(E12&lt;&gt;"",E12*1.2,0))</f>
        <v>2</v>
      </c>
      <c r="F35" s="59">
        <f>IF(OR(F11&lt;&gt;"",F12&lt;&gt;"",F28=0),IF(F11&lt;&gt;"",F11/3600*1.2,IF(F12&lt;&gt;"",F12*1.2,0)),IF(OR(F28&lt;=4,F28=6),E35,#N/A))</f>
        <v>2</v>
      </c>
      <c r="G35" s="59">
        <f>IF(OR(G11&lt;&gt;"",G12&lt;&gt;"",G28=0),IF(G11&lt;&gt;"",G11/3600*1.2,IF(G12&lt;&gt;"",G12*1.2,0)),IF(OR(G28&lt;=4,G28=6),F35,IF(G28=5,F35+E35,#N/A)))</f>
        <v>2</v>
      </c>
      <c r="H35" s="59">
        <f t="shared" ref="H35:Q35" si="24">IF(OR(H11&lt;&gt;"",H12&lt;&gt;"",H28=0),IF(H11&lt;&gt;"",H11/3600*1.2,IF(H12&lt;&gt;"",H12*1.2,0)),IF(OR(H28&lt;=4,H28=6),G35,IF(H28=5,G35+F35,#N/A)))</f>
        <v>2</v>
      </c>
      <c r="I35" s="59">
        <f t="shared" si="24"/>
        <v>3.333333333333333</v>
      </c>
      <c r="J35" s="59">
        <f t="shared" si="24"/>
        <v>5.333333333333333</v>
      </c>
      <c r="K35" s="59">
        <f t="shared" si="24"/>
        <v>5.333333333333333</v>
      </c>
      <c r="L35" s="59">
        <f t="shared" si="24"/>
        <v>5.333333333333333</v>
      </c>
      <c r="M35" s="59">
        <f t="shared" si="24"/>
        <v>5.333333333333333</v>
      </c>
      <c r="N35" s="59">
        <f t="shared" si="24"/>
        <v>5.333333333333333</v>
      </c>
      <c r="O35" s="59">
        <f t="shared" si="24"/>
        <v>5.333333333333333</v>
      </c>
      <c r="P35" s="59">
        <f t="shared" si="24"/>
        <v>5.333333333333333</v>
      </c>
      <c r="Q35" s="59">
        <f t="shared" si="24"/>
        <v>5.333333333333333</v>
      </c>
      <c r="R35" s="59">
        <f>IF(OR(R11&lt;&gt;"",R12&lt;&gt;"",R28=0),IF(R11&lt;&gt;"",R11/3600*1.2,IF(R12&lt;&gt;"",R12*1.2,0)),IF(OR(R28&lt;=4,R28=6),Q35,IF(R28=5,Q35+P35,#N/A)))</f>
        <v>5.333333333333333</v>
      </c>
      <c r="S35" s="59">
        <f>IF(OR(S11&lt;&gt;"",S12&lt;&gt;"",S28=0),IF(S11&lt;&gt;"",S11/3600*1.2,IF(S12&lt;&gt;"",S12*1.2,0)),IF(OR(S28&lt;=4,S28=6),R35,IF(S28=5,R35+Q35,#N/A)))</f>
        <v>5.333333333333333</v>
      </c>
      <c r="T35" s="59">
        <f>IF(OR(T11&lt;&gt;"",T12&lt;&gt;"",T28=0),IF(T11&lt;&gt;"",T11/3600*1.2,IF(T12&lt;&gt;"",T12*1.2,0)),IF(OR(T28&lt;=4,T28=6),#REF!,IF(T28=5,#REF!+S35,#N/A)))</f>
        <v>5.333333333333333</v>
      </c>
      <c r="U35" s="59">
        <f>IF(OR(U11&lt;&gt;"",U12&lt;&gt;"",U28=0),IF(U11&lt;&gt;"",U11/3600*1.2,IF(U12&lt;&gt;"",U12*1.2,0)),IF(OR(U28&lt;=4,U28=6),T35,IF(U28=5,T35+#REF!,#N/A)))</f>
        <v>5.333333333333333</v>
      </c>
      <c r="V35" s="59">
        <f>IF(OR(V11&lt;&gt;"",V12&lt;&gt;"",V28=0),IF(V11&lt;&gt;"",V11/3600*1.2,IF(V12&lt;&gt;"",V12*1.2,0)),IF(OR(V28&lt;=4,V28=6),U35,IF(V28=5,U35+T35,#N/A)))</f>
        <v>0</v>
      </c>
      <c r="W35" s="59">
        <f t="shared" ref="W35" si="25">IF(OR(W11&lt;&gt;"",W12&lt;&gt;"",W28=0),IF(W11&lt;&gt;"",W11/3600*1.2,IF(W12&lt;&gt;"",W12*1.2,0)),IF(OR(W28&lt;=4,W28=6),V35,IF(W28=5,V35+U35,#N/A)))</f>
        <v>0</v>
      </c>
      <c r="Y35" s="61"/>
      <c r="Z35" s="61"/>
      <c r="AA35" s="61"/>
    </row>
    <row r="36" spans="2:27" s="59" customFormat="1" ht="25.5" x14ac:dyDescent="0.2">
      <c r="B36" s="66" t="s">
        <v>132</v>
      </c>
      <c r="C36" s="62" t="s">
        <v>0</v>
      </c>
      <c r="E36" s="59">
        <f>IF(E29=1,E6,"")</f>
        <v>-25</v>
      </c>
      <c r="F36" s="59">
        <f t="shared" ref="F36:W36" si="26">IF(F29=1,F6,"")</f>
        <v>-25</v>
      </c>
      <c r="G36" s="59">
        <f t="shared" si="26"/>
        <v>-25</v>
      </c>
      <c r="H36" s="59">
        <f t="shared" si="26"/>
        <v>-25</v>
      </c>
      <c r="I36" s="59">
        <f t="shared" si="26"/>
        <v>20</v>
      </c>
      <c r="J36" s="59" t="str">
        <f t="shared" si="26"/>
        <v/>
      </c>
      <c r="K36" s="59">
        <f t="shared" si="26"/>
        <v>4.277020603210544</v>
      </c>
      <c r="L36" s="59">
        <f t="shared" si="26"/>
        <v>8</v>
      </c>
      <c r="M36" s="59">
        <f t="shared" si="26"/>
        <v>8</v>
      </c>
      <c r="N36" s="59">
        <f t="shared" si="26"/>
        <v>20</v>
      </c>
      <c r="O36" s="59">
        <f t="shared" si="26"/>
        <v>35</v>
      </c>
      <c r="P36" s="59">
        <f t="shared" si="26"/>
        <v>16</v>
      </c>
      <c r="Q36" s="59">
        <f t="shared" si="26"/>
        <v>16</v>
      </c>
      <c r="R36" s="59">
        <f>IF(R29=1,R6,"")</f>
        <v>20</v>
      </c>
      <c r="S36" s="59">
        <f>IF(S29=1,S6,"")</f>
        <v>20</v>
      </c>
      <c r="T36" s="59">
        <f t="shared" si="26"/>
        <v>20</v>
      </c>
      <c r="U36" s="59">
        <f>IF(U29=1,U6,"")</f>
        <v>20</v>
      </c>
      <c r="V36" s="59" t="str">
        <f>IF(V29=1,V6,"")</f>
        <v/>
      </c>
      <c r="W36" s="59" t="str">
        <f t="shared" si="26"/>
        <v/>
      </c>
      <c r="Y36" s="61"/>
      <c r="Z36" s="61"/>
      <c r="AA36" s="61"/>
    </row>
    <row r="37" spans="2:27" s="59" customFormat="1" x14ac:dyDescent="0.2">
      <c r="C37" s="63" t="s">
        <v>1</v>
      </c>
      <c r="E37" s="59">
        <f>IF(E30=1,E7/100,"")</f>
        <v>0.2</v>
      </c>
      <c r="F37" s="59">
        <f t="shared" ref="F37:W37" si="27">IF(F30=1,F7/100,"")</f>
        <v>0.2</v>
      </c>
      <c r="G37" s="59">
        <f t="shared" si="27"/>
        <v>0.2</v>
      </c>
      <c r="H37" s="59">
        <f t="shared" si="27"/>
        <v>0.2</v>
      </c>
      <c r="I37" s="59">
        <f t="shared" si="27"/>
        <v>0.6</v>
      </c>
      <c r="J37" s="59" t="str">
        <f t="shared" si="27"/>
        <v/>
      </c>
      <c r="K37" s="59">
        <f t="shared" si="27"/>
        <v>0.01</v>
      </c>
      <c r="L37" s="59" t="str">
        <f t="shared" si="27"/>
        <v/>
      </c>
      <c r="M37" s="59">
        <f t="shared" si="27"/>
        <v>7.7246107631210339E-5</v>
      </c>
      <c r="N37" s="59" t="str">
        <f t="shared" si="27"/>
        <v/>
      </c>
      <c r="O37" s="59">
        <f t="shared" si="27"/>
        <v>0.4</v>
      </c>
      <c r="P37" s="59" t="str">
        <f t="shared" si="27"/>
        <v/>
      </c>
      <c r="Q37" s="59">
        <f t="shared" si="27"/>
        <v>7.5771330367416147E-3</v>
      </c>
      <c r="R37" s="59" t="str">
        <f>IF(R30=1,R7/100,"")</f>
        <v/>
      </c>
      <c r="S37" s="59">
        <f>IF(S30=1,S7/100,"")</f>
        <v>5.889954581965501E-5</v>
      </c>
      <c r="T37" s="59">
        <f t="shared" si="27"/>
        <v>5.8899545819655011E-7</v>
      </c>
      <c r="U37" s="59">
        <f>IF(U30=1,U7/100,"")</f>
        <v>5.889954581965502E-9</v>
      </c>
      <c r="V37" s="59" t="str">
        <f>IF(V30=1,V7/100,"")</f>
        <v/>
      </c>
      <c r="W37" s="59" t="str">
        <f t="shared" si="27"/>
        <v/>
      </c>
      <c r="Y37" s="61"/>
      <c r="Z37" s="61"/>
      <c r="AA37" s="61"/>
    </row>
    <row r="38" spans="2:27" s="59" customFormat="1" x14ac:dyDescent="0.2">
      <c r="C38" s="62" t="s">
        <v>2</v>
      </c>
      <c r="E38" s="59" t="str">
        <f>IF(E31=1,E8,"")</f>
        <v/>
      </c>
      <c r="F38" s="59" t="str">
        <f t="shared" ref="F38:W39" si="28">IF(F31=1,F8,"")</f>
        <v/>
      </c>
      <c r="G38" s="59" t="str">
        <f t="shared" si="28"/>
        <v/>
      </c>
      <c r="H38" s="59" t="str">
        <f t="shared" si="28"/>
        <v/>
      </c>
      <c r="I38" s="59" t="str">
        <f t="shared" si="28"/>
        <v/>
      </c>
      <c r="J38" s="59" t="str">
        <f t="shared" si="28"/>
        <v/>
      </c>
      <c r="K38" s="59" t="str">
        <f t="shared" si="28"/>
        <v/>
      </c>
      <c r="L38" s="59" t="str">
        <f t="shared" si="28"/>
        <v/>
      </c>
      <c r="M38" s="59" t="str">
        <f t="shared" si="28"/>
        <v/>
      </c>
      <c r="N38" s="59" t="str">
        <f t="shared" si="28"/>
        <v/>
      </c>
      <c r="O38" s="59" t="str">
        <f t="shared" si="28"/>
        <v/>
      </c>
      <c r="P38" s="59" t="str">
        <f t="shared" si="28"/>
        <v/>
      </c>
      <c r="Q38" s="59" t="str">
        <f t="shared" si="28"/>
        <v/>
      </c>
      <c r="R38" s="59" t="str">
        <f>IF(R31=1,R8,"")</f>
        <v/>
      </c>
      <c r="S38" s="59" t="str">
        <f>IF(S31=1,S8,"")</f>
        <v/>
      </c>
      <c r="T38" s="59" t="str">
        <f t="shared" si="28"/>
        <v/>
      </c>
      <c r="U38" s="59" t="str">
        <f>IF(U31=1,U8,"")</f>
        <v/>
      </c>
      <c r="V38" s="59" t="str">
        <f>IF(V31=1,V8,"")</f>
        <v/>
      </c>
      <c r="W38" s="59" t="str">
        <f t="shared" si="28"/>
        <v/>
      </c>
      <c r="Y38" s="61"/>
      <c r="Z38" s="61"/>
      <c r="AA38" s="61"/>
    </row>
    <row r="39" spans="2:27" s="59" customFormat="1" x14ac:dyDescent="0.2">
      <c r="C39" s="62" t="s">
        <v>3</v>
      </c>
      <c r="E39" s="59" t="str">
        <f>IF(E32=1,E9,"")</f>
        <v/>
      </c>
      <c r="F39" s="59" t="str">
        <f t="shared" si="28"/>
        <v/>
      </c>
      <c r="G39" s="59" t="str">
        <f t="shared" si="28"/>
        <v/>
      </c>
      <c r="H39" s="59" t="str">
        <f t="shared" si="28"/>
        <v/>
      </c>
      <c r="I39" s="59" t="str">
        <f t="shared" si="28"/>
        <v/>
      </c>
      <c r="J39" s="59" t="str">
        <f t="shared" si="28"/>
        <v/>
      </c>
      <c r="K39" s="59" t="str">
        <f t="shared" si="28"/>
        <v/>
      </c>
      <c r="L39" s="59" t="str">
        <f t="shared" si="28"/>
        <v/>
      </c>
      <c r="M39" s="59" t="str">
        <f t="shared" si="28"/>
        <v/>
      </c>
      <c r="N39" s="59" t="str">
        <f t="shared" si="28"/>
        <v/>
      </c>
      <c r="O39" s="59" t="str">
        <f t="shared" si="28"/>
        <v/>
      </c>
      <c r="P39" s="59" t="str">
        <f t="shared" si="28"/>
        <v/>
      </c>
      <c r="Q39" s="59" t="str">
        <f t="shared" si="28"/>
        <v/>
      </c>
      <c r="R39" s="59" t="str">
        <f>IF(R32=1,R9,"")</f>
        <v/>
      </c>
      <c r="S39" s="59" t="str">
        <f>IF(S32=1,S9,"")</f>
        <v/>
      </c>
      <c r="T39" s="59" t="str">
        <f t="shared" si="28"/>
        <v/>
      </c>
      <c r="U39" s="59" t="str">
        <f>IF(U32=1,U9,"")</f>
        <v/>
      </c>
      <c r="V39" s="59" t="str">
        <f>IF(V32=1,V9,"")</f>
        <v/>
      </c>
      <c r="W39" s="59" t="str">
        <f t="shared" si="28"/>
        <v/>
      </c>
      <c r="Y39" s="61"/>
      <c r="Z39" s="61"/>
      <c r="AA39" s="61"/>
    </row>
    <row r="40" spans="2:27" s="59" customFormat="1" x14ac:dyDescent="0.2">
      <c r="B40" s="59" t="s">
        <v>105</v>
      </c>
      <c r="C40" s="59" t="s">
        <v>36</v>
      </c>
      <c r="E40" s="67" t="b">
        <f>OR(E34&gt;2,E33=1)</f>
        <v>0</v>
      </c>
      <c r="F40" s="67" t="b">
        <f t="shared" ref="F40:W40" si="29">OR(F34&gt;2,F33=1)</f>
        <v>0</v>
      </c>
      <c r="G40" s="67" t="b">
        <f t="shared" si="29"/>
        <v>0</v>
      </c>
      <c r="H40" s="67" t="b">
        <f t="shared" si="29"/>
        <v>0</v>
      </c>
      <c r="I40" s="67" t="b">
        <f t="shared" si="29"/>
        <v>0</v>
      </c>
      <c r="J40" s="67" t="b">
        <f t="shared" si="29"/>
        <v>0</v>
      </c>
      <c r="K40" s="67" t="b">
        <f t="shared" si="29"/>
        <v>0</v>
      </c>
      <c r="L40" s="67" t="b">
        <f t="shared" si="29"/>
        <v>0</v>
      </c>
      <c r="M40" s="111" t="b">
        <f t="shared" si="29"/>
        <v>0</v>
      </c>
      <c r="N40" s="111" t="b">
        <f t="shared" si="29"/>
        <v>0</v>
      </c>
      <c r="O40" s="111" t="b">
        <f t="shared" si="29"/>
        <v>0</v>
      </c>
      <c r="P40" s="111" t="b">
        <f t="shared" si="29"/>
        <v>0</v>
      </c>
      <c r="Q40" s="111" t="b">
        <f t="shared" si="29"/>
        <v>0</v>
      </c>
      <c r="R40" s="111" t="b">
        <f t="shared" si="29"/>
        <v>0</v>
      </c>
      <c r="S40" s="111" t="b">
        <f t="shared" si="29"/>
        <v>0</v>
      </c>
      <c r="T40" s="111" t="b">
        <f t="shared" si="29"/>
        <v>0</v>
      </c>
      <c r="U40" s="111" t="b">
        <f t="shared" si="29"/>
        <v>0</v>
      </c>
      <c r="V40" s="111" t="b">
        <f t="shared" si="29"/>
        <v>0</v>
      </c>
      <c r="W40" s="111" t="b">
        <f t="shared" si="29"/>
        <v>0</v>
      </c>
      <c r="Y40" s="61"/>
      <c r="Z40" s="61"/>
      <c r="AA40" s="61"/>
    </row>
    <row r="41" spans="2:27" s="59" customFormat="1" x14ac:dyDescent="0.2">
      <c r="B41" s="59" t="s">
        <v>47</v>
      </c>
      <c r="C41" s="59" t="s">
        <v>36</v>
      </c>
      <c r="E41" s="67" t="b">
        <f>E34=1</f>
        <v>0</v>
      </c>
      <c r="F41" s="67" t="b">
        <f t="shared" ref="F41:W41" si="30">F34=1</f>
        <v>0</v>
      </c>
      <c r="G41" s="67" t="b">
        <f t="shared" si="30"/>
        <v>0</v>
      </c>
      <c r="H41" s="67" t="b">
        <f t="shared" si="30"/>
        <v>0</v>
      </c>
      <c r="I41" s="67" t="b">
        <f t="shared" si="30"/>
        <v>0</v>
      </c>
      <c r="J41" s="67" t="b">
        <f t="shared" si="30"/>
        <v>0</v>
      </c>
      <c r="K41" s="67" t="b">
        <f t="shared" si="30"/>
        <v>0</v>
      </c>
      <c r="L41" s="67" t="b">
        <f t="shared" si="30"/>
        <v>1</v>
      </c>
      <c r="M41" s="111" t="b">
        <f t="shared" si="30"/>
        <v>0</v>
      </c>
      <c r="N41" s="111" t="b">
        <f t="shared" si="30"/>
        <v>1</v>
      </c>
      <c r="O41" s="111" t="b">
        <f t="shared" si="30"/>
        <v>0</v>
      </c>
      <c r="P41" s="111" t="b">
        <f t="shared" si="30"/>
        <v>1</v>
      </c>
      <c r="Q41" s="111" t="b">
        <f t="shared" si="30"/>
        <v>0</v>
      </c>
      <c r="R41" s="111" t="b">
        <f t="shared" si="30"/>
        <v>1</v>
      </c>
      <c r="S41" s="111" t="b">
        <f t="shared" si="30"/>
        <v>0</v>
      </c>
      <c r="T41" s="111" t="b">
        <f t="shared" si="30"/>
        <v>0</v>
      </c>
      <c r="U41" s="111" t="b">
        <f t="shared" si="30"/>
        <v>0</v>
      </c>
      <c r="V41" s="111" t="b">
        <f t="shared" si="30"/>
        <v>0</v>
      </c>
      <c r="W41" s="111" t="b">
        <f t="shared" si="30"/>
        <v>0</v>
      </c>
      <c r="Y41" s="61"/>
      <c r="Z41" s="61"/>
      <c r="AA41" s="61"/>
    </row>
    <row r="42" spans="2:27" s="59" customFormat="1" x14ac:dyDescent="0.2">
      <c r="B42" s="59" t="s">
        <v>36</v>
      </c>
      <c r="C42" s="59" t="s">
        <v>36</v>
      </c>
      <c r="E42" s="67" t="b">
        <f>E34=0</f>
        <v>0</v>
      </c>
      <c r="F42" s="67" t="b">
        <f t="shared" ref="F42:W42" si="31">F34=0</f>
        <v>0</v>
      </c>
      <c r="G42" s="67" t="b">
        <f t="shared" si="31"/>
        <v>0</v>
      </c>
      <c r="H42" s="67" t="b">
        <f t="shared" si="31"/>
        <v>0</v>
      </c>
      <c r="I42" s="67" t="b">
        <f t="shared" si="31"/>
        <v>0</v>
      </c>
      <c r="J42" s="67" t="b">
        <f t="shared" si="31"/>
        <v>1</v>
      </c>
      <c r="K42" s="67" t="b">
        <f t="shared" si="31"/>
        <v>0</v>
      </c>
      <c r="L42" s="67" t="b">
        <f t="shared" si="31"/>
        <v>0</v>
      </c>
      <c r="M42" s="111" t="b">
        <f t="shared" si="31"/>
        <v>0</v>
      </c>
      <c r="N42" s="111" t="b">
        <f t="shared" si="31"/>
        <v>0</v>
      </c>
      <c r="O42" s="111" t="b">
        <f t="shared" si="31"/>
        <v>0</v>
      </c>
      <c r="P42" s="111" t="b">
        <f t="shared" si="31"/>
        <v>0</v>
      </c>
      <c r="Q42" s="111" t="b">
        <f t="shared" si="31"/>
        <v>0</v>
      </c>
      <c r="R42" s="111" t="b">
        <f t="shared" si="31"/>
        <v>0</v>
      </c>
      <c r="S42" s="111" t="b">
        <f t="shared" si="31"/>
        <v>0</v>
      </c>
      <c r="T42" s="111" t="b">
        <f t="shared" si="31"/>
        <v>0</v>
      </c>
      <c r="U42" s="111" t="b">
        <f t="shared" si="31"/>
        <v>0</v>
      </c>
      <c r="V42" s="111" t="b">
        <f t="shared" si="31"/>
        <v>1</v>
      </c>
      <c r="W42" s="111" t="b">
        <f t="shared" si="31"/>
        <v>1</v>
      </c>
      <c r="Y42" s="61"/>
      <c r="Z42" s="61"/>
      <c r="AA42" s="61"/>
    </row>
    <row r="43" spans="2:27" s="59" customFormat="1" x14ac:dyDescent="0.2">
      <c r="B43" s="65"/>
      <c r="Y43" s="61"/>
      <c r="Z43" s="61"/>
      <c r="AA43" s="61"/>
    </row>
    <row r="44" spans="2:27" s="59" customFormat="1" ht="25.5" x14ac:dyDescent="0.2">
      <c r="B44" s="66" t="s">
        <v>96</v>
      </c>
      <c r="C44" s="62" t="s">
        <v>0</v>
      </c>
      <c r="E44" s="68" t="str">
        <f>""</f>
        <v/>
      </c>
      <c r="F44" s="59">
        <f t="shared" ref="F44:W44" si="32">IF(F29=1,F6,"")</f>
        <v>-25</v>
      </c>
      <c r="G44" s="59">
        <f t="shared" si="32"/>
        <v>-25</v>
      </c>
      <c r="H44" s="59">
        <f t="shared" si="32"/>
        <v>-25</v>
      </c>
      <c r="I44" s="59">
        <f t="shared" si="32"/>
        <v>20</v>
      </c>
      <c r="J44" s="59" t="str">
        <f t="shared" si="32"/>
        <v/>
      </c>
      <c r="K44" s="59">
        <f t="shared" si="32"/>
        <v>4.277020603210544</v>
      </c>
      <c r="L44" s="59">
        <f t="shared" si="32"/>
        <v>8</v>
      </c>
      <c r="M44" s="59">
        <f t="shared" si="32"/>
        <v>8</v>
      </c>
      <c r="N44" s="59">
        <f t="shared" si="32"/>
        <v>20</v>
      </c>
      <c r="O44" s="59">
        <f t="shared" si="32"/>
        <v>35</v>
      </c>
      <c r="P44" s="59">
        <f t="shared" si="32"/>
        <v>16</v>
      </c>
      <c r="Q44" s="59">
        <f t="shared" si="32"/>
        <v>16</v>
      </c>
      <c r="R44" s="59">
        <f>IF(R29=1,R6,"")</f>
        <v>20</v>
      </c>
      <c r="S44" s="59">
        <f>IF(S29=1,S6,"")</f>
        <v>20</v>
      </c>
      <c r="T44" s="59">
        <f t="shared" si="32"/>
        <v>20</v>
      </c>
      <c r="U44" s="59">
        <f>IF(U29=1,U6,"")</f>
        <v>20</v>
      </c>
      <c r="V44" s="59" t="str">
        <f>IF(V29=1,V6,"")</f>
        <v/>
      </c>
      <c r="W44" s="59" t="str">
        <f t="shared" si="32"/>
        <v/>
      </c>
      <c r="Y44" s="61"/>
      <c r="Z44" s="61"/>
      <c r="AA44" s="61"/>
    </row>
    <row r="45" spans="2:27" s="59" customFormat="1" x14ac:dyDescent="0.2">
      <c r="C45" s="63" t="s">
        <v>1</v>
      </c>
      <c r="E45" s="68" t="str">
        <f>""</f>
        <v/>
      </c>
      <c r="F45" s="68" t="str">
        <f>""</f>
        <v/>
      </c>
      <c r="G45" s="68" t="str">
        <f>""</f>
        <v/>
      </c>
      <c r="H45" s="68" t="str">
        <f>""</f>
        <v/>
      </c>
      <c r="I45" s="68" t="str">
        <f>""</f>
        <v/>
      </c>
      <c r="J45" s="68" t="str">
        <f>""</f>
        <v/>
      </c>
      <c r="K45" s="68" t="str">
        <f>""</f>
        <v/>
      </c>
      <c r="L45" s="68" t="str">
        <f>""</f>
        <v/>
      </c>
      <c r="M45" s="68" t="str">
        <f>""</f>
        <v/>
      </c>
      <c r="N45" s="68" t="str">
        <f>""</f>
        <v/>
      </c>
      <c r="O45" s="68" t="str">
        <f>""</f>
        <v/>
      </c>
      <c r="P45" s="68" t="str">
        <f>""</f>
        <v/>
      </c>
      <c r="Q45" s="68" t="str">
        <f>""</f>
        <v/>
      </c>
      <c r="R45" s="68" t="str">
        <f>""</f>
        <v/>
      </c>
      <c r="S45" s="68" t="str">
        <f>""</f>
        <v/>
      </c>
      <c r="T45" s="68" t="str">
        <f>""</f>
        <v/>
      </c>
      <c r="U45" s="68" t="str">
        <f>""</f>
        <v/>
      </c>
      <c r="V45" s="68" t="str">
        <f>""</f>
        <v/>
      </c>
      <c r="W45" s="68" t="str">
        <f>""</f>
        <v/>
      </c>
      <c r="Y45" s="61"/>
      <c r="Z45" s="61"/>
      <c r="AA45" s="61"/>
    </row>
    <row r="46" spans="2:27" s="59" customFormat="1" x14ac:dyDescent="0.2">
      <c r="C46" s="62" t="s">
        <v>2</v>
      </c>
      <c r="E46" s="68" t="str">
        <f>""</f>
        <v/>
      </c>
      <c r="F46" s="69">
        <f>E18</f>
        <v>8.3203757830561539E-2</v>
      </c>
      <c r="G46" s="69">
        <f t="shared" ref="G46:W46" si="33">F18</f>
        <v>8.3203757830561539E-2</v>
      </c>
      <c r="H46" s="69">
        <f t="shared" si="33"/>
        <v>8.3203757830561539E-2</v>
      </c>
      <c r="I46" s="69">
        <f t="shared" si="33"/>
        <v>8.3203757830561539E-2</v>
      </c>
      <c r="J46" s="69">
        <f t="shared" si="33"/>
        <v>9.3757233081908904</v>
      </c>
      <c r="K46" s="69">
        <f t="shared" si="33"/>
        <v>5.4957390094007232</v>
      </c>
      <c r="L46" s="69">
        <f t="shared" si="33"/>
        <v>5.4480985171597482E-2</v>
      </c>
      <c r="M46" s="69">
        <f t="shared" si="33"/>
        <v>5.4480985171597482E-2</v>
      </c>
      <c r="N46" s="69">
        <f t="shared" si="33"/>
        <v>5.4476262829484417E-4</v>
      </c>
      <c r="O46" s="69">
        <f t="shared" si="33"/>
        <v>5.4476262829484417E-4</v>
      </c>
      <c r="P46" s="69">
        <f t="shared" si="33"/>
        <v>15.17511246915182</v>
      </c>
      <c r="Q46" s="69">
        <f t="shared" si="33"/>
        <v>9.2012211080269264</v>
      </c>
      <c r="R46" s="69">
        <f t="shared" si="33"/>
        <v>9.0684559843778378E-2</v>
      </c>
      <c r="S46" s="69">
        <f t="shared" si="33"/>
        <v>9.0684559843778378E-2</v>
      </c>
      <c r="T46" s="69" t="e">
        <f>#REF!</f>
        <v>#REF!</v>
      </c>
      <c r="U46" s="69">
        <f t="shared" si="33"/>
        <v>9.0671345975486622E-6</v>
      </c>
      <c r="V46" s="69">
        <f t="shared" si="33"/>
        <v>9.0671344667373509E-8</v>
      </c>
      <c r="W46" s="69" t="str">
        <f t="shared" si="33"/>
        <v/>
      </c>
      <c r="Y46" s="61"/>
      <c r="Z46" s="61"/>
      <c r="AA46" s="61"/>
    </row>
    <row r="47" spans="2:27" s="59" customFormat="1" x14ac:dyDescent="0.2">
      <c r="C47" s="62" t="s">
        <v>3</v>
      </c>
      <c r="E47" s="68" t="str">
        <f>IF(E29=1,"",D47+ABS(E13/E35))</f>
        <v/>
      </c>
      <c r="F47" s="68" t="str">
        <f>IF(F29=1,"",E19+ABS(F13/F35))</f>
        <v/>
      </c>
      <c r="G47" s="68" t="str">
        <f t="shared" ref="G47:Q47" si="34">IF(G29=1,"",F19+ABS(G13/G35))</f>
        <v/>
      </c>
      <c r="H47" s="68" t="str">
        <f t="shared" si="34"/>
        <v/>
      </c>
      <c r="I47" s="68" t="str">
        <f t="shared" si="34"/>
        <v/>
      </c>
      <c r="J47" s="68">
        <f t="shared" si="34"/>
        <v>43.997460900850115</v>
      </c>
      <c r="K47" s="68" t="str">
        <f t="shared" si="34"/>
        <v/>
      </c>
      <c r="L47" s="68" t="str">
        <f t="shared" si="34"/>
        <v/>
      </c>
      <c r="M47" s="68" t="str">
        <f t="shared" si="34"/>
        <v/>
      </c>
      <c r="N47" s="68" t="str">
        <f t="shared" si="34"/>
        <v/>
      </c>
      <c r="O47" s="68" t="str">
        <f t="shared" si="34"/>
        <v/>
      </c>
      <c r="P47" s="68" t="str">
        <f t="shared" si="34"/>
        <v/>
      </c>
      <c r="Q47" s="68" t="str">
        <f t="shared" si="34"/>
        <v/>
      </c>
      <c r="R47" s="68" t="str">
        <f>IF(R29=1,"",Q19+ABS(R13/R35))</f>
        <v/>
      </c>
      <c r="S47" s="68" t="str">
        <f>IF(S29=1,"",R19+ABS(S13/S35))</f>
        <v/>
      </c>
      <c r="T47" s="68" t="str">
        <f>IF(T29=1,"",#REF!+ABS(T13/T35))</f>
        <v/>
      </c>
      <c r="U47" s="68" t="str">
        <f>IF(U29=1,"",T19+ABS(U13/U35))</f>
        <v/>
      </c>
      <c r="V47" s="68" t="e">
        <f>IF(V29=1,"",U19+ABS(V13/V35))</f>
        <v>#DIV/0!</v>
      </c>
      <c r="W47" s="68" t="e">
        <f t="shared" ref="W47" si="35">IF(W29=1,"",V19+ABS(W13/W35))</f>
        <v>#VALUE!</v>
      </c>
      <c r="Y47" s="61"/>
      <c r="Z47" s="61"/>
      <c r="AA47" s="61"/>
    </row>
    <row r="48" spans="2:27" s="59" customFormat="1" x14ac:dyDescent="0.2">
      <c r="B48" s="59" t="s">
        <v>105</v>
      </c>
      <c r="C48" s="59" t="s">
        <v>36</v>
      </c>
      <c r="E48" s="67" t="b">
        <f>TRUE</f>
        <v>1</v>
      </c>
      <c r="F48" s="67" t="b">
        <f>OR(F30=1,F31=1,F32=1,(F29+F33)=2)</f>
        <v>1</v>
      </c>
      <c r="G48" s="67" t="b">
        <f t="shared" ref="G48:W48" si="36">OR(G30=1,G31=1,G32=1,(G29+G33)=2)</f>
        <v>1</v>
      </c>
      <c r="H48" s="67" t="b">
        <f t="shared" si="36"/>
        <v>1</v>
      </c>
      <c r="I48" s="67" t="b">
        <f t="shared" si="36"/>
        <v>1</v>
      </c>
      <c r="J48" s="67" t="b">
        <f t="shared" si="36"/>
        <v>0</v>
      </c>
      <c r="K48" s="67" t="b">
        <f t="shared" si="36"/>
        <v>1</v>
      </c>
      <c r="L48" s="67" t="b">
        <f t="shared" si="36"/>
        <v>0</v>
      </c>
      <c r="M48" s="111" t="b">
        <f t="shared" si="36"/>
        <v>1</v>
      </c>
      <c r="N48" s="111" t="b">
        <f t="shared" si="36"/>
        <v>0</v>
      </c>
      <c r="O48" s="111" t="b">
        <f t="shared" si="36"/>
        <v>1</v>
      </c>
      <c r="P48" s="111" t="b">
        <f t="shared" si="36"/>
        <v>0</v>
      </c>
      <c r="Q48" s="111" t="b">
        <f t="shared" si="36"/>
        <v>1</v>
      </c>
      <c r="R48" s="111" t="b">
        <f t="shared" si="36"/>
        <v>0</v>
      </c>
      <c r="S48" s="111" t="b">
        <f t="shared" si="36"/>
        <v>1</v>
      </c>
      <c r="T48" s="111" t="b">
        <f t="shared" si="36"/>
        <v>1</v>
      </c>
      <c r="U48" s="111" t="b">
        <f t="shared" si="36"/>
        <v>1</v>
      </c>
      <c r="V48" s="111" t="b">
        <f t="shared" si="36"/>
        <v>0</v>
      </c>
      <c r="W48" s="111" t="b">
        <f t="shared" si="36"/>
        <v>0</v>
      </c>
      <c r="Y48" s="61"/>
      <c r="Z48" s="61"/>
      <c r="AA48" s="61"/>
    </row>
    <row r="49" spans="2:27" s="59" customFormat="1" x14ac:dyDescent="0.2">
      <c r="B49" s="59" t="s">
        <v>47</v>
      </c>
      <c r="C49" s="59" t="s">
        <v>36</v>
      </c>
      <c r="E49" s="67" t="b">
        <f>FALSE</f>
        <v>0</v>
      </c>
      <c r="F49" s="67" t="b">
        <f>(F29+F33)=0</f>
        <v>0</v>
      </c>
      <c r="G49" s="67" t="b">
        <f t="shared" ref="G49:W49" si="37">(G29+G33)=0</f>
        <v>0</v>
      </c>
      <c r="H49" s="67" t="b">
        <f t="shared" si="37"/>
        <v>0</v>
      </c>
      <c r="I49" s="67" t="b">
        <f t="shared" si="37"/>
        <v>0</v>
      </c>
      <c r="J49" s="67" t="b">
        <f t="shared" si="37"/>
        <v>1</v>
      </c>
      <c r="K49" s="67" t="b">
        <f t="shared" si="37"/>
        <v>0</v>
      </c>
      <c r="L49" s="67" t="b">
        <f t="shared" si="37"/>
        <v>0</v>
      </c>
      <c r="M49" s="111" t="b">
        <f t="shared" si="37"/>
        <v>0</v>
      </c>
      <c r="N49" s="111" t="b">
        <f t="shared" si="37"/>
        <v>0</v>
      </c>
      <c r="O49" s="111" t="b">
        <f t="shared" si="37"/>
        <v>0</v>
      </c>
      <c r="P49" s="111" t="b">
        <f t="shared" si="37"/>
        <v>0</v>
      </c>
      <c r="Q49" s="111" t="b">
        <f t="shared" si="37"/>
        <v>0</v>
      </c>
      <c r="R49" s="111" t="b">
        <f t="shared" si="37"/>
        <v>0</v>
      </c>
      <c r="S49" s="111" t="b">
        <f t="shared" si="37"/>
        <v>0</v>
      </c>
      <c r="T49" s="111" t="b">
        <f t="shared" si="37"/>
        <v>0</v>
      </c>
      <c r="U49" s="111" t="b">
        <f t="shared" si="37"/>
        <v>0</v>
      </c>
      <c r="V49" s="111" t="b">
        <f t="shared" si="37"/>
        <v>1</v>
      </c>
      <c r="W49" s="111" t="b">
        <f t="shared" si="37"/>
        <v>1</v>
      </c>
      <c r="Y49" s="61"/>
      <c r="Z49" s="61"/>
      <c r="AA49" s="61"/>
    </row>
    <row r="50" spans="2:27" s="59" customFormat="1" x14ac:dyDescent="0.2">
      <c r="B50" s="59" t="s">
        <v>36</v>
      </c>
      <c r="C50" s="59" t="s">
        <v>36</v>
      </c>
      <c r="E50" s="67" t="b">
        <f>FALSE</f>
        <v>0</v>
      </c>
      <c r="F50" s="67" t="b">
        <f>FALSE</f>
        <v>0</v>
      </c>
      <c r="G50" s="67" t="b">
        <f>FALSE</f>
        <v>0</v>
      </c>
      <c r="H50" s="67" t="b">
        <f>FALSE</f>
        <v>0</v>
      </c>
      <c r="I50" s="67" t="b">
        <f>FALSE</f>
        <v>0</v>
      </c>
      <c r="J50" s="67" t="b">
        <f>FALSE</f>
        <v>0</v>
      </c>
      <c r="K50" s="67" t="b">
        <f>FALSE</f>
        <v>0</v>
      </c>
      <c r="L50" s="67" t="b">
        <f>FALSE</f>
        <v>0</v>
      </c>
      <c r="M50" s="111" t="b">
        <f>FALSE</f>
        <v>0</v>
      </c>
      <c r="N50" s="111" t="b">
        <f>FALSE</f>
        <v>0</v>
      </c>
      <c r="O50" s="111" t="b">
        <f>FALSE</f>
        <v>0</v>
      </c>
      <c r="P50" s="111" t="b">
        <f>FALSE</f>
        <v>0</v>
      </c>
      <c r="Q50" s="111" t="b">
        <f>FALSE</f>
        <v>0</v>
      </c>
      <c r="R50" s="111" t="b">
        <f>FALSE</f>
        <v>0</v>
      </c>
      <c r="S50" s="111" t="b">
        <f>FALSE</f>
        <v>0</v>
      </c>
      <c r="T50" s="111" t="b">
        <f>FALSE</f>
        <v>0</v>
      </c>
      <c r="U50" s="111" t="b">
        <f>FALSE</f>
        <v>0</v>
      </c>
      <c r="V50" s="111" t="b">
        <f>FALSE</f>
        <v>0</v>
      </c>
      <c r="W50" s="111" t="b">
        <f>FALSE</f>
        <v>0</v>
      </c>
      <c r="Y50" s="61"/>
      <c r="Z50" s="61"/>
      <c r="AA50" s="61"/>
    </row>
    <row r="51" spans="2:27" s="59" customFormat="1" x14ac:dyDescent="0.2">
      <c r="B51" s="65"/>
      <c r="E51" s="68"/>
      <c r="Y51" s="61"/>
      <c r="Z51" s="61"/>
      <c r="AA51" s="61"/>
    </row>
    <row r="52" spans="2:27" s="59" customFormat="1" ht="25.5" x14ac:dyDescent="0.2">
      <c r="B52" s="66" t="s">
        <v>97</v>
      </c>
      <c r="C52" s="62" t="s">
        <v>0</v>
      </c>
      <c r="E52" s="68" t="str">
        <f>""</f>
        <v/>
      </c>
      <c r="F52" s="59">
        <f>IF(F29=1,F6,"")</f>
        <v>-25</v>
      </c>
      <c r="G52" s="59">
        <f t="shared" ref="G52:W52" si="38">IF(G29=1,G6,"")</f>
        <v>-25</v>
      </c>
      <c r="H52" s="59">
        <f t="shared" si="38"/>
        <v>-25</v>
      </c>
      <c r="I52" s="59">
        <f t="shared" si="38"/>
        <v>20</v>
      </c>
      <c r="J52" s="59" t="str">
        <f t="shared" si="38"/>
        <v/>
      </c>
      <c r="K52" s="59">
        <f t="shared" si="38"/>
        <v>4.277020603210544</v>
      </c>
      <c r="L52" s="59">
        <f t="shared" si="38"/>
        <v>8</v>
      </c>
      <c r="M52" s="59">
        <f t="shared" si="38"/>
        <v>8</v>
      </c>
      <c r="N52" s="59">
        <f t="shared" si="38"/>
        <v>20</v>
      </c>
      <c r="O52" s="59">
        <f t="shared" si="38"/>
        <v>35</v>
      </c>
      <c r="P52" s="59">
        <f t="shared" si="38"/>
        <v>16</v>
      </c>
      <c r="Q52" s="59">
        <f t="shared" si="38"/>
        <v>16</v>
      </c>
      <c r="R52" s="59">
        <f>IF(R29=1,R6,"")</f>
        <v>20</v>
      </c>
      <c r="S52" s="59">
        <f>IF(S29=1,S6,"")</f>
        <v>20</v>
      </c>
      <c r="T52" s="59">
        <f t="shared" si="38"/>
        <v>20</v>
      </c>
      <c r="U52" s="59">
        <f>IF(U29=1,U6,"")</f>
        <v>20</v>
      </c>
      <c r="V52" s="59" t="str">
        <f>IF(V29=1,V6,"")</f>
        <v/>
      </c>
      <c r="W52" s="59" t="str">
        <f t="shared" si="38"/>
        <v/>
      </c>
      <c r="Y52" s="61"/>
      <c r="Z52" s="61"/>
      <c r="AA52" s="61"/>
    </row>
    <row r="53" spans="2:27" s="59" customFormat="1" x14ac:dyDescent="0.2">
      <c r="C53" s="63" t="s">
        <v>1</v>
      </c>
      <c r="E53" s="68" t="str">
        <f>""</f>
        <v/>
      </c>
      <c r="F53" s="59" t="str">
        <f>""</f>
        <v/>
      </c>
      <c r="G53" s="59" t="str">
        <f>""</f>
        <v/>
      </c>
      <c r="H53" s="59" t="str">
        <f>""</f>
        <v/>
      </c>
      <c r="I53" s="59" t="str">
        <f>""</f>
        <v/>
      </c>
      <c r="J53" s="59" t="str">
        <f>""</f>
        <v/>
      </c>
      <c r="K53" s="59" t="str">
        <f>""</f>
        <v/>
      </c>
      <c r="L53" s="59" t="str">
        <f>""</f>
        <v/>
      </c>
      <c r="M53" s="59" t="str">
        <f>""</f>
        <v/>
      </c>
      <c r="N53" s="59" t="str">
        <f>""</f>
        <v/>
      </c>
      <c r="O53" s="59" t="str">
        <f>""</f>
        <v/>
      </c>
      <c r="P53" s="59" t="str">
        <f>""</f>
        <v/>
      </c>
      <c r="Q53" s="59" t="str">
        <f>""</f>
        <v/>
      </c>
      <c r="R53" s="59" t="str">
        <f>""</f>
        <v/>
      </c>
      <c r="S53" s="59" t="str">
        <f>""</f>
        <v/>
      </c>
      <c r="T53" s="59" t="str">
        <f>""</f>
        <v/>
      </c>
      <c r="U53" s="59" t="str">
        <f>""</f>
        <v/>
      </c>
      <c r="V53" s="59" t="str">
        <f>""</f>
        <v/>
      </c>
      <c r="W53" s="59" t="str">
        <f>""</f>
        <v/>
      </c>
      <c r="Y53" s="61"/>
      <c r="Z53" s="61"/>
      <c r="AA53" s="61"/>
    </row>
    <row r="54" spans="2:27" s="59" customFormat="1" x14ac:dyDescent="0.2">
      <c r="C54" s="62" t="s">
        <v>2</v>
      </c>
      <c r="E54" s="68" t="str">
        <f>""</f>
        <v/>
      </c>
      <c r="F54" s="59">
        <f>IF(F33=1,MIN(E18,E18+(xchladice-E18)*(E19-F55)/(E19-Hchladice)),IF(AND(F29=1,xchladice&gt;=E18),E18,""))</f>
        <v>8.3203757830561539E-2</v>
      </c>
      <c r="G54" s="59">
        <f t="shared" ref="G54:N54" si="39">IF(G33=1,MIN(F18,F18+(xchladice-F18)*(F19-G55)/(F19-Hchladice)),IF(AND(G29=1,xchladice&gt;=F18),F18,""))</f>
        <v>8.3203757830561539E-2</v>
      </c>
      <c r="H54" s="59">
        <f t="shared" si="39"/>
        <v>8.3203757830561539E-2</v>
      </c>
      <c r="I54" s="59">
        <f t="shared" si="39"/>
        <v>8.3203757830561539E-2</v>
      </c>
      <c r="J54" s="59" t="str">
        <f t="shared" si="39"/>
        <v/>
      </c>
      <c r="K54" s="59" t="str">
        <f t="shared" si="39"/>
        <v/>
      </c>
      <c r="L54" s="59">
        <f t="shared" si="39"/>
        <v>5.4480985171597482E-2</v>
      </c>
      <c r="M54" s="59">
        <f t="shared" si="39"/>
        <v>5.4480985171597482E-2</v>
      </c>
      <c r="N54" s="59">
        <f t="shared" si="39"/>
        <v>5.4476262829484417E-4</v>
      </c>
      <c r="O54" s="59">
        <f t="shared" ref="O54" si="40">IF(O33=1,MIN(N18,N18+(xchladice-N18)*(N19-O55)/(N19-Hchladice)),IF(AND(O29=1,xchladice&gt;=N18),N18,""))</f>
        <v>5.4476262829484417E-4</v>
      </c>
      <c r="P54" s="59" t="str">
        <f t="shared" ref="P54" si="41">IF(P33=1,MIN(O18,O18+(xchladice-O18)*(O19-P55)/(O19-Hchladice)),IF(AND(P29=1,xchladice&gt;=O18),O18,""))</f>
        <v/>
      </c>
      <c r="Q54" s="59" t="str">
        <f t="shared" ref="Q54" si="42">IF(Q33=1,MIN(P18,P18+(xchladice-P18)*(P19-Q55)/(P19-Hchladice)),IF(AND(Q29=1,xchladice&gt;=P18),P18,""))</f>
        <v/>
      </c>
      <c r="R54" s="59">
        <f t="shared" ref="R54" si="43">IF(R33=1,MIN(Q18,Q18+(xchladice-Q18)*(Q19-R55)/(Q19-Hchladice)),IF(AND(R29=1,xchladice&gt;=Q18),Q18,""))</f>
        <v>9.0684559843778378E-2</v>
      </c>
      <c r="S54" s="59">
        <f t="shared" ref="S54" si="44">IF(S33=1,MIN(R18,R18+(xchladice-R18)*(R19-S55)/(R19-Hchladice)),IF(AND(S29=1,xchladice&gt;=R18),R18,""))</f>
        <v>9.0684559843778378E-2</v>
      </c>
      <c r="T54" s="59" t="e">
        <f>IF(T33=1,MIN(#REF!,#REF!+(xchladice-#REF!)*(#REF!-T55)/(#REF!-Hchladice)),IF(AND(T29=1,xchladice&gt;=#REF!),#REF!,""))</f>
        <v>#REF!</v>
      </c>
      <c r="U54" s="59">
        <f t="shared" ref="U54" si="45">IF(U33=1,MIN(T18,T18+(xchladice-T18)*(T19-U55)/(T19-Hchladice)),IF(AND(U29=1,xchladice&gt;=T18),T18,""))</f>
        <v>9.0671345975486622E-6</v>
      </c>
      <c r="V54" s="59" t="str">
        <f t="shared" ref="V54" si="46">IF(V33=1,MIN(U18,U18+(xchladice-U18)*(U19-V55)/(U19-Hchladice)),IF(AND(V29=1,xchladice&gt;=U18),U18,""))</f>
        <v/>
      </c>
      <c r="W54" s="59" t="str">
        <f t="shared" ref="W54" si="47">IF(W33=1,MIN(V18,V18+(xchladice-V18)*(V19-W55)/(V19-Hchladice)),IF(AND(W29=1,xchladice&gt;=V18),V18,""))</f>
        <v/>
      </c>
      <c r="Y54" s="61"/>
      <c r="Z54" s="61"/>
      <c r="AA54" s="61"/>
    </row>
    <row r="55" spans="2:27" s="59" customFormat="1" x14ac:dyDescent="0.2">
      <c r="C55" s="62" t="s">
        <v>3</v>
      </c>
      <c r="E55" s="68" t="str">
        <f>""</f>
        <v/>
      </c>
      <c r="F55" s="59" t="str">
        <f>IF(F33=1,E19-ABS(F13/F35),IF(xchladice&lt;E18,E19-(E19-Hchladice)*(F6-E16)/(Tchladice-E16),""))</f>
        <v/>
      </c>
      <c r="G55" s="59" t="str">
        <f t="shared" ref="G55:N55" si="48">IF(G33=1,F19-ABS(G13/G35),IF(xchladice&lt;F18,F19-(F19-Hchladice)*(G6-F16)/(Tchladice-F16),""))</f>
        <v/>
      </c>
      <c r="H55" s="59" t="str">
        <f t="shared" si="48"/>
        <v/>
      </c>
      <c r="I55" s="59" t="str">
        <f t="shared" si="48"/>
        <v/>
      </c>
      <c r="J55" s="59">
        <f t="shared" si="48"/>
        <v>10.594473166786877</v>
      </c>
      <c r="K55" s="59">
        <f t="shared" si="48"/>
        <v>18.108354095243776</v>
      </c>
      <c r="L55" s="59" t="str">
        <f t="shared" si="48"/>
        <v/>
      </c>
      <c r="M55" s="59" t="str">
        <f t="shared" si="48"/>
        <v/>
      </c>
      <c r="N55" s="59" t="str">
        <f t="shared" si="48"/>
        <v/>
      </c>
      <c r="O55" s="59" t="str">
        <f t="shared" ref="O55" si="49">IF(O33=1,N19-ABS(O13/O35),IF(xchladice&lt;N18,N19-(N19-Hchladice)*(O6-N16)/(Tchladice-N16),""))</f>
        <v/>
      </c>
      <c r="P55" s="59">
        <f t="shared" ref="P55" si="50">IF(P33=1,O19-ABS(P13/P35),IF(xchladice&lt;O18,O19-(O19-Hchladice)*(P6-O16)/(Tchladice-O16),""))</f>
        <v>39.446082331350226</v>
      </c>
      <c r="Q55" s="59">
        <f t="shared" ref="Q55" si="51">IF(Q33=1,P19-ABS(Q13/Q35),IF(xchladice&lt;P18,P19-(P19-Hchladice)*(Q6-P16)/(Tchladice-P16),""))</f>
        <v>39.446082331350226</v>
      </c>
      <c r="R55" s="59" t="str">
        <f>IF(R33=1,Q19-ABS(R13/R35),IF(xchladice&lt;Q18,Q19-(Q19-Hchladice)*(R6-Q16)/(Tchladice-Q16),""))</f>
        <v/>
      </c>
      <c r="S55" s="59" t="str">
        <f>IF(S33=1,R19-ABS(S13/S35),IF(xchladice&lt;R18,R19-(R19-Hchladice)*(S6-R16)/(Tchladice-R16),""))</f>
        <v/>
      </c>
      <c r="T55" s="59" t="e">
        <f>IF(T33=1,#REF!-ABS(T13/T35),IF(xchladice&lt;#REF!,#REF!-(#REF!-Hchladice)*(T6-#REF!)/(Tchladice-#REF!),""))</f>
        <v>#REF!</v>
      </c>
      <c r="U55" s="59" t="str">
        <f>IF(U33=1,T19-ABS(U13/U35),IF(xchladice&lt;T18,T19-(T19-Hchladice)*(U6-T16)/(Tchladice-T16),""))</f>
        <v/>
      </c>
      <c r="V55" s="59" t="str">
        <f>IF(V33=1,U19-ABS(V13/V35),IF(xchladice&lt;U18,U19-(U19-Hchladice)*(V6-U16)/(Tchladice-U16),""))</f>
        <v/>
      </c>
      <c r="W55" s="59" t="e">
        <f t="shared" ref="W55" si="52">IF(W33=1,V19-ABS(W13/W35),IF(xchladice&lt;V18,V19-(V19-Hchladice)*(W6-V16)/(Tchladice-V16),""))</f>
        <v>#VALUE!</v>
      </c>
      <c r="Y55" s="61"/>
      <c r="Z55" s="61"/>
      <c r="AA55" s="61"/>
    </row>
    <row r="56" spans="2:27" s="59" customFormat="1" x14ac:dyDescent="0.2">
      <c r="B56" s="59" t="s">
        <v>105</v>
      </c>
      <c r="C56" s="59" t="s">
        <v>36</v>
      </c>
      <c r="E56" s="67" t="b">
        <f>TRUE</f>
        <v>1</v>
      </c>
      <c r="F56" s="67" t="b">
        <f>OR(F30=1,F31=1,F32=1,(F29+F33)=2)</f>
        <v>1</v>
      </c>
      <c r="G56" s="67" t="b">
        <f t="shared" ref="G56:W56" si="53">OR(G30=1,G31=1,G32=1,(G29+G33)=2)</f>
        <v>1</v>
      </c>
      <c r="H56" s="67" t="b">
        <f t="shared" si="53"/>
        <v>1</v>
      </c>
      <c r="I56" s="67" t="b">
        <f t="shared" si="53"/>
        <v>1</v>
      </c>
      <c r="J56" s="67" t="b">
        <f t="shared" si="53"/>
        <v>0</v>
      </c>
      <c r="K56" s="67" t="b">
        <f t="shared" si="53"/>
        <v>1</v>
      </c>
      <c r="L56" s="67" t="b">
        <f t="shared" si="53"/>
        <v>0</v>
      </c>
      <c r="M56" s="111" t="b">
        <f t="shared" si="53"/>
        <v>1</v>
      </c>
      <c r="N56" s="111" t="b">
        <f t="shared" si="53"/>
        <v>0</v>
      </c>
      <c r="O56" s="111" t="b">
        <f t="shared" si="53"/>
        <v>1</v>
      </c>
      <c r="P56" s="111" t="b">
        <f t="shared" si="53"/>
        <v>0</v>
      </c>
      <c r="Q56" s="111" t="b">
        <f t="shared" si="53"/>
        <v>1</v>
      </c>
      <c r="R56" s="111" t="b">
        <f t="shared" si="53"/>
        <v>0</v>
      </c>
      <c r="S56" s="111" t="b">
        <f t="shared" si="53"/>
        <v>1</v>
      </c>
      <c r="T56" s="111" t="b">
        <f t="shared" si="53"/>
        <v>1</v>
      </c>
      <c r="U56" s="111" t="b">
        <f t="shared" si="53"/>
        <v>1</v>
      </c>
      <c r="V56" s="111" t="b">
        <f t="shared" si="53"/>
        <v>0</v>
      </c>
      <c r="W56" s="111" t="b">
        <f t="shared" si="53"/>
        <v>0</v>
      </c>
      <c r="Y56" s="61"/>
      <c r="Z56" s="61"/>
      <c r="AA56" s="61"/>
    </row>
    <row r="57" spans="2:27" s="59" customFormat="1" x14ac:dyDescent="0.2">
      <c r="B57" s="59" t="s">
        <v>47</v>
      </c>
      <c r="C57" s="59" t="s">
        <v>36</v>
      </c>
      <c r="E57" s="67" t="b">
        <f>FALSE</f>
        <v>0</v>
      </c>
      <c r="F57" s="67" t="b">
        <f>(F29+F33)=0</f>
        <v>0</v>
      </c>
      <c r="G57" s="67" t="b">
        <f t="shared" ref="G57:W57" si="54">(G29+G33)=0</f>
        <v>0</v>
      </c>
      <c r="H57" s="67" t="b">
        <f t="shared" si="54"/>
        <v>0</v>
      </c>
      <c r="I57" s="67" t="b">
        <f t="shared" si="54"/>
        <v>0</v>
      </c>
      <c r="J57" s="67" t="b">
        <f t="shared" si="54"/>
        <v>1</v>
      </c>
      <c r="K57" s="67" t="b">
        <f t="shared" si="54"/>
        <v>0</v>
      </c>
      <c r="L57" s="67" t="b">
        <f t="shared" si="54"/>
        <v>0</v>
      </c>
      <c r="M57" s="111" t="b">
        <f t="shared" si="54"/>
        <v>0</v>
      </c>
      <c r="N57" s="111" t="b">
        <f t="shared" si="54"/>
        <v>0</v>
      </c>
      <c r="O57" s="111" t="b">
        <f t="shared" si="54"/>
        <v>0</v>
      </c>
      <c r="P57" s="111" t="b">
        <f t="shared" si="54"/>
        <v>0</v>
      </c>
      <c r="Q57" s="111" t="b">
        <f t="shared" si="54"/>
        <v>0</v>
      </c>
      <c r="R57" s="111" t="b">
        <f t="shared" si="54"/>
        <v>0</v>
      </c>
      <c r="S57" s="111" t="b">
        <f t="shared" si="54"/>
        <v>0</v>
      </c>
      <c r="T57" s="111" t="b">
        <f t="shared" si="54"/>
        <v>0</v>
      </c>
      <c r="U57" s="111" t="b">
        <f t="shared" si="54"/>
        <v>0</v>
      </c>
      <c r="V57" s="111" t="b">
        <f t="shared" si="54"/>
        <v>1</v>
      </c>
      <c r="W57" s="111" t="b">
        <f t="shared" si="54"/>
        <v>1</v>
      </c>
      <c r="Y57" s="61"/>
      <c r="Z57" s="61"/>
      <c r="AA57" s="61"/>
    </row>
    <row r="58" spans="2:27" s="59" customFormat="1" x14ac:dyDescent="0.2">
      <c r="B58" s="59" t="s">
        <v>36</v>
      </c>
      <c r="C58" s="59" t="s">
        <v>36</v>
      </c>
      <c r="E58" s="67" t="b">
        <f>FALSE</f>
        <v>0</v>
      </c>
      <c r="F58" s="67" t="b">
        <f>FALSE</f>
        <v>0</v>
      </c>
      <c r="G58" s="67" t="b">
        <f>FALSE</f>
        <v>0</v>
      </c>
      <c r="H58" s="67" t="b">
        <f>FALSE</f>
        <v>0</v>
      </c>
      <c r="I58" s="67" t="b">
        <f>FALSE</f>
        <v>0</v>
      </c>
      <c r="J58" s="67" t="b">
        <f>FALSE</f>
        <v>0</v>
      </c>
      <c r="K58" s="67" t="b">
        <f>FALSE</f>
        <v>0</v>
      </c>
      <c r="L58" s="67" t="b">
        <f>FALSE</f>
        <v>0</v>
      </c>
      <c r="M58" s="111" t="b">
        <f>FALSE</f>
        <v>0</v>
      </c>
      <c r="N58" s="111" t="b">
        <f>FALSE</f>
        <v>0</v>
      </c>
      <c r="O58" s="111" t="b">
        <f>FALSE</f>
        <v>0</v>
      </c>
      <c r="P58" s="111" t="b">
        <f>FALSE</f>
        <v>0</v>
      </c>
      <c r="Q58" s="111" t="b">
        <f>FALSE</f>
        <v>0</v>
      </c>
      <c r="R58" s="111" t="b">
        <f>FALSE</f>
        <v>0</v>
      </c>
      <c r="S58" s="111" t="b">
        <f>FALSE</f>
        <v>0</v>
      </c>
      <c r="T58" s="111" t="b">
        <f>FALSE</f>
        <v>0</v>
      </c>
      <c r="U58" s="111" t="b">
        <f>FALSE</f>
        <v>0</v>
      </c>
      <c r="V58" s="111" t="b">
        <f>FALSE</f>
        <v>0</v>
      </c>
      <c r="W58" s="111" t="b">
        <f>FALSE</f>
        <v>0</v>
      </c>
      <c r="Y58" s="61"/>
      <c r="Z58" s="61"/>
      <c r="AA58" s="61"/>
    </row>
    <row r="59" spans="2:27" s="59" customFormat="1" x14ac:dyDescent="0.2">
      <c r="B59" s="65"/>
      <c r="E59" s="68"/>
      <c r="Y59" s="61"/>
      <c r="Z59" s="61"/>
      <c r="AA59" s="61"/>
    </row>
    <row r="60" spans="2:27" s="59" customFormat="1" ht="38.25" x14ac:dyDescent="0.2">
      <c r="B60" s="66" t="s">
        <v>102</v>
      </c>
      <c r="C60" s="62" t="s">
        <v>0</v>
      </c>
      <c r="E60" s="68" t="str">
        <f>""</f>
        <v/>
      </c>
      <c r="F60" s="59">
        <f>IF(F29=1,MAX(F6,E21),"")</f>
        <v>-25</v>
      </c>
      <c r="G60" s="59">
        <f t="shared" ref="G60:W60" si="55">IF(G29=1,G6,"")</f>
        <v>-25</v>
      </c>
      <c r="H60" s="59">
        <f t="shared" si="55"/>
        <v>-25</v>
      </c>
      <c r="I60" s="59">
        <f t="shared" si="55"/>
        <v>20</v>
      </c>
      <c r="J60" s="59" t="str">
        <f t="shared" si="55"/>
        <v/>
      </c>
      <c r="K60" s="59">
        <f t="shared" si="55"/>
        <v>4.277020603210544</v>
      </c>
      <c r="L60" s="59">
        <f t="shared" si="55"/>
        <v>8</v>
      </c>
      <c r="M60" s="59">
        <f t="shared" si="55"/>
        <v>8</v>
      </c>
      <c r="N60" s="59">
        <f t="shared" si="55"/>
        <v>20</v>
      </c>
      <c r="O60" s="59">
        <f t="shared" si="55"/>
        <v>35</v>
      </c>
      <c r="P60" s="59">
        <f t="shared" si="55"/>
        <v>16</v>
      </c>
      <c r="Q60" s="59">
        <f t="shared" si="55"/>
        <v>16</v>
      </c>
      <c r="R60" s="59">
        <f>IF(R29=1,R6,"")</f>
        <v>20</v>
      </c>
      <c r="S60" s="59">
        <f>IF(S29=1,S6,"")</f>
        <v>20</v>
      </c>
      <c r="T60" s="59">
        <f t="shared" si="55"/>
        <v>20</v>
      </c>
      <c r="U60" s="59">
        <f>IF(U29=1,U6,"")</f>
        <v>20</v>
      </c>
      <c r="V60" s="59" t="str">
        <f>IF(V29=1,V6,"")</f>
        <v/>
      </c>
      <c r="W60" s="59" t="str">
        <f t="shared" si="55"/>
        <v/>
      </c>
      <c r="Y60" s="61"/>
      <c r="Z60" s="61"/>
      <c r="AA60" s="61"/>
    </row>
    <row r="61" spans="2:27" s="59" customFormat="1" x14ac:dyDescent="0.2">
      <c r="C61" s="63" t="s">
        <v>1</v>
      </c>
      <c r="E61" s="68" t="str">
        <f>""</f>
        <v/>
      </c>
      <c r="F61" s="59">
        <f>IF(F30=1,F7/100,"")</f>
        <v>0.2</v>
      </c>
      <c r="G61" s="59">
        <f t="shared" ref="G61:W61" si="56">IF(G30=1,G7/100,"")</f>
        <v>0.2</v>
      </c>
      <c r="H61" s="59">
        <f t="shared" si="56"/>
        <v>0.2</v>
      </c>
      <c r="I61" s="59">
        <f t="shared" si="56"/>
        <v>0.6</v>
      </c>
      <c r="J61" s="59" t="str">
        <f t="shared" si="56"/>
        <v/>
      </c>
      <c r="K61" s="59">
        <f t="shared" si="56"/>
        <v>0.01</v>
      </c>
      <c r="L61" s="59" t="str">
        <f t="shared" si="56"/>
        <v/>
      </c>
      <c r="M61" s="59">
        <f t="shared" si="56"/>
        <v>7.7246107631210339E-5</v>
      </c>
      <c r="N61" s="59" t="str">
        <f t="shared" si="56"/>
        <v/>
      </c>
      <c r="O61" s="59">
        <f t="shared" si="56"/>
        <v>0.4</v>
      </c>
      <c r="P61" s="59" t="str">
        <f t="shared" si="56"/>
        <v/>
      </c>
      <c r="Q61" s="59">
        <f t="shared" si="56"/>
        <v>7.5771330367416147E-3</v>
      </c>
      <c r="R61" s="59" t="str">
        <f>IF(R30=1,R7/100,"")</f>
        <v/>
      </c>
      <c r="S61" s="59">
        <f>IF(S30=1,S7/100,"")</f>
        <v>5.889954581965501E-5</v>
      </c>
      <c r="T61" s="59">
        <f t="shared" si="56"/>
        <v>5.8899545819655011E-7</v>
      </c>
      <c r="U61" s="59">
        <f>IF(U30=1,U7/100,"")</f>
        <v>5.889954581965502E-9</v>
      </c>
      <c r="V61" s="59" t="str">
        <f>IF(V30=1,V7/100,"")</f>
        <v/>
      </c>
      <c r="W61" s="59" t="str">
        <f t="shared" si="56"/>
        <v/>
      </c>
      <c r="Y61" s="61"/>
      <c r="Z61" s="61"/>
      <c r="AA61" s="61"/>
    </row>
    <row r="62" spans="2:27" s="59" customFormat="1" x14ac:dyDescent="0.2">
      <c r="C62" s="62" t="s">
        <v>2</v>
      </c>
      <c r="E62" s="68" t="str">
        <f>""</f>
        <v/>
      </c>
      <c r="F62" s="59" t="str">
        <f>IF(F31=1,F8,"")</f>
        <v/>
      </c>
      <c r="G62" s="59" t="str">
        <f t="shared" ref="G62:W62" si="57">IF(G31=1,G8,"")</f>
        <v/>
      </c>
      <c r="H62" s="59" t="str">
        <f t="shared" si="57"/>
        <v/>
      </c>
      <c r="I62" s="59" t="str">
        <f t="shared" si="57"/>
        <v/>
      </c>
      <c r="J62" s="59" t="str">
        <f t="shared" si="57"/>
        <v/>
      </c>
      <c r="K62" s="59" t="str">
        <f t="shared" si="57"/>
        <v/>
      </c>
      <c r="L62" s="59" t="str">
        <f t="shared" si="57"/>
        <v/>
      </c>
      <c r="M62" s="59" t="str">
        <f t="shared" si="57"/>
        <v/>
      </c>
      <c r="N62" s="59" t="str">
        <f t="shared" si="57"/>
        <v/>
      </c>
      <c r="O62" s="59" t="str">
        <f t="shared" si="57"/>
        <v/>
      </c>
      <c r="P62" s="59" t="str">
        <f t="shared" si="57"/>
        <v/>
      </c>
      <c r="Q62" s="59" t="str">
        <f t="shared" si="57"/>
        <v/>
      </c>
      <c r="R62" s="59" t="str">
        <f>IF(R31=1,R8,"")</f>
        <v/>
      </c>
      <c r="S62" s="59" t="str">
        <f>IF(S31=1,S8,"")</f>
        <v/>
      </c>
      <c r="T62" s="59" t="str">
        <f t="shared" si="57"/>
        <v/>
      </c>
      <c r="U62" s="59" t="str">
        <f>IF(U31=1,U8,"")</f>
        <v/>
      </c>
      <c r="V62" s="59" t="str">
        <f>IF(V31=1,V8,"")</f>
        <v/>
      </c>
      <c r="W62" s="59" t="str">
        <f t="shared" si="57"/>
        <v/>
      </c>
      <c r="Y62" s="61"/>
      <c r="Z62" s="61"/>
      <c r="AA62" s="61"/>
    </row>
    <row r="63" spans="2:27" s="59" customFormat="1" x14ac:dyDescent="0.2">
      <c r="C63" s="62" t="s">
        <v>3</v>
      </c>
      <c r="E63" s="68" t="str">
        <f>""</f>
        <v/>
      </c>
      <c r="F63" s="70">
        <f>E19</f>
        <v>-25.045776376404888</v>
      </c>
      <c r="G63" s="70">
        <f t="shared" ref="G63:W63" si="58">F19</f>
        <v>-25.045776376404888</v>
      </c>
      <c r="H63" s="70">
        <f t="shared" si="58"/>
        <v>-25.045776376404888</v>
      </c>
      <c r="I63" s="70">
        <f t="shared" si="58"/>
        <v>-25.045776376404888</v>
      </c>
      <c r="J63" s="70">
        <f t="shared" si="58"/>
        <v>43.997460900850115</v>
      </c>
      <c r="K63" s="70">
        <f t="shared" si="58"/>
        <v>18.108354095243776</v>
      </c>
      <c r="L63" s="70">
        <f t="shared" si="58"/>
        <v>4.4564811634674903</v>
      </c>
      <c r="M63" s="70">
        <f t="shared" si="58"/>
        <v>8.2170676209735181</v>
      </c>
      <c r="N63" s="70">
        <f t="shared" si="58"/>
        <v>8.0813705574012751</v>
      </c>
      <c r="O63" s="70">
        <f t="shared" si="58"/>
        <v>20.201382716503137</v>
      </c>
      <c r="P63" s="70">
        <f t="shared" si="58"/>
        <v>74.290856107090491</v>
      </c>
      <c r="Q63" s="70">
        <f t="shared" si="58"/>
        <v>39.446082331350226</v>
      </c>
      <c r="R63" s="70">
        <f t="shared" si="58"/>
        <v>16.389500856670242</v>
      </c>
      <c r="S63" s="70">
        <f t="shared" si="58"/>
        <v>20.430175549795479</v>
      </c>
      <c r="T63" s="70" t="e">
        <f>#REF!</f>
        <v>#REF!</v>
      </c>
      <c r="U63" s="70">
        <f t="shared" si="58"/>
        <v>20.200023014201033</v>
      </c>
      <c r="V63" s="70">
        <f t="shared" si="58"/>
        <v>20.200000230142006</v>
      </c>
      <c r="W63" s="70" t="str">
        <f t="shared" si="58"/>
        <v/>
      </c>
      <c r="Y63" s="61"/>
      <c r="Z63" s="61"/>
      <c r="AA63" s="61"/>
    </row>
    <row r="64" spans="2:27" s="59" customFormat="1" x14ac:dyDescent="0.2">
      <c r="B64" s="59" t="s">
        <v>105</v>
      </c>
      <c r="C64" s="59" t="s">
        <v>36</v>
      </c>
      <c r="E64" s="67" t="b">
        <f>TRUE</f>
        <v>1</v>
      </c>
      <c r="F64" s="67" t="b">
        <f>OR(F33=1,F32=1,(F29+F30+F31)&gt;=2)</f>
        <v>1</v>
      </c>
      <c r="G64" s="67" t="b">
        <f t="shared" ref="G64:W64" si="59">OR(G33=1,G32=1,(G29+G30+G31)&gt;=2)</f>
        <v>1</v>
      </c>
      <c r="H64" s="67" t="b">
        <f t="shared" si="59"/>
        <v>1</v>
      </c>
      <c r="I64" s="67" t="b">
        <f t="shared" si="59"/>
        <v>1</v>
      </c>
      <c r="J64" s="67" t="b">
        <f t="shared" si="59"/>
        <v>0</v>
      </c>
      <c r="K64" s="67" t="b">
        <f t="shared" si="59"/>
        <v>1</v>
      </c>
      <c r="L64" s="67" t="b">
        <f t="shared" si="59"/>
        <v>0</v>
      </c>
      <c r="M64" s="111" t="b">
        <f t="shared" si="59"/>
        <v>1</v>
      </c>
      <c r="N64" s="111" t="b">
        <f t="shared" si="59"/>
        <v>0</v>
      </c>
      <c r="O64" s="111" t="b">
        <f t="shared" si="59"/>
        <v>1</v>
      </c>
      <c r="P64" s="111" t="b">
        <f t="shared" si="59"/>
        <v>0</v>
      </c>
      <c r="Q64" s="111" t="b">
        <f t="shared" si="59"/>
        <v>1</v>
      </c>
      <c r="R64" s="111" t="b">
        <f t="shared" si="59"/>
        <v>0</v>
      </c>
      <c r="S64" s="111" t="b">
        <f t="shared" si="59"/>
        <v>1</v>
      </c>
      <c r="T64" s="111" t="b">
        <f t="shared" si="59"/>
        <v>1</v>
      </c>
      <c r="U64" s="111" t="b">
        <f t="shared" si="59"/>
        <v>1</v>
      </c>
      <c r="V64" s="111" t="b">
        <f t="shared" si="59"/>
        <v>0</v>
      </c>
      <c r="W64" s="111" t="b">
        <f t="shared" si="59"/>
        <v>0</v>
      </c>
      <c r="Y64" s="61"/>
      <c r="Z64" s="61"/>
      <c r="AA64" s="61"/>
    </row>
    <row r="65" spans="2:27" s="59" customFormat="1" x14ac:dyDescent="0.2">
      <c r="B65" s="59" t="s">
        <v>47</v>
      </c>
      <c r="C65" s="59" t="s">
        <v>36</v>
      </c>
      <c r="E65" s="67" t="b">
        <f>FALSE</f>
        <v>0</v>
      </c>
      <c r="F65" s="67" t="b">
        <f>F30+F31+F29=0</f>
        <v>0</v>
      </c>
      <c r="G65" s="67" t="b">
        <f t="shared" ref="G65:W65" si="60">G30+G31+G29=0</f>
        <v>0</v>
      </c>
      <c r="H65" s="67" t="b">
        <f t="shared" si="60"/>
        <v>0</v>
      </c>
      <c r="I65" s="67" t="b">
        <f t="shared" si="60"/>
        <v>0</v>
      </c>
      <c r="J65" s="67" t="b">
        <f t="shared" si="60"/>
        <v>1</v>
      </c>
      <c r="K65" s="67" t="b">
        <f t="shared" si="60"/>
        <v>0</v>
      </c>
      <c r="L65" s="67" t="b">
        <f t="shared" si="60"/>
        <v>0</v>
      </c>
      <c r="M65" s="111" t="b">
        <f t="shared" si="60"/>
        <v>0</v>
      </c>
      <c r="N65" s="111" t="b">
        <f t="shared" si="60"/>
        <v>0</v>
      </c>
      <c r="O65" s="111" t="b">
        <f t="shared" si="60"/>
        <v>0</v>
      </c>
      <c r="P65" s="111" t="b">
        <f t="shared" si="60"/>
        <v>0</v>
      </c>
      <c r="Q65" s="111" t="b">
        <f t="shared" si="60"/>
        <v>0</v>
      </c>
      <c r="R65" s="111" t="b">
        <f t="shared" si="60"/>
        <v>0</v>
      </c>
      <c r="S65" s="111" t="b">
        <f t="shared" si="60"/>
        <v>0</v>
      </c>
      <c r="T65" s="111" t="b">
        <f t="shared" si="60"/>
        <v>0</v>
      </c>
      <c r="U65" s="111" t="b">
        <f t="shared" si="60"/>
        <v>0</v>
      </c>
      <c r="V65" s="111" t="b">
        <f t="shared" si="60"/>
        <v>1</v>
      </c>
      <c r="W65" s="111" t="b">
        <f t="shared" si="60"/>
        <v>1</v>
      </c>
      <c r="Y65" s="61"/>
      <c r="Z65" s="61"/>
      <c r="AA65" s="61"/>
    </row>
    <row r="66" spans="2:27" s="59" customFormat="1" x14ac:dyDescent="0.2">
      <c r="B66" s="59" t="s">
        <v>36</v>
      </c>
      <c r="C66" s="59" t="s">
        <v>36</v>
      </c>
      <c r="E66" s="67" t="b">
        <f>FALSE</f>
        <v>0</v>
      </c>
      <c r="F66" s="67" t="b">
        <f>FALSE</f>
        <v>0</v>
      </c>
      <c r="G66" s="67" t="b">
        <f>FALSE</f>
        <v>0</v>
      </c>
      <c r="H66" s="67" t="b">
        <f>FALSE</f>
        <v>0</v>
      </c>
      <c r="I66" s="67" t="b">
        <f>FALSE</f>
        <v>0</v>
      </c>
      <c r="J66" s="67" t="b">
        <f>FALSE</f>
        <v>0</v>
      </c>
      <c r="K66" s="67" t="b">
        <f>FALSE</f>
        <v>0</v>
      </c>
      <c r="L66" s="67" t="b">
        <f>FALSE</f>
        <v>0</v>
      </c>
      <c r="M66" s="111" t="b">
        <f>FALSE</f>
        <v>0</v>
      </c>
      <c r="N66" s="111" t="b">
        <f>FALSE</f>
        <v>0</v>
      </c>
      <c r="O66" s="111" t="b">
        <f>FALSE</f>
        <v>0</v>
      </c>
      <c r="P66" s="111" t="b">
        <f>FALSE</f>
        <v>0</v>
      </c>
      <c r="Q66" s="111" t="b">
        <f>FALSE</f>
        <v>0</v>
      </c>
      <c r="R66" s="111" t="b">
        <f>FALSE</f>
        <v>0</v>
      </c>
      <c r="S66" s="111" t="b">
        <f>FALSE</f>
        <v>0</v>
      </c>
      <c r="T66" s="111" t="b">
        <f>FALSE</f>
        <v>0</v>
      </c>
      <c r="U66" s="111" t="b">
        <f>FALSE</f>
        <v>0</v>
      </c>
      <c r="V66" s="111" t="b">
        <f>FALSE</f>
        <v>0</v>
      </c>
      <c r="W66" s="111" t="b">
        <f>FALSE</f>
        <v>0</v>
      </c>
      <c r="Y66" s="61"/>
      <c r="Z66" s="61"/>
      <c r="AA66" s="61"/>
    </row>
    <row r="67" spans="2:27" s="59" customFormat="1" x14ac:dyDescent="0.2">
      <c r="B67" s="65"/>
      <c r="E67" s="68"/>
      <c r="Y67" s="61"/>
      <c r="Z67" s="61"/>
      <c r="AA67" s="61"/>
    </row>
    <row r="68" spans="2:27" s="59" customFormat="1" ht="25.5" x14ac:dyDescent="0.2">
      <c r="B68" s="66" t="s">
        <v>98</v>
      </c>
      <c r="C68" s="62" t="s">
        <v>0</v>
      </c>
      <c r="E68" s="68" t="str">
        <f>""</f>
        <v/>
      </c>
      <c r="F68" s="70">
        <f>E16</f>
        <v>-25</v>
      </c>
      <c r="G68" s="70">
        <f t="shared" ref="G68:W68" si="61">F16</f>
        <v>-25</v>
      </c>
      <c r="H68" s="70">
        <f t="shared" si="61"/>
        <v>-25</v>
      </c>
      <c r="I68" s="70">
        <f t="shared" si="61"/>
        <v>-25</v>
      </c>
      <c r="J68" s="70">
        <f t="shared" si="61"/>
        <v>20</v>
      </c>
      <c r="K68" s="70">
        <f t="shared" si="61"/>
        <v>4.277020603210544</v>
      </c>
      <c r="L68" s="70">
        <f t="shared" si="61"/>
        <v>4.277020603210544</v>
      </c>
      <c r="M68" s="70">
        <f t="shared" si="61"/>
        <v>8</v>
      </c>
      <c r="N68" s="70">
        <f t="shared" si="61"/>
        <v>8</v>
      </c>
      <c r="O68" s="70">
        <f t="shared" si="61"/>
        <v>20</v>
      </c>
      <c r="P68" s="70">
        <f t="shared" si="61"/>
        <v>35</v>
      </c>
      <c r="Q68" s="70">
        <f t="shared" si="61"/>
        <v>16</v>
      </c>
      <c r="R68" s="70">
        <f t="shared" si="61"/>
        <v>16</v>
      </c>
      <c r="S68" s="70">
        <f t="shared" si="61"/>
        <v>20</v>
      </c>
      <c r="T68" s="70" t="e">
        <f>#REF!</f>
        <v>#REF!</v>
      </c>
      <c r="U68" s="70">
        <f t="shared" si="61"/>
        <v>20</v>
      </c>
      <c r="V68" s="70">
        <f t="shared" si="61"/>
        <v>20</v>
      </c>
      <c r="W68" s="70" t="str">
        <f t="shared" si="61"/>
        <v/>
      </c>
      <c r="Y68" s="61"/>
      <c r="Z68" s="61"/>
      <c r="AA68" s="61"/>
    </row>
    <row r="69" spans="2:27" s="59" customFormat="1" x14ac:dyDescent="0.2">
      <c r="C69" s="63" t="s">
        <v>1</v>
      </c>
      <c r="E69" s="68" t="str">
        <f>""</f>
        <v/>
      </c>
      <c r="F69" s="59">
        <f>IF(F30=1,F7/100,"")</f>
        <v>0.2</v>
      </c>
      <c r="G69" s="59">
        <f t="shared" ref="G69:W69" si="62">IF(G30=1,G7/100,"")</f>
        <v>0.2</v>
      </c>
      <c r="H69" s="59">
        <f t="shared" si="62"/>
        <v>0.2</v>
      </c>
      <c r="I69" s="59">
        <f t="shared" si="62"/>
        <v>0.6</v>
      </c>
      <c r="J69" s="59" t="str">
        <f t="shared" si="62"/>
        <v/>
      </c>
      <c r="K69" s="59">
        <f t="shared" si="62"/>
        <v>0.01</v>
      </c>
      <c r="L69" s="59" t="str">
        <f t="shared" si="62"/>
        <v/>
      </c>
      <c r="M69" s="59">
        <f t="shared" si="62"/>
        <v>7.7246107631210339E-5</v>
      </c>
      <c r="N69" s="59" t="str">
        <f t="shared" si="62"/>
        <v/>
      </c>
      <c r="O69" s="59">
        <f t="shared" si="62"/>
        <v>0.4</v>
      </c>
      <c r="P69" s="59" t="str">
        <f t="shared" si="62"/>
        <v/>
      </c>
      <c r="Q69" s="59">
        <f t="shared" si="62"/>
        <v>7.5771330367416147E-3</v>
      </c>
      <c r="R69" s="59" t="str">
        <f>IF(R30=1,R7/100,"")</f>
        <v/>
      </c>
      <c r="S69" s="59">
        <f>IF(S30=1,S7/100,"")</f>
        <v>5.889954581965501E-5</v>
      </c>
      <c r="T69" s="59">
        <f t="shared" si="62"/>
        <v>5.8899545819655011E-7</v>
      </c>
      <c r="U69" s="59">
        <f>IF(U30=1,U7/100,"")</f>
        <v>5.889954581965502E-9</v>
      </c>
      <c r="V69" s="59" t="str">
        <f>IF(V30=1,V7/100,"")</f>
        <v/>
      </c>
      <c r="W69" s="59" t="str">
        <f t="shared" si="62"/>
        <v/>
      </c>
      <c r="Y69" s="61"/>
      <c r="Z69" s="61"/>
      <c r="AA69" s="61"/>
    </row>
    <row r="70" spans="2:27" s="59" customFormat="1" x14ac:dyDescent="0.2">
      <c r="C70" s="62" t="s">
        <v>2</v>
      </c>
      <c r="E70" s="68" t="str">
        <f>""</f>
        <v/>
      </c>
      <c r="F70" s="59" t="str">
        <f>IF(F31=1,F8,"")</f>
        <v/>
      </c>
      <c r="G70" s="59" t="str">
        <f t="shared" ref="G70:W70" si="63">IF(G31=1,G8,"")</f>
        <v/>
      </c>
      <c r="H70" s="59" t="str">
        <f t="shared" si="63"/>
        <v/>
      </c>
      <c r="I70" s="59" t="str">
        <f t="shared" si="63"/>
        <v/>
      </c>
      <c r="J70" s="59" t="str">
        <f t="shared" si="63"/>
        <v/>
      </c>
      <c r="K70" s="59" t="str">
        <f t="shared" si="63"/>
        <v/>
      </c>
      <c r="L70" s="59" t="str">
        <f t="shared" si="63"/>
        <v/>
      </c>
      <c r="M70" s="59" t="str">
        <f t="shared" si="63"/>
        <v/>
      </c>
      <c r="N70" s="59" t="str">
        <f t="shared" si="63"/>
        <v/>
      </c>
      <c r="O70" s="59" t="str">
        <f t="shared" si="63"/>
        <v/>
      </c>
      <c r="P70" s="59" t="str">
        <f t="shared" si="63"/>
        <v/>
      </c>
      <c r="Q70" s="59" t="str">
        <f t="shared" si="63"/>
        <v/>
      </c>
      <c r="R70" s="59" t="str">
        <f>IF(R31=1,R8,"")</f>
        <v/>
      </c>
      <c r="S70" s="59" t="str">
        <f>IF(S31=1,S8,"")</f>
        <v/>
      </c>
      <c r="T70" s="59" t="str">
        <f t="shared" si="63"/>
        <v/>
      </c>
      <c r="U70" s="59" t="str">
        <f>IF(U31=1,U8,"")</f>
        <v/>
      </c>
      <c r="V70" s="59" t="str">
        <f>IF(V31=1,V8,"")</f>
        <v/>
      </c>
      <c r="W70" s="59" t="str">
        <f t="shared" si="63"/>
        <v/>
      </c>
      <c r="Y70" s="61"/>
      <c r="Z70" s="61"/>
      <c r="AA70" s="61"/>
    </row>
    <row r="71" spans="2:27" s="59" customFormat="1" x14ac:dyDescent="0.2">
      <c r="C71" s="62" t="s">
        <v>3</v>
      </c>
      <c r="E71" s="68" t="str">
        <f>""</f>
        <v/>
      </c>
      <c r="F71" s="59" t="str">
        <f>""</f>
        <v/>
      </c>
      <c r="G71" s="59" t="str">
        <f>""</f>
        <v/>
      </c>
      <c r="H71" s="59" t="str">
        <f>""</f>
        <v/>
      </c>
      <c r="I71" s="59" t="str">
        <f>""</f>
        <v/>
      </c>
      <c r="J71" s="59" t="str">
        <f>""</f>
        <v/>
      </c>
      <c r="K71" s="59" t="str">
        <f>""</f>
        <v/>
      </c>
      <c r="L71" s="59" t="str">
        <f>""</f>
        <v/>
      </c>
      <c r="M71" s="59" t="str">
        <f>""</f>
        <v/>
      </c>
      <c r="N71" s="59" t="str">
        <f>""</f>
        <v/>
      </c>
      <c r="O71" s="59" t="str">
        <f>""</f>
        <v/>
      </c>
      <c r="P71" s="59" t="str">
        <f>""</f>
        <v/>
      </c>
      <c r="Q71" s="59" t="str">
        <f>""</f>
        <v/>
      </c>
      <c r="R71" s="59" t="str">
        <f>""</f>
        <v/>
      </c>
      <c r="S71" s="59" t="str">
        <f>""</f>
        <v/>
      </c>
      <c r="T71" s="59" t="str">
        <f>""</f>
        <v/>
      </c>
      <c r="U71" s="59" t="str">
        <f>""</f>
        <v/>
      </c>
      <c r="V71" s="59" t="str">
        <f>""</f>
        <v/>
      </c>
      <c r="W71" s="59" t="str">
        <f>""</f>
        <v/>
      </c>
      <c r="Y71" s="61"/>
      <c r="Z71" s="61"/>
      <c r="AA71" s="61"/>
    </row>
    <row r="72" spans="2:27" s="59" customFormat="1" x14ac:dyDescent="0.2">
      <c r="B72" s="59" t="s">
        <v>105</v>
      </c>
      <c r="C72" s="59" t="s">
        <v>36</v>
      </c>
      <c r="E72" s="67" t="b">
        <f>TRUE</f>
        <v>1</v>
      </c>
      <c r="F72" s="67" t="b">
        <f>OR(F29=1,(F30+F31)=2,F32=1,F33=1)</f>
        <v>1</v>
      </c>
      <c r="G72" s="67" t="b">
        <f t="shared" ref="G72:W72" si="64">OR(G29=1,(G30+G31)=2,G32=1,G33=1)</f>
        <v>1</v>
      </c>
      <c r="H72" s="67" t="b">
        <f t="shared" si="64"/>
        <v>1</v>
      </c>
      <c r="I72" s="67" t="b">
        <f t="shared" si="64"/>
        <v>1</v>
      </c>
      <c r="J72" s="67" t="b">
        <f t="shared" si="64"/>
        <v>0</v>
      </c>
      <c r="K72" s="67" t="b">
        <f t="shared" si="64"/>
        <v>1</v>
      </c>
      <c r="L72" s="67" t="b">
        <f t="shared" si="64"/>
        <v>1</v>
      </c>
      <c r="M72" s="111" t="b">
        <f t="shared" si="64"/>
        <v>1</v>
      </c>
      <c r="N72" s="111" t="b">
        <f t="shared" si="64"/>
        <v>1</v>
      </c>
      <c r="O72" s="111" t="b">
        <f t="shared" si="64"/>
        <v>1</v>
      </c>
      <c r="P72" s="111" t="b">
        <f t="shared" si="64"/>
        <v>1</v>
      </c>
      <c r="Q72" s="111" t="b">
        <f t="shared" si="64"/>
        <v>1</v>
      </c>
      <c r="R72" s="111" t="b">
        <f t="shared" si="64"/>
        <v>1</v>
      </c>
      <c r="S72" s="111" t="b">
        <f t="shared" si="64"/>
        <v>1</v>
      </c>
      <c r="T72" s="111" t="b">
        <f t="shared" si="64"/>
        <v>1</v>
      </c>
      <c r="U72" s="111" t="b">
        <f t="shared" si="64"/>
        <v>1</v>
      </c>
      <c r="V72" s="111" t="b">
        <f t="shared" si="64"/>
        <v>0</v>
      </c>
      <c r="W72" s="111" t="b">
        <f t="shared" si="64"/>
        <v>0</v>
      </c>
      <c r="Y72" s="61"/>
      <c r="Z72" s="61"/>
      <c r="AA72" s="61"/>
    </row>
    <row r="73" spans="2:27" s="59" customFormat="1" x14ac:dyDescent="0.2">
      <c r="B73" s="59" t="s">
        <v>47</v>
      </c>
      <c r="C73" s="59" t="s">
        <v>36</v>
      </c>
      <c r="E73" s="67" t="b">
        <f>FALSE</f>
        <v>0</v>
      </c>
      <c r="F73" s="67" t="b">
        <f>(F30+F31)=0</f>
        <v>0</v>
      </c>
      <c r="G73" s="67" t="b">
        <f t="shared" ref="G73:W73" si="65">(G30+G31)=0</f>
        <v>0</v>
      </c>
      <c r="H73" s="67" t="b">
        <f t="shared" si="65"/>
        <v>0</v>
      </c>
      <c r="I73" s="67" t="b">
        <f t="shared" si="65"/>
        <v>0</v>
      </c>
      <c r="J73" s="67" t="b">
        <f t="shared" si="65"/>
        <v>1</v>
      </c>
      <c r="K73" s="67" t="b">
        <f t="shared" si="65"/>
        <v>0</v>
      </c>
      <c r="L73" s="67" t="b">
        <f t="shared" si="65"/>
        <v>1</v>
      </c>
      <c r="M73" s="111" t="b">
        <f t="shared" si="65"/>
        <v>0</v>
      </c>
      <c r="N73" s="111" t="b">
        <f t="shared" si="65"/>
        <v>1</v>
      </c>
      <c r="O73" s="111" t="b">
        <f t="shared" si="65"/>
        <v>0</v>
      </c>
      <c r="P73" s="111" t="b">
        <f t="shared" si="65"/>
        <v>1</v>
      </c>
      <c r="Q73" s="111" t="b">
        <f t="shared" si="65"/>
        <v>0</v>
      </c>
      <c r="R73" s="111" t="b">
        <f t="shared" si="65"/>
        <v>1</v>
      </c>
      <c r="S73" s="111" t="b">
        <f t="shared" si="65"/>
        <v>0</v>
      </c>
      <c r="T73" s="111" t="b">
        <f t="shared" si="65"/>
        <v>0</v>
      </c>
      <c r="U73" s="111" t="b">
        <f t="shared" si="65"/>
        <v>0</v>
      </c>
      <c r="V73" s="111" t="b">
        <f t="shared" si="65"/>
        <v>1</v>
      </c>
      <c r="W73" s="111" t="b">
        <f t="shared" si="65"/>
        <v>1</v>
      </c>
      <c r="Y73" s="61"/>
      <c r="Z73" s="61"/>
      <c r="AA73" s="61"/>
    </row>
    <row r="74" spans="2:27" s="59" customFormat="1" x14ac:dyDescent="0.2">
      <c r="B74" s="59" t="s">
        <v>36</v>
      </c>
      <c r="C74" s="59" t="s">
        <v>36</v>
      </c>
      <c r="E74" s="67" t="b">
        <f>FALSE</f>
        <v>0</v>
      </c>
      <c r="F74" s="67" t="b">
        <f>FALSE</f>
        <v>0</v>
      </c>
      <c r="G74" s="67" t="b">
        <f>FALSE</f>
        <v>0</v>
      </c>
      <c r="H74" s="67" t="b">
        <f>FALSE</f>
        <v>0</v>
      </c>
      <c r="I74" s="67" t="b">
        <f>FALSE</f>
        <v>0</v>
      </c>
      <c r="J74" s="67" t="b">
        <f>FALSE</f>
        <v>0</v>
      </c>
      <c r="K74" s="67" t="b">
        <f>FALSE</f>
        <v>0</v>
      </c>
      <c r="L74" s="67" t="b">
        <f>FALSE</f>
        <v>0</v>
      </c>
      <c r="M74" s="111" t="b">
        <f>FALSE</f>
        <v>0</v>
      </c>
      <c r="N74" s="111" t="b">
        <f>FALSE</f>
        <v>0</v>
      </c>
      <c r="O74" s="111" t="b">
        <f>FALSE</f>
        <v>0</v>
      </c>
      <c r="P74" s="111" t="b">
        <f>FALSE</f>
        <v>0</v>
      </c>
      <c r="Q74" s="111" t="b">
        <f>FALSE</f>
        <v>0</v>
      </c>
      <c r="R74" s="111" t="b">
        <f>FALSE</f>
        <v>0</v>
      </c>
      <c r="S74" s="111" t="b">
        <f>FALSE</f>
        <v>0</v>
      </c>
      <c r="T74" s="111" t="b">
        <f>FALSE</f>
        <v>0</v>
      </c>
      <c r="U74" s="111" t="b">
        <f>FALSE</f>
        <v>0</v>
      </c>
      <c r="V74" s="111" t="b">
        <f>FALSE</f>
        <v>0</v>
      </c>
      <c r="W74" s="111" t="b">
        <f>FALSE</f>
        <v>0</v>
      </c>
      <c r="Y74" s="61"/>
      <c r="Z74" s="61"/>
      <c r="AA74" s="61"/>
    </row>
    <row r="75" spans="2:27" s="59" customFormat="1" x14ac:dyDescent="0.2">
      <c r="E75" s="68"/>
      <c r="Y75" s="61"/>
      <c r="Z75" s="61"/>
      <c r="AA75" s="61"/>
    </row>
    <row r="76" spans="2:27" s="59" customFormat="1" ht="25.5" x14ac:dyDescent="0.2">
      <c r="B76" s="66" t="s">
        <v>99</v>
      </c>
      <c r="C76" s="62" t="s">
        <v>0</v>
      </c>
      <c r="E76" s="68" t="str">
        <f>""</f>
        <v/>
      </c>
      <c r="F76" s="68" t="str">
        <f>""</f>
        <v/>
      </c>
      <c r="G76" s="59" t="str">
        <f>""</f>
        <v/>
      </c>
      <c r="H76" s="59" t="str">
        <f>""</f>
        <v/>
      </c>
      <c r="I76" s="59" t="str">
        <f>""</f>
        <v/>
      </c>
      <c r="J76" s="59" t="str">
        <f>""</f>
        <v/>
      </c>
      <c r="K76" s="59" t="str">
        <f>""</f>
        <v/>
      </c>
      <c r="L76" s="59" t="str">
        <f>""</f>
        <v/>
      </c>
      <c r="M76" s="59" t="str">
        <f>""</f>
        <v/>
      </c>
      <c r="N76" s="59" t="str">
        <f>""</f>
        <v/>
      </c>
      <c r="O76" s="59" t="str">
        <f>""</f>
        <v/>
      </c>
      <c r="P76" s="59" t="str">
        <f>""</f>
        <v/>
      </c>
      <c r="Q76" s="59" t="str">
        <f>""</f>
        <v/>
      </c>
      <c r="R76" s="59" t="str">
        <f>""</f>
        <v/>
      </c>
      <c r="S76" s="59" t="str">
        <f>""</f>
        <v/>
      </c>
      <c r="T76" s="59" t="str">
        <f>""</f>
        <v/>
      </c>
      <c r="U76" s="59" t="str">
        <f>""</f>
        <v/>
      </c>
      <c r="V76" s="59" t="str">
        <f>""</f>
        <v/>
      </c>
      <c r="W76" s="59" t="str">
        <f>""</f>
        <v/>
      </c>
      <c r="Y76" s="61"/>
      <c r="Z76" s="61"/>
      <c r="AA76" s="61"/>
    </row>
    <row r="77" spans="2:27" s="59" customFormat="1" x14ac:dyDescent="0.2">
      <c r="C77" s="63" t="s">
        <v>1</v>
      </c>
      <c r="E77" s="68" t="str">
        <f>""</f>
        <v/>
      </c>
      <c r="F77" s="68" t="str">
        <f>""</f>
        <v/>
      </c>
      <c r="G77" s="59" t="str">
        <f>""</f>
        <v/>
      </c>
      <c r="H77" s="59" t="str">
        <f>""</f>
        <v/>
      </c>
      <c r="I77" s="59" t="str">
        <f>""</f>
        <v/>
      </c>
      <c r="J77" s="59" t="str">
        <f>""</f>
        <v/>
      </c>
      <c r="K77" s="59" t="str">
        <f>""</f>
        <v/>
      </c>
      <c r="L77" s="59" t="str">
        <f>""</f>
        <v/>
      </c>
      <c r="M77" s="59" t="str">
        <f>""</f>
        <v/>
      </c>
      <c r="N77" s="59" t="str">
        <f>""</f>
        <v/>
      </c>
      <c r="O77" s="59" t="str">
        <f>""</f>
        <v/>
      </c>
      <c r="P77" s="59" t="str">
        <f>""</f>
        <v/>
      </c>
      <c r="Q77" s="59" t="str">
        <f>""</f>
        <v/>
      </c>
      <c r="R77" s="59" t="str">
        <f>""</f>
        <v/>
      </c>
      <c r="S77" s="59" t="str">
        <f>""</f>
        <v/>
      </c>
      <c r="T77" s="59" t="str">
        <f>""</f>
        <v/>
      </c>
      <c r="U77" s="59" t="str">
        <f>""</f>
        <v/>
      </c>
      <c r="V77" s="59" t="str">
        <f>""</f>
        <v/>
      </c>
      <c r="W77" s="59" t="str">
        <f>""</f>
        <v/>
      </c>
      <c r="Y77" s="61"/>
      <c r="Z77" s="61"/>
      <c r="AA77" s="61"/>
    </row>
    <row r="78" spans="2:27" s="59" customFormat="1" x14ac:dyDescent="0.2">
      <c r="C78" s="62" t="s">
        <v>2</v>
      </c>
      <c r="E78" s="68" t="str">
        <f>""</f>
        <v/>
      </c>
      <c r="F78" s="68" t="str">
        <f>""</f>
        <v/>
      </c>
      <c r="G78" s="67">
        <f>(E18*E35+F35*F18)/(E35+F35)</f>
        <v>8.3203757830561539E-2</v>
      </c>
      <c r="H78" s="67">
        <f t="shared" ref="H78:W78" si="66">(F18*F35+G35*G18)/(F35+G35)</f>
        <v>8.3203757830561539E-2</v>
      </c>
      <c r="I78" s="67">
        <f t="shared" si="66"/>
        <v>8.3203757830561539E-2</v>
      </c>
      <c r="J78" s="67">
        <f t="shared" si="66"/>
        <v>5.8910284768057668</v>
      </c>
      <c r="K78" s="67">
        <f t="shared" si="66"/>
        <v>6.9880406627815574</v>
      </c>
      <c r="L78" s="67">
        <f t="shared" si="66"/>
        <v>2.7751099972861604</v>
      </c>
      <c r="M78" s="111">
        <f t="shared" si="66"/>
        <v>5.4480985171597475E-2</v>
      </c>
      <c r="N78" s="111">
        <f t="shared" si="66"/>
        <v>2.7512873899946159E-2</v>
      </c>
      <c r="O78" s="111">
        <f t="shared" si="66"/>
        <v>5.4476262829484417E-4</v>
      </c>
      <c r="P78" s="111">
        <f t="shared" si="66"/>
        <v>7.5878286158900572</v>
      </c>
      <c r="Q78" s="111">
        <f t="shared" si="66"/>
        <v>12.188166788589372</v>
      </c>
      <c r="R78" s="111">
        <f t="shared" si="66"/>
        <v>4.6459528339353522</v>
      </c>
      <c r="S78" s="111">
        <f t="shared" si="66"/>
        <v>9.0684559843778378E-2</v>
      </c>
      <c r="T78" s="111" t="e">
        <f>(S18*S35+#REF!*#REF!)/(S35+#REF!)</f>
        <v>#REF!</v>
      </c>
      <c r="U78" s="111" t="e">
        <f>(#REF!*#REF!+T35*T18)/(#REF!+T35)</f>
        <v>#REF!</v>
      </c>
      <c r="V78" s="111">
        <f t="shared" si="66"/>
        <v>4.5789029711080181E-6</v>
      </c>
      <c r="W78" s="111" t="e">
        <f t="shared" si="66"/>
        <v>#VALUE!</v>
      </c>
      <c r="Y78" s="61"/>
      <c r="Z78" s="61"/>
      <c r="AA78" s="61"/>
    </row>
    <row r="79" spans="2:27" s="59" customFormat="1" x14ac:dyDescent="0.2">
      <c r="C79" s="62" t="s">
        <v>3</v>
      </c>
      <c r="E79" s="68" t="str">
        <f>""</f>
        <v/>
      </c>
      <c r="F79" s="68" t="str">
        <f>""</f>
        <v/>
      </c>
      <c r="G79" s="67">
        <f>(E19*E35+F35*F19)/(E35+F35)</f>
        <v>-25.045776376404888</v>
      </c>
      <c r="H79" s="67">
        <f t="shared" ref="H79:W79" si="67">(F19*F35+G35*G19)/(F35+G35)</f>
        <v>-25.045776376404888</v>
      </c>
      <c r="I79" s="67">
        <f t="shared" si="67"/>
        <v>-25.045776376404888</v>
      </c>
      <c r="J79" s="67">
        <f t="shared" si="67"/>
        <v>18.106246921879489</v>
      </c>
      <c r="K79" s="67">
        <f t="shared" si="67"/>
        <v>28.065702866630833</v>
      </c>
      <c r="L79" s="67">
        <f t="shared" si="67"/>
        <v>11.282417629355633</v>
      </c>
      <c r="M79" s="111">
        <f t="shared" si="67"/>
        <v>6.3367743922205033</v>
      </c>
      <c r="N79" s="111">
        <f t="shared" si="67"/>
        <v>8.1492190891873975</v>
      </c>
      <c r="O79" s="111">
        <f t="shared" si="67"/>
        <v>14.141376636952206</v>
      </c>
      <c r="P79" s="111">
        <f t="shared" si="67"/>
        <v>47.246119411796812</v>
      </c>
      <c r="Q79" s="111">
        <f t="shared" si="67"/>
        <v>56.868469219220351</v>
      </c>
      <c r="R79" s="111">
        <f t="shared" si="67"/>
        <v>27.917791594010236</v>
      </c>
      <c r="S79" s="111">
        <f t="shared" si="67"/>
        <v>18.409838203232859</v>
      </c>
      <c r="T79" s="111" t="e">
        <f>(S19*S35+#REF!*#REF!)/(S35+#REF!)</f>
        <v>#REF!</v>
      </c>
      <c r="U79" s="111" t="e">
        <f>(#REF!*#REF!+T35*T19)/(#REF!+T35)</f>
        <v>#REF!</v>
      </c>
      <c r="V79" s="111">
        <f t="shared" si="67"/>
        <v>20.20001162217152</v>
      </c>
      <c r="W79" s="111" t="e">
        <f t="shared" si="67"/>
        <v>#VALUE!</v>
      </c>
      <c r="Y79" s="61"/>
      <c r="Z79" s="61"/>
      <c r="AA79" s="61"/>
    </row>
    <row r="80" spans="2:27" s="59" customFormat="1" x14ac:dyDescent="0.2">
      <c r="B80" s="59" t="s">
        <v>105</v>
      </c>
      <c r="C80" s="59" t="s">
        <v>36</v>
      </c>
      <c r="E80" s="67" t="b">
        <f>TRUE</f>
        <v>1</v>
      </c>
      <c r="F80" s="67" t="b">
        <f>TRUE</f>
        <v>1</v>
      </c>
      <c r="G80" s="67" t="b">
        <f>(G34+G33)&gt;=1</f>
        <v>1</v>
      </c>
      <c r="H80" s="67" t="b">
        <f t="shared" ref="H80:W80" si="68">(H34+H33)&gt;=1</f>
        <v>1</v>
      </c>
      <c r="I80" s="67" t="b">
        <f t="shared" si="68"/>
        <v>1</v>
      </c>
      <c r="J80" s="67" t="b">
        <f t="shared" si="68"/>
        <v>0</v>
      </c>
      <c r="K80" s="67" t="b">
        <f t="shared" si="68"/>
        <v>1</v>
      </c>
      <c r="L80" s="67" t="b">
        <f t="shared" si="68"/>
        <v>1</v>
      </c>
      <c r="M80" s="111" t="b">
        <f t="shared" si="68"/>
        <v>1</v>
      </c>
      <c r="N80" s="111" t="b">
        <f t="shared" si="68"/>
        <v>1</v>
      </c>
      <c r="O80" s="111" t="b">
        <f t="shared" si="68"/>
        <v>1</v>
      </c>
      <c r="P80" s="111" t="b">
        <f t="shared" si="68"/>
        <v>1</v>
      </c>
      <c r="Q80" s="111" t="b">
        <f t="shared" si="68"/>
        <v>1</v>
      </c>
      <c r="R80" s="111" t="b">
        <f t="shared" si="68"/>
        <v>1</v>
      </c>
      <c r="S80" s="111" t="b">
        <f t="shared" si="68"/>
        <v>1</v>
      </c>
      <c r="T80" s="111" t="b">
        <f t="shared" si="68"/>
        <v>1</v>
      </c>
      <c r="U80" s="111" t="b">
        <f t="shared" si="68"/>
        <v>1</v>
      </c>
      <c r="V80" s="111" t="b">
        <f t="shared" si="68"/>
        <v>0</v>
      </c>
      <c r="W80" s="111" t="b">
        <f t="shared" si="68"/>
        <v>0</v>
      </c>
      <c r="Y80" s="61"/>
      <c r="Z80" s="61"/>
      <c r="AA80" s="61"/>
    </row>
    <row r="81" spans="2:27" s="59" customFormat="1" x14ac:dyDescent="0.2">
      <c r="B81" s="59" t="s">
        <v>47</v>
      </c>
      <c r="C81" s="59" t="s">
        <v>36</v>
      </c>
      <c r="E81" s="67" t="b">
        <f>FALSE</f>
        <v>0</v>
      </c>
      <c r="F81" s="67" t="b">
        <f>FALSE</f>
        <v>0</v>
      </c>
      <c r="G81" s="67" t="b">
        <f>FALSE</f>
        <v>0</v>
      </c>
      <c r="H81" s="67" t="b">
        <f>FALSE</f>
        <v>0</v>
      </c>
      <c r="I81" s="67" t="b">
        <f>FALSE</f>
        <v>0</v>
      </c>
      <c r="J81" s="67" t="b">
        <f>FALSE</f>
        <v>0</v>
      </c>
      <c r="K81" s="67" t="b">
        <f>FALSE</f>
        <v>0</v>
      </c>
      <c r="L81" s="67" t="b">
        <f>FALSE</f>
        <v>0</v>
      </c>
      <c r="M81" s="111" t="b">
        <f>FALSE</f>
        <v>0</v>
      </c>
      <c r="N81" s="111" t="b">
        <f>FALSE</f>
        <v>0</v>
      </c>
      <c r="O81" s="111" t="b">
        <f>FALSE</f>
        <v>0</v>
      </c>
      <c r="P81" s="111" t="b">
        <f>FALSE</f>
        <v>0</v>
      </c>
      <c r="Q81" s="111" t="b">
        <f>FALSE</f>
        <v>0</v>
      </c>
      <c r="R81" s="111" t="b">
        <f>FALSE</f>
        <v>0</v>
      </c>
      <c r="S81" s="111" t="b">
        <f>FALSE</f>
        <v>0</v>
      </c>
      <c r="T81" s="111" t="b">
        <f>FALSE</f>
        <v>0</v>
      </c>
      <c r="U81" s="111" t="b">
        <f>FALSE</f>
        <v>0</v>
      </c>
      <c r="V81" s="111" t="b">
        <f>FALSE</f>
        <v>0</v>
      </c>
      <c r="W81" s="111" t="b">
        <f>FALSE</f>
        <v>0</v>
      </c>
      <c r="Y81" s="61"/>
      <c r="Z81" s="61"/>
      <c r="AA81" s="61"/>
    </row>
    <row r="82" spans="2:27" s="59" customFormat="1" x14ac:dyDescent="0.2">
      <c r="B82" s="59" t="s">
        <v>36</v>
      </c>
      <c r="C82" s="59" t="s">
        <v>36</v>
      </c>
      <c r="E82" s="67" t="b">
        <f>FALSE</f>
        <v>0</v>
      </c>
      <c r="F82" s="67" t="b">
        <f>FALSE</f>
        <v>0</v>
      </c>
      <c r="G82" s="67" t="b">
        <f>FALSE</f>
        <v>0</v>
      </c>
      <c r="H82" s="67" t="b">
        <f>FALSE</f>
        <v>0</v>
      </c>
      <c r="I82" s="67" t="b">
        <f>FALSE</f>
        <v>0</v>
      </c>
      <c r="J82" s="67" t="b">
        <f>FALSE</f>
        <v>0</v>
      </c>
      <c r="K82" s="67" t="b">
        <f>FALSE</f>
        <v>0</v>
      </c>
      <c r="L82" s="67" t="b">
        <f>FALSE</f>
        <v>0</v>
      </c>
      <c r="M82" s="111" t="b">
        <f>FALSE</f>
        <v>0</v>
      </c>
      <c r="N82" s="111" t="b">
        <f>FALSE</f>
        <v>0</v>
      </c>
      <c r="O82" s="111" t="b">
        <f>FALSE</f>
        <v>0</v>
      </c>
      <c r="P82" s="111" t="b">
        <f>FALSE</f>
        <v>0</v>
      </c>
      <c r="Q82" s="111" t="b">
        <f>FALSE</f>
        <v>0</v>
      </c>
      <c r="R82" s="111" t="b">
        <f>FALSE</f>
        <v>0</v>
      </c>
      <c r="S82" s="111" t="b">
        <f>FALSE</f>
        <v>0</v>
      </c>
      <c r="T82" s="111" t="b">
        <f>FALSE</f>
        <v>0</v>
      </c>
      <c r="U82" s="111" t="b">
        <f>FALSE</f>
        <v>0</v>
      </c>
      <c r="V82" s="111" t="b">
        <f>FALSE</f>
        <v>0</v>
      </c>
      <c r="W82" s="111" t="b">
        <f>FALSE</f>
        <v>0</v>
      </c>
      <c r="Y82" s="61"/>
      <c r="Z82" s="61"/>
      <c r="AA82" s="61"/>
    </row>
    <row r="83" spans="2:27" s="59" customFormat="1" x14ac:dyDescent="0.2">
      <c r="E83" s="68"/>
      <c r="Y83" s="61"/>
      <c r="Z83" s="61"/>
      <c r="AA83" s="61"/>
    </row>
    <row r="84" spans="2:27" s="59" customFormat="1" ht="25.5" x14ac:dyDescent="0.2">
      <c r="B84" s="66" t="s">
        <v>100</v>
      </c>
      <c r="C84" s="62" t="s">
        <v>0</v>
      </c>
      <c r="E84" s="59">
        <f>IF(E29=1,E6,"")</f>
        <v>-25</v>
      </c>
      <c r="F84" s="59">
        <f t="shared" ref="F84:W84" si="69">IF(F29=1,F6,"")</f>
        <v>-25</v>
      </c>
      <c r="G84" s="59">
        <f t="shared" si="69"/>
        <v>-25</v>
      </c>
      <c r="H84" s="59">
        <f t="shared" si="69"/>
        <v>-25</v>
      </c>
      <c r="I84" s="59">
        <f t="shared" si="69"/>
        <v>20</v>
      </c>
      <c r="J84" s="59" t="str">
        <f t="shared" si="69"/>
        <v/>
      </c>
      <c r="K84" s="59">
        <f t="shared" si="69"/>
        <v>4.277020603210544</v>
      </c>
      <c r="L84" s="59">
        <f t="shared" si="69"/>
        <v>8</v>
      </c>
      <c r="M84" s="59">
        <f t="shared" si="69"/>
        <v>8</v>
      </c>
      <c r="N84" s="59">
        <f t="shared" si="69"/>
        <v>20</v>
      </c>
      <c r="O84" s="59">
        <f t="shared" si="69"/>
        <v>35</v>
      </c>
      <c r="P84" s="59">
        <f t="shared" si="69"/>
        <v>16</v>
      </c>
      <c r="Q84" s="59">
        <f t="shared" si="69"/>
        <v>16</v>
      </c>
      <c r="R84" s="59">
        <f>IF(R29=1,R6,"")</f>
        <v>20</v>
      </c>
      <c r="S84" s="59">
        <f>IF(S29=1,S6,"")</f>
        <v>20</v>
      </c>
      <c r="T84" s="59">
        <f t="shared" si="69"/>
        <v>20</v>
      </c>
      <c r="U84" s="59">
        <f>IF(U29=1,U6,"")</f>
        <v>20</v>
      </c>
      <c r="V84" s="59" t="str">
        <f>IF(V29=1,V6,"")</f>
        <v/>
      </c>
      <c r="W84" s="59" t="str">
        <f t="shared" si="69"/>
        <v/>
      </c>
      <c r="Y84" s="61"/>
      <c r="Z84" s="61"/>
      <c r="AA84" s="61"/>
    </row>
    <row r="85" spans="2:27" s="59" customFormat="1" x14ac:dyDescent="0.2">
      <c r="C85" s="63" t="s">
        <v>1</v>
      </c>
      <c r="E85" s="59">
        <f>IF(E30=1,E7/100,"")</f>
        <v>0.2</v>
      </c>
      <c r="F85" s="59">
        <f t="shared" ref="F85:W85" si="70">IF(F30=1,F7/100,"")</f>
        <v>0.2</v>
      </c>
      <c r="G85" s="59">
        <f t="shared" si="70"/>
        <v>0.2</v>
      </c>
      <c r="H85" s="59">
        <f t="shared" si="70"/>
        <v>0.2</v>
      </c>
      <c r="I85" s="59">
        <f t="shared" si="70"/>
        <v>0.6</v>
      </c>
      <c r="J85" s="59" t="str">
        <f t="shared" si="70"/>
        <v/>
      </c>
      <c r="K85" s="59">
        <f t="shared" si="70"/>
        <v>0.01</v>
      </c>
      <c r="L85" s="59" t="str">
        <f t="shared" si="70"/>
        <v/>
      </c>
      <c r="M85" s="59">
        <f t="shared" si="70"/>
        <v>7.7246107631210339E-5</v>
      </c>
      <c r="N85" s="59" t="str">
        <f t="shared" si="70"/>
        <v/>
      </c>
      <c r="O85" s="59">
        <f t="shared" si="70"/>
        <v>0.4</v>
      </c>
      <c r="P85" s="59" t="str">
        <f t="shared" si="70"/>
        <v/>
      </c>
      <c r="Q85" s="59">
        <f t="shared" si="70"/>
        <v>7.5771330367416147E-3</v>
      </c>
      <c r="R85" s="59" t="str">
        <f>IF(R30=1,R7/100,"")</f>
        <v/>
      </c>
      <c r="S85" s="59">
        <f>IF(S30=1,S7/100,"")</f>
        <v>5.889954581965501E-5</v>
      </c>
      <c r="T85" s="59">
        <f t="shared" si="70"/>
        <v>5.8899545819655011E-7</v>
      </c>
      <c r="U85" s="59">
        <f>IF(U30=1,U7/100,"")</f>
        <v>5.889954581965502E-9</v>
      </c>
      <c r="V85" s="59" t="str">
        <f>IF(V30=1,V7/100,"")</f>
        <v/>
      </c>
      <c r="W85" s="59" t="str">
        <f t="shared" si="70"/>
        <v/>
      </c>
      <c r="Y85" s="61"/>
      <c r="Z85" s="61"/>
      <c r="AA85" s="61"/>
    </row>
    <row r="86" spans="2:27" s="59" customFormat="1" x14ac:dyDescent="0.2">
      <c r="C86" s="62" t="s">
        <v>2</v>
      </c>
      <c r="E86" s="59" t="str">
        <f>IF(E31=1,E8,"")</f>
        <v/>
      </c>
      <c r="F86" s="59" t="str">
        <f t="shared" ref="F86:W87" si="71">IF(F31=1,F8,"")</f>
        <v/>
      </c>
      <c r="G86" s="59" t="str">
        <f t="shared" si="71"/>
        <v/>
      </c>
      <c r="H86" s="59" t="str">
        <f t="shared" si="71"/>
        <v/>
      </c>
      <c r="I86" s="59" t="str">
        <f t="shared" si="71"/>
        <v/>
      </c>
      <c r="J86" s="59" t="str">
        <f t="shared" si="71"/>
        <v/>
      </c>
      <c r="K86" s="59" t="str">
        <f t="shared" si="71"/>
        <v/>
      </c>
      <c r="L86" s="59" t="str">
        <f t="shared" si="71"/>
        <v/>
      </c>
      <c r="M86" s="59" t="str">
        <f t="shared" si="71"/>
        <v/>
      </c>
      <c r="N86" s="59" t="str">
        <f t="shared" si="71"/>
        <v/>
      </c>
      <c r="O86" s="59" t="str">
        <f t="shared" si="71"/>
        <v/>
      </c>
      <c r="P86" s="59" t="str">
        <f t="shared" si="71"/>
        <v/>
      </c>
      <c r="Q86" s="59" t="str">
        <f t="shared" si="71"/>
        <v/>
      </c>
      <c r="R86" s="59" t="str">
        <f>IF(R31=1,R8,"")</f>
        <v/>
      </c>
      <c r="S86" s="59" t="str">
        <f>IF(S31=1,S8,"")</f>
        <v/>
      </c>
      <c r="T86" s="59" t="str">
        <f t="shared" si="71"/>
        <v/>
      </c>
      <c r="U86" s="59" t="str">
        <f>IF(U31=1,U8,"")</f>
        <v/>
      </c>
      <c r="V86" s="59" t="str">
        <f>IF(V31=1,V8,"")</f>
        <v/>
      </c>
      <c r="W86" s="59" t="str">
        <f t="shared" si="71"/>
        <v/>
      </c>
      <c r="Y86" s="61"/>
      <c r="Z86" s="61"/>
      <c r="AA86" s="61"/>
    </row>
    <row r="87" spans="2:27" s="59" customFormat="1" x14ac:dyDescent="0.2">
      <c r="C87" s="62" t="s">
        <v>3</v>
      </c>
      <c r="E87" s="59" t="str">
        <f>IF(E32=1,E9,"")</f>
        <v/>
      </c>
      <c r="F87" s="59" t="str">
        <f t="shared" si="71"/>
        <v/>
      </c>
      <c r="G87" s="59" t="str">
        <f t="shared" si="71"/>
        <v/>
      </c>
      <c r="H87" s="59" t="str">
        <f t="shared" si="71"/>
        <v/>
      </c>
      <c r="I87" s="59" t="str">
        <f t="shared" si="71"/>
        <v/>
      </c>
      <c r="J87" s="59" t="str">
        <f t="shared" si="71"/>
        <v/>
      </c>
      <c r="K87" s="59" t="str">
        <f t="shared" si="71"/>
        <v/>
      </c>
      <c r="L87" s="59" t="str">
        <f t="shared" si="71"/>
        <v/>
      </c>
      <c r="M87" s="59" t="str">
        <f t="shared" si="71"/>
        <v/>
      </c>
      <c r="N87" s="59" t="str">
        <f t="shared" si="71"/>
        <v/>
      </c>
      <c r="O87" s="59" t="str">
        <f t="shared" si="71"/>
        <v/>
      </c>
      <c r="P87" s="59" t="str">
        <f t="shared" si="71"/>
        <v/>
      </c>
      <c r="Q87" s="59" t="str">
        <f t="shared" si="71"/>
        <v/>
      </c>
      <c r="R87" s="59" t="str">
        <f>IF(R32=1,R9,"")</f>
        <v/>
      </c>
      <c r="S87" s="59" t="str">
        <f>IF(S32=1,S9,"")</f>
        <v/>
      </c>
      <c r="T87" s="59" t="str">
        <f t="shared" si="71"/>
        <v/>
      </c>
      <c r="U87" s="59" t="str">
        <f>IF(U32=1,U9,"")</f>
        <v/>
      </c>
      <c r="V87" s="59" t="str">
        <f>IF(V32=1,V9,"")</f>
        <v/>
      </c>
      <c r="W87" s="59" t="str">
        <f t="shared" si="71"/>
        <v/>
      </c>
      <c r="Y87" s="61"/>
      <c r="Z87" s="61"/>
      <c r="AA87" s="61"/>
    </row>
    <row r="88" spans="2:27" s="59" customFormat="1" x14ac:dyDescent="0.2">
      <c r="B88" s="59" t="s">
        <v>105</v>
      </c>
      <c r="C88" s="59" t="s">
        <v>36</v>
      </c>
      <c r="E88" s="67" t="b">
        <f>TRUE</f>
        <v>1</v>
      </c>
      <c r="F88" s="67" t="b">
        <f t="shared" ref="F88:W88" si="72">OR(F34&gt;2,F33=1)</f>
        <v>0</v>
      </c>
      <c r="G88" s="67" t="b">
        <f t="shared" si="72"/>
        <v>0</v>
      </c>
      <c r="H88" s="67" t="b">
        <f t="shared" si="72"/>
        <v>0</v>
      </c>
      <c r="I88" s="67" t="b">
        <f t="shared" si="72"/>
        <v>0</v>
      </c>
      <c r="J88" s="67" t="b">
        <f t="shared" si="72"/>
        <v>0</v>
      </c>
      <c r="K88" s="67" t="b">
        <f t="shared" si="72"/>
        <v>0</v>
      </c>
      <c r="L88" s="67" t="b">
        <f t="shared" si="72"/>
        <v>0</v>
      </c>
      <c r="M88" s="111" t="b">
        <f t="shared" si="72"/>
        <v>0</v>
      </c>
      <c r="N88" s="111" t="b">
        <f t="shared" si="72"/>
        <v>0</v>
      </c>
      <c r="O88" s="111" t="b">
        <f t="shared" si="72"/>
        <v>0</v>
      </c>
      <c r="P88" s="111" t="b">
        <f t="shared" si="72"/>
        <v>0</v>
      </c>
      <c r="Q88" s="111" t="b">
        <f t="shared" si="72"/>
        <v>0</v>
      </c>
      <c r="R88" s="111" t="b">
        <f t="shared" si="72"/>
        <v>0</v>
      </c>
      <c r="S88" s="111" t="b">
        <f t="shared" si="72"/>
        <v>0</v>
      </c>
      <c r="T88" s="111" t="b">
        <f t="shared" si="72"/>
        <v>0</v>
      </c>
      <c r="U88" s="111" t="b">
        <f t="shared" si="72"/>
        <v>0</v>
      </c>
      <c r="V88" s="111" t="b">
        <f t="shared" si="72"/>
        <v>0</v>
      </c>
      <c r="W88" s="111" t="b">
        <f t="shared" si="72"/>
        <v>0</v>
      </c>
      <c r="Y88" s="61"/>
      <c r="Z88" s="61"/>
      <c r="AA88" s="61"/>
    </row>
    <row r="89" spans="2:27" s="59" customFormat="1" x14ac:dyDescent="0.2">
      <c r="B89" s="59" t="s">
        <v>47</v>
      </c>
      <c r="C89" s="59" t="s">
        <v>36</v>
      </c>
      <c r="E89" s="67" t="b">
        <f>FALSE</f>
        <v>0</v>
      </c>
      <c r="F89" s="67" t="b">
        <f t="shared" ref="F89:W89" si="73">F34=1</f>
        <v>0</v>
      </c>
      <c r="G89" s="67" t="b">
        <f t="shared" si="73"/>
        <v>0</v>
      </c>
      <c r="H89" s="67" t="b">
        <f t="shared" si="73"/>
        <v>0</v>
      </c>
      <c r="I89" s="67" t="b">
        <f t="shared" si="73"/>
        <v>0</v>
      </c>
      <c r="J89" s="67" t="b">
        <f t="shared" si="73"/>
        <v>0</v>
      </c>
      <c r="K89" s="67" t="b">
        <f t="shared" si="73"/>
        <v>0</v>
      </c>
      <c r="L89" s="67" t="b">
        <f t="shared" si="73"/>
        <v>1</v>
      </c>
      <c r="M89" s="111" t="b">
        <f t="shared" si="73"/>
        <v>0</v>
      </c>
      <c r="N89" s="111" t="b">
        <f t="shared" si="73"/>
        <v>1</v>
      </c>
      <c r="O89" s="111" t="b">
        <f t="shared" si="73"/>
        <v>0</v>
      </c>
      <c r="P89" s="111" t="b">
        <f t="shared" si="73"/>
        <v>1</v>
      </c>
      <c r="Q89" s="111" t="b">
        <f t="shared" si="73"/>
        <v>0</v>
      </c>
      <c r="R89" s="111" t="b">
        <f t="shared" si="73"/>
        <v>1</v>
      </c>
      <c r="S89" s="111" t="b">
        <f t="shared" si="73"/>
        <v>0</v>
      </c>
      <c r="T89" s="111" t="b">
        <f t="shared" si="73"/>
        <v>0</v>
      </c>
      <c r="U89" s="111" t="b">
        <f t="shared" si="73"/>
        <v>0</v>
      </c>
      <c r="V89" s="111" t="b">
        <f t="shared" si="73"/>
        <v>0</v>
      </c>
      <c r="W89" s="111" t="b">
        <f t="shared" si="73"/>
        <v>0</v>
      </c>
      <c r="Y89" s="61"/>
      <c r="Z89" s="61"/>
      <c r="AA89" s="61"/>
    </row>
    <row r="90" spans="2:27" s="59" customFormat="1" x14ac:dyDescent="0.2">
      <c r="B90" s="59" t="s">
        <v>36</v>
      </c>
      <c r="C90" s="59" t="s">
        <v>36</v>
      </c>
      <c r="E90" s="67" t="b">
        <f>FALSE</f>
        <v>0</v>
      </c>
      <c r="F90" s="67" t="b">
        <f t="shared" ref="F90:W90" si="74">F34=0</f>
        <v>0</v>
      </c>
      <c r="G90" s="67" t="b">
        <f t="shared" si="74"/>
        <v>0</v>
      </c>
      <c r="H90" s="67" t="b">
        <f t="shared" si="74"/>
        <v>0</v>
      </c>
      <c r="I90" s="67" t="b">
        <f t="shared" si="74"/>
        <v>0</v>
      </c>
      <c r="J90" s="67" t="b">
        <f t="shared" si="74"/>
        <v>1</v>
      </c>
      <c r="K90" s="67" t="b">
        <f t="shared" si="74"/>
        <v>0</v>
      </c>
      <c r="L90" s="67" t="b">
        <f t="shared" si="74"/>
        <v>0</v>
      </c>
      <c r="M90" s="111" t="b">
        <f t="shared" si="74"/>
        <v>0</v>
      </c>
      <c r="N90" s="111" t="b">
        <f t="shared" si="74"/>
        <v>0</v>
      </c>
      <c r="O90" s="111" t="b">
        <f t="shared" si="74"/>
        <v>0</v>
      </c>
      <c r="P90" s="111" t="b">
        <f t="shared" si="74"/>
        <v>0</v>
      </c>
      <c r="Q90" s="111" t="b">
        <f t="shared" si="74"/>
        <v>0</v>
      </c>
      <c r="R90" s="111" t="b">
        <f t="shared" si="74"/>
        <v>0</v>
      </c>
      <c r="S90" s="111" t="b">
        <f t="shared" si="74"/>
        <v>0</v>
      </c>
      <c r="T90" s="111" t="b">
        <f t="shared" si="74"/>
        <v>0</v>
      </c>
      <c r="U90" s="111" t="b">
        <f t="shared" si="74"/>
        <v>0</v>
      </c>
      <c r="V90" s="111" t="b">
        <f t="shared" si="74"/>
        <v>1</v>
      </c>
      <c r="W90" s="111" t="b">
        <f t="shared" si="74"/>
        <v>1</v>
      </c>
      <c r="Y90" s="61"/>
      <c r="Z90" s="61"/>
      <c r="AA90" s="61"/>
    </row>
    <row r="91" spans="2:27" s="59" customFormat="1" x14ac:dyDescent="0.2">
      <c r="E91" s="68"/>
      <c r="Y91" s="61"/>
      <c r="Z91" s="61"/>
      <c r="AA91" s="61"/>
    </row>
    <row r="92" spans="2:27" s="59" customFormat="1" ht="25.5" x14ac:dyDescent="0.2">
      <c r="B92" s="71" t="s">
        <v>106</v>
      </c>
      <c r="C92" s="62" t="s">
        <v>0</v>
      </c>
      <c r="E92" s="59">
        <f>IF(E28&gt;6,"",CHOOSE(E28+1,E36,E44,E52,E60,E68,E76,E84))</f>
        <v>-25</v>
      </c>
      <c r="F92" s="59">
        <f t="shared" ref="F92:W92" si="75">IF(F28&gt;6,"",CHOOSE(F28+1,F36,F44,F52,F60,F68,F76,F84))</f>
        <v>-25</v>
      </c>
      <c r="G92" s="59">
        <f t="shared" si="75"/>
        <v>-25</v>
      </c>
      <c r="H92" s="59">
        <f t="shared" si="75"/>
        <v>-25</v>
      </c>
      <c r="I92" s="59">
        <f t="shared" si="75"/>
        <v>20</v>
      </c>
      <c r="J92" s="59" t="str">
        <f t="shared" si="75"/>
        <v/>
      </c>
      <c r="K92" s="59">
        <f t="shared" si="75"/>
        <v>4.277020603210544</v>
      </c>
      <c r="L92" s="59">
        <f t="shared" si="75"/>
        <v>8</v>
      </c>
      <c r="M92" s="59">
        <f t="shared" si="75"/>
        <v>8</v>
      </c>
      <c r="N92" s="59">
        <f t="shared" si="75"/>
        <v>20</v>
      </c>
      <c r="O92" s="59">
        <f t="shared" si="75"/>
        <v>35</v>
      </c>
      <c r="P92" s="59">
        <f t="shared" si="75"/>
        <v>16</v>
      </c>
      <c r="Q92" s="59">
        <f t="shared" si="75"/>
        <v>16</v>
      </c>
      <c r="R92" s="59">
        <f t="shared" si="75"/>
        <v>20</v>
      </c>
      <c r="S92" s="59">
        <f t="shared" si="75"/>
        <v>20</v>
      </c>
      <c r="T92" s="59">
        <f t="shared" si="75"/>
        <v>20</v>
      </c>
      <c r="U92" s="59">
        <f t="shared" si="75"/>
        <v>20</v>
      </c>
      <c r="V92" s="59" t="str">
        <f t="shared" si="75"/>
        <v/>
      </c>
      <c r="W92" s="59" t="str">
        <f t="shared" si="75"/>
        <v/>
      </c>
      <c r="Y92" s="61"/>
      <c r="Z92" s="61"/>
      <c r="AA92" s="61"/>
    </row>
    <row r="93" spans="2:27" s="59" customFormat="1" x14ac:dyDescent="0.2">
      <c r="C93" s="63" t="s">
        <v>1</v>
      </c>
      <c r="E93" s="59">
        <f>IF(E28&gt;6,"",CHOOSE(E28+1,E37,E45,E53,E61,E69,E77,E85))</f>
        <v>0.2</v>
      </c>
      <c r="F93" s="59">
        <f t="shared" ref="F93:W93" si="76">IF(F28&gt;6,"",CHOOSE(F28+1,F37,F45,F53,F61,F69,F77,F85))</f>
        <v>0.2</v>
      </c>
      <c r="G93" s="59">
        <f t="shared" si="76"/>
        <v>0.2</v>
      </c>
      <c r="H93" s="59">
        <f t="shared" si="76"/>
        <v>0.2</v>
      </c>
      <c r="I93" s="59">
        <f t="shared" si="76"/>
        <v>0.6</v>
      </c>
      <c r="J93" s="59" t="str">
        <f t="shared" si="76"/>
        <v/>
      </c>
      <c r="K93" s="59">
        <f t="shared" si="76"/>
        <v>0.01</v>
      </c>
      <c r="L93" s="59" t="str">
        <f t="shared" si="76"/>
        <v/>
      </c>
      <c r="M93" s="59">
        <f t="shared" si="76"/>
        <v>7.7246107631210339E-5</v>
      </c>
      <c r="N93" s="59" t="str">
        <f t="shared" si="76"/>
        <v/>
      </c>
      <c r="O93" s="59">
        <f t="shared" si="76"/>
        <v>0.4</v>
      </c>
      <c r="P93" s="59" t="str">
        <f t="shared" si="76"/>
        <v/>
      </c>
      <c r="Q93" s="59">
        <f t="shared" si="76"/>
        <v>7.5771330367416147E-3</v>
      </c>
      <c r="R93" s="59" t="str">
        <f t="shared" si="76"/>
        <v/>
      </c>
      <c r="S93" s="59">
        <f t="shared" si="76"/>
        <v>5.889954581965501E-5</v>
      </c>
      <c r="T93" s="59">
        <f t="shared" si="76"/>
        <v>5.8899545819655011E-7</v>
      </c>
      <c r="U93" s="59">
        <f t="shared" si="76"/>
        <v>5.889954581965502E-9</v>
      </c>
      <c r="V93" s="59" t="str">
        <f t="shared" si="76"/>
        <v/>
      </c>
      <c r="W93" s="59" t="str">
        <f t="shared" si="76"/>
        <v/>
      </c>
      <c r="Y93" s="61"/>
      <c r="Z93" s="61"/>
      <c r="AA93" s="61"/>
    </row>
    <row r="94" spans="2:27" s="59" customFormat="1" x14ac:dyDescent="0.2">
      <c r="C94" s="62" t="s">
        <v>2</v>
      </c>
      <c r="E94" s="59" t="str">
        <f>IF(E28&gt;6,"",CHOOSE(E28+1,E38,E46,E54,E62,E70,E78,E86))</f>
        <v/>
      </c>
      <c r="F94" s="59" t="str">
        <f t="shared" ref="F94:W94" si="77">IF(F28&gt;6,"",CHOOSE(F28+1,F38,F46,F54,F62,F70,F78,F86))</f>
        <v/>
      </c>
      <c r="G94" s="59" t="str">
        <f t="shared" si="77"/>
        <v/>
      </c>
      <c r="H94" s="59" t="str">
        <f t="shared" si="77"/>
        <v/>
      </c>
      <c r="I94" s="59" t="str">
        <f t="shared" si="77"/>
        <v/>
      </c>
      <c r="J94" s="59">
        <f t="shared" si="77"/>
        <v>5.8910284768057668</v>
      </c>
      <c r="K94" s="59" t="str">
        <f t="shared" si="77"/>
        <v/>
      </c>
      <c r="L94" s="59">
        <f t="shared" si="77"/>
        <v>5.4480985171597482E-2</v>
      </c>
      <c r="M94" s="59" t="str">
        <f t="shared" si="77"/>
        <v/>
      </c>
      <c r="N94" s="59">
        <f t="shared" si="77"/>
        <v>5.4476262829484417E-4</v>
      </c>
      <c r="O94" s="59" t="str">
        <f t="shared" si="77"/>
        <v/>
      </c>
      <c r="P94" s="59" t="str">
        <f t="shared" si="77"/>
        <v/>
      </c>
      <c r="Q94" s="59" t="str">
        <f t="shared" si="77"/>
        <v/>
      </c>
      <c r="R94" s="59">
        <f t="shared" si="77"/>
        <v>9.0684559843778378E-2</v>
      </c>
      <c r="S94" s="59" t="str">
        <f t="shared" si="77"/>
        <v/>
      </c>
      <c r="T94" s="59" t="str">
        <f t="shared" si="77"/>
        <v/>
      </c>
      <c r="U94" s="59" t="str">
        <f t="shared" si="77"/>
        <v/>
      </c>
      <c r="V94" s="59" t="str">
        <f t="shared" si="77"/>
        <v/>
      </c>
      <c r="W94" s="59" t="str">
        <f t="shared" si="77"/>
        <v/>
      </c>
      <c r="Y94" s="61"/>
      <c r="Z94" s="61"/>
      <c r="AA94" s="61"/>
    </row>
    <row r="95" spans="2:27" s="59" customFormat="1" x14ac:dyDescent="0.2">
      <c r="C95" s="62" t="s">
        <v>3</v>
      </c>
      <c r="E95" s="59" t="str">
        <f>IF(E28&gt;6,"",CHOOSE(E28+1,E39,E47,E55,E63,E71,E79,E87))</f>
        <v/>
      </c>
      <c r="F95" s="59" t="str">
        <f t="shared" ref="F95:W95" si="78">IF(F28&gt;6,"",CHOOSE(F28+1,F39,F47,F55,F63,F71,F79,F87))</f>
        <v/>
      </c>
      <c r="G95" s="59" t="str">
        <f t="shared" si="78"/>
        <v/>
      </c>
      <c r="H95" s="59" t="str">
        <f t="shared" si="78"/>
        <v/>
      </c>
      <c r="I95" s="59" t="str">
        <f t="shared" si="78"/>
        <v/>
      </c>
      <c r="J95" s="59">
        <f t="shared" si="78"/>
        <v>18.106246921879489</v>
      </c>
      <c r="K95" s="59" t="str">
        <f t="shared" si="78"/>
        <v/>
      </c>
      <c r="L95" s="59" t="str">
        <f t="shared" si="78"/>
        <v/>
      </c>
      <c r="M95" s="59" t="str">
        <f t="shared" si="78"/>
        <v/>
      </c>
      <c r="N95" s="59" t="str">
        <f t="shared" si="78"/>
        <v/>
      </c>
      <c r="O95" s="59" t="str">
        <f t="shared" si="78"/>
        <v/>
      </c>
      <c r="P95" s="59">
        <f t="shared" si="78"/>
        <v>39.446082331350226</v>
      </c>
      <c r="Q95" s="59" t="str">
        <f t="shared" si="78"/>
        <v/>
      </c>
      <c r="R95" s="59" t="str">
        <f t="shared" si="78"/>
        <v/>
      </c>
      <c r="S95" s="59" t="str">
        <f t="shared" si="78"/>
        <v/>
      </c>
      <c r="T95" s="59" t="str">
        <f t="shared" si="78"/>
        <v/>
      </c>
      <c r="U95" s="59" t="str">
        <f t="shared" si="78"/>
        <v/>
      </c>
      <c r="V95" s="59" t="str">
        <f t="shared" si="78"/>
        <v/>
      </c>
      <c r="W95" s="59" t="str">
        <f t="shared" si="78"/>
        <v/>
      </c>
      <c r="Y95" s="61"/>
      <c r="Z95" s="61"/>
      <c r="AA95" s="61"/>
    </row>
    <row r="96" spans="2:27" s="59" customFormat="1" x14ac:dyDescent="0.2">
      <c r="B96" s="59" t="s">
        <v>105</v>
      </c>
      <c r="C96" s="59" t="s">
        <v>36</v>
      </c>
      <c r="E96" s="67" t="b">
        <f>IF(OR(E28&gt;6,AND(E11&lt;&gt;"",E12&lt;&gt;"")),TRUE,CHOOSE(E28+1,E40,E48,E56,E64,E72,E80,E88))</f>
        <v>0</v>
      </c>
      <c r="F96" s="67" t="b">
        <f t="shared" ref="F96:W96" si="79">IF(OR(F28&gt;6,AND(F11&lt;&gt;"",F12&lt;&gt;"")),TRUE,CHOOSE(F28+1,F40,F48,F56,F64,F72,F80,F88))</f>
        <v>0</v>
      </c>
      <c r="G96" s="67" t="b">
        <f t="shared" si="79"/>
        <v>0</v>
      </c>
      <c r="H96" s="67" t="b">
        <f t="shared" si="79"/>
        <v>0</v>
      </c>
      <c r="I96" s="67" t="b">
        <f t="shared" si="79"/>
        <v>0</v>
      </c>
      <c r="J96" s="67" t="b">
        <f t="shared" si="79"/>
        <v>0</v>
      </c>
      <c r="K96" s="67" t="b">
        <f t="shared" si="79"/>
        <v>0</v>
      </c>
      <c r="L96" s="67" t="b">
        <f t="shared" si="79"/>
        <v>0</v>
      </c>
      <c r="M96" s="111" t="b">
        <f t="shared" si="79"/>
        <v>0</v>
      </c>
      <c r="N96" s="111" t="b">
        <f t="shared" si="79"/>
        <v>0</v>
      </c>
      <c r="O96" s="111" t="b">
        <f t="shared" si="79"/>
        <v>0</v>
      </c>
      <c r="P96" s="111" t="b">
        <f t="shared" si="79"/>
        <v>0</v>
      </c>
      <c r="Q96" s="111" t="b">
        <f t="shared" si="79"/>
        <v>0</v>
      </c>
      <c r="R96" s="111" t="b">
        <f>IF(OR(R28&gt;6,AND(R11&lt;&gt;"",R12&lt;&gt;"")),TRUE,CHOOSE(R28+1,R40,R48,R56,R64,R72,R80,R88))</f>
        <v>0</v>
      </c>
      <c r="S96" s="111" t="b">
        <f>IF(OR(S28&gt;6,AND(S11&lt;&gt;"",S12&lt;&gt;"")),TRUE,CHOOSE(S28+1,S40,S48,S56,S64,S72,S80,S88))</f>
        <v>0</v>
      </c>
      <c r="T96" s="111" t="b">
        <f t="shared" si="79"/>
        <v>0</v>
      </c>
      <c r="U96" s="111" t="b">
        <f>IF(OR(U28&gt;6,AND(U11&lt;&gt;"",U12&lt;&gt;"")),TRUE,CHOOSE(U28+1,U40,U48,U56,U64,U72,U80,U88))</f>
        <v>0</v>
      </c>
      <c r="V96" s="111" t="b">
        <f>IF(OR(V28&gt;6,AND(V11&lt;&gt;"",V12&lt;&gt;"")),TRUE,CHOOSE(V28+1,V40,V48,V56,V64,V72,V80,V88))</f>
        <v>0</v>
      </c>
      <c r="W96" s="111" t="b">
        <f t="shared" si="79"/>
        <v>0</v>
      </c>
      <c r="Y96" s="61"/>
      <c r="Z96" s="61"/>
      <c r="AA96" s="61"/>
    </row>
    <row r="97" spans="2:27" s="59" customFormat="1" x14ac:dyDescent="0.2">
      <c r="B97" s="59" t="s">
        <v>47</v>
      </c>
      <c r="C97" s="59" t="s">
        <v>36</v>
      </c>
      <c r="E97" s="67" t="b">
        <f>IF(E28&gt;6,TRUE,CHOOSE(E28+1,E41,E49,E57,E65,E73,E81,E89))</f>
        <v>0</v>
      </c>
      <c r="F97" s="67" t="b">
        <f t="shared" ref="F97:W97" si="80">IF(F28&gt;6,TRUE,CHOOSE(F28+1,F41,F49,F57,F65,F73,F81,F89))</f>
        <v>0</v>
      </c>
      <c r="G97" s="67" t="b">
        <f t="shared" si="80"/>
        <v>0</v>
      </c>
      <c r="H97" s="67" t="b">
        <f t="shared" si="80"/>
        <v>0</v>
      </c>
      <c r="I97" s="67" t="b">
        <f t="shared" si="80"/>
        <v>0</v>
      </c>
      <c r="J97" s="67" t="b">
        <f t="shared" si="80"/>
        <v>0</v>
      </c>
      <c r="K97" s="67" t="b">
        <f t="shared" si="80"/>
        <v>0</v>
      </c>
      <c r="L97" s="67" t="b">
        <f t="shared" si="80"/>
        <v>0</v>
      </c>
      <c r="M97" s="111" t="b">
        <f t="shared" si="80"/>
        <v>0</v>
      </c>
      <c r="N97" s="111" t="b">
        <f t="shared" si="80"/>
        <v>0</v>
      </c>
      <c r="O97" s="111" t="b">
        <f t="shared" si="80"/>
        <v>0</v>
      </c>
      <c r="P97" s="111" t="b">
        <f t="shared" si="80"/>
        <v>0</v>
      </c>
      <c r="Q97" s="111" t="b">
        <f t="shared" si="80"/>
        <v>0</v>
      </c>
      <c r="R97" s="111" t="b">
        <f t="shared" si="80"/>
        <v>0</v>
      </c>
      <c r="S97" s="111" t="b">
        <f t="shared" si="80"/>
        <v>0</v>
      </c>
      <c r="T97" s="111" t="b">
        <f t="shared" si="80"/>
        <v>0</v>
      </c>
      <c r="U97" s="111" t="b">
        <f t="shared" si="80"/>
        <v>0</v>
      </c>
      <c r="V97" s="111" t="b">
        <f t="shared" si="80"/>
        <v>0</v>
      </c>
      <c r="W97" s="111" t="b">
        <f t="shared" si="80"/>
        <v>0</v>
      </c>
      <c r="Y97" s="61"/>
      <c r="Z97" s="61"/>
      <c r="AA97" s="61"/>
    </row>
    <row r="98" spans="2:27" s="59" customFormat="1" x14ac:dyDescent="0.2">
      <c r="B98" s="59" t="s">
        <v>36</v>
      </c>
      <c r="C98" s="59" t="s">
        <v>36</v>
      </c>
      <c r="E98" s="67" t="b">
        <f>IF(E28&gt;6,TRUE,CHOOSE(E28+1,E42,E50,E58,E66,E74,E82,E90))</f>
        <v>0</v>
      </c>
      <c r="F98" s="67" t="b">
        <f t="shared" ref="F98:W98" si="81">IF(F28&gt;6,TRUE,CHOOSE(F28+1,F42,F50,F58,F66,F74,F82,F90))</f>
        <v>0</v>
      </c>
      <c r="G98" s="67" t="b">
        <f t="shared" si="81"/>
        <v>0</v>
      </c>
      <c r="H98" s="67" t="b">
        <f t="shared" si="81"/>
        <v>0</v>
      </c>
      <c r="I98" s="67" t="b">
        <f t="shared" si="81"/>
        <v>0</v>
      </c>
      <c r="J98" s="67" t="b">
        <f t="shared" si="81"/>
        <v>0</v>
      </c>
      <c r="K98" s="67" t="b">
        <f t="shared" si="81"/>
        <v>0</v>
      </c>
      <c r="L98" s="67" t="b">
        <f t="shared" si="81"/>
        <v>0</v>
      </c>
      <c r="M98" s="111" t="b">
        <f t="shared" si="81"/>
        <v>0</v>
      </c>
      <c r="N98" s="111" t="b">
        <f t="shared" si="81"/>
        <v>0</v>
      </c>
      <c r="O98" s="111" t="b">
        <f t="shared" si="81"/>
        <v>0</v>
      </c>
      <c r="P98" s="111" t="b">
        <f t="shared" si="81"/>
        <v>0</v>
      </c>
      <c r="Q98" s="111" t="b">
        <f t="shared" si="81"/>
        <v>0</v>
      </c>
      <c r="R98" s="111" t="b">
        <f t="shared" si="81"/>
        <v>0</v>
      </c>
      <c r="S98" s="111" t="b">
        <f t="shared" si="81"/>
        <v>0</v>
      </c>
      <c r="T98" s="111" t="b">
        <f t="shared" si="81"/>
        <v>0</v>
      </c>
      <c r="U98" s="111" t="b">
        <f t="shared" si="81"/>
        <v>0</v>
      </c>
      <c r="V98" s="111" t="b">
        <f t="shared" si="81"/>
        <v>1</v>
      </c>
      <c r="W98" s="111" t="b">
        <f t="shared" si="81"/>
        <v>1</v>
      </c>
      <c r="Y98" s="61"/>
      <c r="Z98" s="61"/>
      <c r="AA98" s="61"/>
    </row>
    <row r="99" spans="2:27" s="59" customFormat="1" x14ac:dyDescent="0.2">
      <c r="Y99" s="61"/>
      <c r="Z99" s="61"/>
      <c r="AA99" s="61"/>
    </row>
    <row r="100" spans="2:27" s="59" customFormat="1" x14ac:dyDescent="0.2">
      <c r="B100" s="72" t="s">
        <v>114</v>
      </c>
      <c r="C100" s="65"/>
      <c r="Y100" s="61"/>
      <c r="Z100" s="61"/>
      <c r="AA100" s="61"/>
    </row>
    <row r="101" spans="2:27" s="59" customFormat="1" x14ac:dyDescent="0.2">
      <c r="C101" s="65"/>
      <c r="Y101" s="61"/>
      <c r="Z101" s="61"/>
      <c r="AA101" s="61"/>
    </row>
    <row r="102" spans="2:27" s="59" customFormat="1" x14ac:dyDescent="0.2">
      <c r="B102" s="73" t="s">
        <v>108</v>
      </c>
      <c r="C102" s="65" t="s">
        <v>0</v>
      </c>
      <c r="E102" s="59">
        <f>IF(AND(E$92&lt;&gt;"",E$94&lt;&gt;""),E$92,0)</f>
        <v>0</v>
      </c>
      <c r="F102" s="59">
        <f t="shared" ref="F102:W102" si="82">IF(AND(F$92&lt;&gt;"",F$94&lt;&gt;""),F$92,0)</f>
        <v>0</v>
      </c>
      <c r="G102" s="59">
        <f t="shared" si="82"/>
        <v>0</v>
      </c>
      <c r="H102" s="59">
        <f t="shared" si="82"/>
        <v>0</v>
      </c>
      <c r="I102" s="59">
        <f t="shared" si="82"/>
        <v>0</v>
      </c>
      <c r="J102" s="59">
        <f t="shared" si="82"/>
        <v>0</v>
      </c>
      <c r="K102" s="59">
        <f t="shared" si="82"/>
        <v>0</v>
      </c>
      <c r="L102" s="59">
        <f t="shared" si="82"/>
        <v>8</v>
      </c>
      <c r="M102" s="59">
        <f t="shared" si="82"/>
        <v>0</v>
      </c>
      <c r="N102" s="59">
        <f t="shared" si="82"/>
        <v>20</v>
      </c>
      <c r="O102" s="59">
        <f t="shared" si="82"/>
        <v>0</v>
      </c>
      <c r="P102" s="59">
        <f t="shared" si="82"/>
        <v>0</v>
      </c>
      <c r="Q102" s="59">
        <f t="shared" si="82"/>
        <v>0</v>
      </c>
      <c r="R102" s="59">
        <f t="shared" si="82"/>
        <v>20</v>
      </c>
      <c r="S102" s="59">
        <f t="shared" si="82"/>
        <v>0</v>
      </c>
      <c r="T102" s="59">
        <f t="shared" si="82"/>
        <v>0</v>
      </c>
      <c r="U102" s="59">
        <f t="shared" si="82"/>
        <v>0</v>
      </c>
      <c r="V102" s="59">
        <f t="shared" si="82"/>
        <v>0</v>
      </c>
      <c r="W102" s="59">
        <f t="shared" si="82"/>
        <v>0</v>
      </c>
      <c r="Y102" s="61"/>
      <c r="Z102" s="61"/>
      <c r="AA102" s="61"/>
    </row>
    <row r="103" spans="2:27" s="59" customFormat="1" x14ac:dyDescent="0.2">
      <c r="C103" s="65" t="s">
        <v>2</v>
      </c>
      <c r="E103" s="59">
        <f>IF(AND(E$92&lt;&gt;"",E$94&lt;&gt;""),E$94,0)</f>
        <v>0</v>
      </c>
      <c r="F103" s="59">
        <f t="shared" ref="F103:W103" si="83">IF(AND(F$92&lt;&gt;"",F$94&lt;&gt;""),F$94,0)</f>
        <v>0</v>
      </c>
      <c r="G103" s="59">
        <f t="shared" si="83"/>
        <v>0</v>
      </c>
      <c r="H103" s="59">
        <f t="shared" si="83"/>
        <v>0</v>
      </c>
      <c r="I103" s="59">
        <f t="shared" si="83"/>
        <v>0</v>
      </c>
      <c r="J103" s="59">
        <f t="shared" si="83"/>
        <v>0</v>
      </c>
      <c r="K103" s="59">
        <f t="shared" si="83"/>
        <v>0</v>
      </c>
      <c r="L103" s="59">
        <f t="shared" si="83"/>
        <v>5.4480985171597482E-2</v>
      </c>
      <c r="M103" s="59">
        <f t="shared" si="83"/>
        <v>0</v>
      </c>
      <c r="N103" s="59">
        <f t="shared" si="83"/>
        <v>5.4476262829484417E-4</v>
      </c>
      <c r="O103" s="59">
        <f t="shared" si="83"/>
        <v>0</v>
      </c>
      <c r="P103" s="59">
        <f t="shared" si="83"/>
        <v>0</v>
      </c>
      <c r="Q103" s="59">
        <f t="shared" si="83"/>
        <v>0</v>
      </c>
      <c r="R103" s="59">
        <f t="shared" si="83"/>
        <v>9.0684559843778378E-2</v>
      </c>
      <c r="S103" s="59">
        <f t="shared" si="83"/>
        <v>0</v>
      </c>
      <c r="T103" s="59">
        <f t="shared" si="83"/>
        <v>0</v>
      </c>
      <c r="U103" s="59">
        <f t="shared" si="83"/>
        <v>0</v>
      </c>
      <c r="V103" s="59">
        <f t="shared" si="83"/>
        <v>0</v>
      </c>
      <c r="W103" s="59">
        <f t="shared" si="83"/>
        <v>0</v>
      </c>
      <c r="Y103" s="61"/>
      <c r="Z103" s="61"/>
      <c r="AA103" s="61"/>
    </row>
    <row r="104" spans="2:27" s="59" customFormat="1" ht="25.5" x14ac:dyDescent="0.2">
      <c r="B104" s="64" t="s">
        <v>115</v>
      </c>
      <c r="C104" s="65" t="s">
        <v>31</v>
      </c>
      <c r="E104" s="74">
        <f>IF(E102&lt;-50,#N/A,IF(E102&lt;0,EXP((1738.4+28.74*E102)/(271+E102)),IF(E102&lt;=100,EXP((1500.3+23.5*E102)/(234+E102)),#N/A)))</f>
        <v>608.82962187913188</v>
      </c>
      <c r="F104" s="74">
        <f t="shared" ref="F104:W104" si="84">IF(F102&lt;-50,#N/A,IF(F102&lt;0,EXP((1738.4+28.74*F102)/(271+F102)),IF(F102&lt;=100,EXP((1500.3+23.5*F102)/(234+F102)),#N/A)))</f>
        <v>608.82962187913188</v>
      </c>
      <c r="G104" s="74">
        <f t="shared" si="84"/>
        <v>608.82962187913188</v>
      </c>
      <c r="H104" s="74">
        <f t="shared" si="84"/>
        <v>608.82962187913188</v>
      </c>
      <c r="I104" s="74">
        <f t="shared" si="84"/>
        <v>608.82962187913188</v>
      </c>
      <c r="J104" s="74">
        <f t="shared" si="84"/>
        <v>608.82962187913188</v>
      </c>
      <c r="K104" s="74">
        <f t="shared" si="84"/>
        <v>608.82962187913188</v>
      </c>
      <c r="L104" s="74">
        <f t="shared" si="84"/>
        <v>1071.1051886578423</v>
      </c>
      <c r="M104" s="70">
        <f t="shared" si="84"/>
        <v>608.82962187913188</v>
      </c>
      <c r="N104" s="70">
        <f t="shared" si="84"/>
        <v>2338.0829353370973</v>
      </c>
      <c r="O104" s="70">
        <f t="shared" si="84"/>
        <v>608.82962187913188</v>
      </c>
      <c r="P104" s="70">
        <f t="shared" si="84"/>
        <v>608.82962187913188</v>
      </c>
      <c r="Q104" s="70">
        <f t="shared" si="84"/>
        <v>608.82962187913188</v>
      </c>
      <c r="R104" s="70">
        <f t="shared" si="84"/>
        <v>2338.0829353370973</v>
      </c>
      <c r="S104" s="70">
        <f t="shared" si="84"/>
        <v>608.82962187913188</v>
      </c>
      <c r="T104" s="70">
        <f t="shared" si="84"/>
        <v>608.82962187913188</v>
      </c>
      <c r="U104" s="70">
        <f t="shared" si="84"/>
        <v>608.82962187913188</v>
      </c>
      <c r="V104" s="70">
        <f t="shared" si="84"/>
        <v>608.82962187913188</v>
      </c>
      <c r="W104" s="70">
        <f t="shared" si="84"/>
        <v>608.82962187913188</v>
      </c>
      <c r="Y104" s="61"/>
      <c r="Z104" s="61"/>
      <c r="AA104" s="61"/>
    </row>
    <row r="105" spans="2:27" s="59" customFormat="1" ht="25.5" x14ac:dyDescent="0.2">
      <c r="B105" s="64" t="s">
        <v>115</v>
      </c>
      <c r="C105" s="65" t="s">
        <v>2</v>
      </c>
      <c r="E105" s="59">
        <f>0.6222*MaxVlhkost*E104/(Tlak_vzduchu-MaxVlhkost*E104/1000)</f>
        <v>4.0346050561264439</v>
      </c>
      <c r="F105" s="59">
        <f t="shared" ref="F105:N105" si="85">0.6222*MaxVlhkost*F104/(Tlak_vzduchu-MaxVlhkost*F104/1000)</f>
        <v>4.0346050561264439</v>
      </c>
      <c r="G105" s="59">
        <f t="shared" si="85"/>
        <v>4.0346050561264439</v>
      </c>
      <c r="H105" s="59">
        <f t="shared" si="85"/>
        <v>4.0346050561264439</v>
      </c>
      <c r="I105" s="59">
        <f t="shared" si="85"/>
        <v>4.0346050561264439</v>
      </c>
      <c r="J105" s="59">
        <f t="shared" si="85"/>
        <v>4.0346050561264439</v>
      </c>
      <c r="K105" s="59">
        <f t="shared" si="85"/>
        <v>4.0346050561264439</v>
      </c>
      <c r="L105" s="59">
        <f t="shared" si="85"/>
        <v>7.1331428005076241</v>
      </c>
      <c r="M105" s="59">
        <f t="shared" si="85"/>
        <v>4.0346050561264439</v>
      </c>
      <c r="N105" s="59">
        <f t="shared" si="85"/>
        <v>15.784775845602827</v>
      </c>
      <c r="O105" s="59">
        <f t="shared" ref="O105:W105" si="86">0.6222*MaxVlhkost*O104/(Tlak_vzduchu-MaxVlhkost*O104/1000)</f>
        <v>4.0346050561264439</v>
      </c>
      <c r="P105" s="59">
        <f t="shared" si="86"/>
        <v>4.0346050561264439</v>
      </c>
      <c r="Q105" s="59">
        <f t="shared" si="86"/>
        <v>4.0346050561264439</v>
      </c>
      <c r="R105" s="59">
        <f t="shared" si="86"/>
        <v>15.784775845602827</v>
      </c>
      <c r="S105" s="59">
        <f t="shared" si="86"/>
        <v>4.0346050561264439</v>
      </c>
      <c r="T105" s="59">
        <f t="shared" si="86"/>
        <v>4.0346050561264439</v>
      </c>
      <c r="U105" s="59">
        <f t="shared" si="86"/>
        <v>4.0346050561264439</v>
      </c>
      <c r="V105" s="59">
        <f t="shared" si="86"/>
        <v>4.0346050561264439</v>
      </c>
      <c r="W105" s="59">
        <f t="shared" si="86"/>
        <v>4.0346050561264439</v>
      </c>
      <c r="Y105" s="61"/>
      <c r="Z105" s="61"/>
      <c r="AA105" s="61"/>
    </row>
    <row r="106" spans="2:27" s="59" customFormat="1" x14ac:dyDescent="0.2">
      <c r="B106" s="75" t="s">
        <v>70</v>
      </c>
      <c r="C106" s="65" t="s">
        <v>33</v>
      </c>
      <c r="E106" s="59">
        <f>E102</f>
        <v>0</v>
      </c>
      <c r="F106" s="59">
        <f t="shared" ref="F106:W106" si="87">F102</f>
        <v>0</v>
      </c>
      <c r="G106" s="59">
        <f t="shared" si="87"/>
        <v>0</v>
      </c>
      <c r="H106" s="59">
        <f t="shared" si="87"/>
        <v>0</v>
      </c>
      <c r="I106" s="59">
        <f t="shared" si="87"/>
        <v>0</v>
      </c>
      <c r="J106" s="59">
        <f t="shared" si="87"/>
        <v>0</v>
      </c>
      <c r="K106" s="59">
        <f t="shared" si="87"/>
        <v>0</v>
      </c>
      <c r="L106" s="59">
        <f t="shared" si="87"/>
        <v>8</v>
      </c>
      <c r="M106" s="59">
        <f t="shared" si="87"/>
        <v>0</v>
      </c>
      <c r="N106" s="59">
        <f t="shared" si="87"/>
        <v>20</v>
      </c>
      <c r="O106" s="59">
        <f t="shared" si="87"/>
        <v>0</v>
      </c>
      <c r="P106" s="59">
        <f t="shared" si="87"/>
        <v>0</v>
      </c>
      <c r="Q106" s="59">
        <f t="shared" si="87"/>
        <v>0</v>
      </c>
      <c r="R106" s="59">
        <f t="shared" si="87"/>
        <v>20</v>
      </c>
      <c r="S106" s="59">
        <f t="shared" si="87"/>
        <v>0</v>
      </c>
      <c r="T106" s="59">
        <f t="shared" si="87"/>
        <v>0</v>
      </c>
      <c r="U106" s="59">
        <f t="shared" si="87"/>
        <v>0</v>
      </c>
      <c r="V106" s="59">
        <f t="shared" si="87"/>
        <v>0</v>
      </c>
      <c r="W106" s="59">
        <f t="shared" si="87"/>
        <v>0</v>
      </c>
      <c r="Y106" s="61"/>
      <c r="Z106" s="61"/>
      <c r="AA106" s="61"/>
    </row>
    <row r="107" spans="2:27" s="59" customFormat="1" x14ac:dyDescent="0.2">
      <c r="C107" s="65" t="s">
        <v>34</v>
      </c>
      <c r="E107" s="59">
        <f>MIN(E103,E105)</f>
        <v>0</v>
      </c>
      <c r="F107" s="59">
        <f t="shared" ref="F107:W107" si="88">MIN(F103,F105)</f>
        <v>0</v>
      </c>
      <c r="G107" s="59">
        <f t="shared" si="88"/>
        <v>0</v>
      </c>
      <c r="H107" s="59">
        <f t="shared" si="88"/>
        <v>0</v>
      </c>
      <c r="I107" s="59">
        <f t="shared" si="88"/>
        <v>0</v>
      </c>
      <c r="J107" s="59">
        <f t="shared" si="88"/>
        <v>0</v>
      </c>
      <c r="K107" s="59">
        <f t="shared" si="88"/>
        <v>0</v>
      </c>
      <c r="L107" s="59">
        <f t="shared" si="88"/>
        <v>5.4480985171597482E-2</v>
      </c>
      <c r="M107" s="59">
        <f t="shared" si="88"/>
        <v>0</v>
      </c>
      <c r="N107" s="59">
        <f t="shared" si="88"/>
        <v>5.4476262829484417E-4</v>
      </c>
      <c r="O107" s="59">
        <f t="shared" si="88"/>
        <v>0</v>
      </c>
      <c r="P107" s="59">
        <f t="shared" si="88"/>
        <v>0</v>
      </c>
      <c r="Q107" s="59">
        <f t="shared" si="88"/>
        <v>0</v>
      </c>
      <c r="R107" s="59">
        <f t="shared" si="88"/>
        <v>9.0684559843778378E-2</v>
      </c>
      <c r="S107" s="59">
        <f t="shared" si="88"/>
        <v>0</v>
      </c>
      <c r="T107" s="59">
        <f t="shared" si="88"/>
        <v>0</v>
      </c>
      <c r="U107" s="59">
        <f t="shared" si="88"/>
        <v>0</v>
      </c>
      <c r="V107" s="59">
        <f t="shared" si="88"/>
        <v>0</v>
      </c>
      <c r="W107" s="59">
        <f t="shared" si="88"/>
        <v>0</v>
      </c>
      <c r="Y107" s="61"/>
      <c r="Z107" s="61"/>
      <c r="AA107" s="61"/>
    </row>
    <row r="108" spans="2:27" s="59" customFormat="1" x14ac:dyDescent="0.2">
      <c r="C108" s="65"/>
      <c r="Y108" s="61"/>
      <c r="Z108" s="61"/>
      <c r="AA108" s="61"/>
    </row>
    <row r="109" spans="2:27" s="59" customFormat="1" x14ac:dyDescent="0.2">
      <c r="B109" s="73" t="s">
        <v>109</v>
      </c>
      <c r="C109" s="65" t="s">
        <v>0</v>
      </c>
      <c r="E109" s="59">
        <f>IF(AND(E$92&lt;&gt;"",E$95&lt;&gt;""),E$92,0)</f>
        <v>0</v>
      </c>
      <c r="F109" s="59">
        <f t="shared" ref="F109:W109" si="89">IF(AND(F$92&lt;&gt;"",F$95&lt;&gt;""),F$92,0)</f>
        <v>0</v>
      </c>
      <c r="G109" s="59">
        <f t="shared" si="89"/>
        <v>0</v>
      </c>
      <c r="H109" s="59">
        <f t="shared" si="89"/>
        <v>0</v>
      </c>
      <c r="I109" s="59">
        <f t="shared" si="89"/>
        <v>0</v>
      </c>
      <c r="J109" s="59">
        <f t="shared" si="89"/>
        <v>0</v>
      </c>
      <c r="K109" s="59">
        <f t="shared" si="89"/>
        <v>0</v>
      </c>
      <c r="L109" s="59">
        <f t="shared" si="89"/>
        <v>0</v>
      </c>
      <c r="M109" s="59">
        <f t="shared" si="89"/>
        <v>0</v>
      </c>
      <c r="N109" s="59">
        <f t="shared" si="89"/>
        <v>0</v>
      </c>
      <c r="O109" s="59">
        <f t="shared" si="89"/>
        <v>0</v>
      </c>
      <c r="P109" s="59">
        <f t="shared" si="89"/>
        <v>16</v>
      </c>
      <c r="Q109" s="59">
        <f t="shared" si="89"/>
        <v>0</v>
      </c>
      <c r="R109" s="59">
        <f t="shared" si="89"/>
        <v>0</v>
      </c>
      <c r="S109" s="59">
        <f t="shared" si="89"/>
        <v>0</v>
      </c>
      <c r="T109" s="59">
        <f t="shared" si="89"/>
        <v>0</v>
      </c>
      <c r="U109" s="59">
        <f t="shared" si="89"/>
        <v>0</v>
      </c>
      <c r="V109" s="59">
        <f t="shared" si="89"/>
        <v>0</v>
      </c>
      <c r="W109" s="59">
        <f t="shared" si="89"/>
        <v>0</v>
      </c>
      <c r="Y109" s="61"/>
      <c r="Z109" s="61"/>
      <c r="AA109" s="61"/>
    </row>
    <row r="110" spans="2:27" s="59" customFormat="1" x14ac:dyDescent="0.2">
      <c r="C110" s="65" t="s">
        <v>3</v>
      </c>
      <c r="E110" s="59">
        <f>IF(AND(E$92&lt;&gt;"",E$95&lt;&gt;""),E$95,0)</f>
        <v>0</v>
      </c>
      <c r="F110" s="59">
        <f t="shared" ref="F110:W110" si="90">IF(AND(F$92&lt;&gt;"",F$95&lt;&gt;""),F$95,0)</f>
        <v>0</v>
      </c>
      <c r="G110" s="59">
        <f t="shared" si="90"/>
        <v>0</v>
      </c>
      <c r="H110" s="59">
        <f t="shared" si="90"/>
        <v>0</v>
      </c>
      <c r="I110" s="59">
        <f t="shared" si="90"/>
        <v>0</v>
      </c>
      <c r="J110" s="59">
        <f t="shared" si="90"/>
        <v>0</v>
      </c>
      <c r="K110" s="59">
        <f t="shared" si="90"/>
        <v>0</v>
      </c>
      <c r="L110" s="59">
        <f t="shared" si="90"/>
        <v>0</v>
      </c>
      <c r="M110" s="59">
        <f t="shared" si="90"/>
        <v>0</v>
      </c>
      <c r="N110" s="59">
        <f t="shared" si="90"/>
        <v>0</v>
      </c>
      <c r="O110" s="59">
        <f t="shared" si="90"/>
        <v>0</v>
      </c>
      <c r="P110" s="59">
        <f t="shared" si="90"/>
        <v>39.446082331350226</v>
      </c>
      <c r="Q110" s="59">
        <f t="shared" si="90"/>
        <v>0</v>
      </c>
      <c r="R110" s="59">
        <f t="shared" si="90"/>
        <v>0</v>
      </c>
      <c r="S110" s="59">
        <f t="shared" si="90"/>
        <v>0</v>
      </c>
      <c r="T110" s="59">
        <f t="shared" si="90"/>
        <v>0</v>
      </c>
      <c r="U110" s="59">
        <f t="shared" si="90"/>
        <v>0</v>
      </c>
      <c r="V110" s="59">
        <f t="shared" si="90"/>
        <v>0</v>
      </c>
      <c r="W110" s="59">
        <f t="shared" si="90"/>
        <v>0</v>
      </c>
      <c r="Y110" s="61"/>
      <c r="Z110" s="61"/>
      <c r="AA110" s="61"/>
    </row>
    <row r="111" spans="2:27" s="59" customFormat="1" ht="25.5" x14ac:dyDescent="0.2">
      <c r="B111" s="64" t="s">
        <v>115</v>
      </c>
      <c r="C111" s="65" t="s">
        <v>31</v>
      </c>
      <c r="E111" s="74">
        <f>IF(E109&lt;-50,#N/A,IF(E109&lt;0,EXP((1738.4+28.74*E109)/(271+E109)),IF(E109&lt;=100,EXP((1500.3+23.5*E109)/(234+E109)),#N/A)))</f>
        <v>608.82962187913188</v>
      </c>
      <c r="F111" s="74">
        <f t="shared" ref="F111:W111" si="91">IF(F109&lt;-50,#N/A,IF(F109&lt;0,EXP((1738.4+28.74*F109)/(271+F109)),IF(F109&lt;=100,EXP((1500.3+23.5*F109)/(234+F109)),#N/A)))</f>
        <v>608.82962187913188</v>
      </c>
      <c r="G111" s="74">
        <f t="shared" si="91"/>
        <v>608.82962187913188</v>
      </c>
      <c r="H111" s="74">
        <f t="shared" si="91"/>
        <v>608.82962187913188</v>
      </c>
      <c r="I111" s="74">
        <f t="shared" si="91"/>
        <v>608.82962187913188</v>
      </c>
      <c r="J111" s="74">
        <f t="shared" si="91"/>
        <v>608.82962187913188</v>
      </c>
      <c r="K111" s="74">
        <f t="shared" si="91"/>
        <v>608.82962187913188</v>
      </c>
      <c r="L111" s="74">
        <f t="shared" si="91"/>
        <v>608.82962187913188</v>
      </c>
      <c r="M111" s="70">
        <f t="shared" si="91"/>
        <v>608.82962187913188</v>
      </c>
      <c r="N111" s="70">
        <f t="shared" si="91"/>
        <v>608.82962187913188</v>
      </c>
      <c r="O111" s="70">
        <f t="shared" si="91"/>
        <v>608.82962187913188</v>
      </c>
      <c r="P111" s="70">
        <f t="shared" si="91"/>
        <v>1817.4687221706879</v>
      </c>
      <c r="Q111" s="70">
        <f t="shared" si="91"/>
        <v>608.82962187913188</v>
      </c>
      <c r="R111" s="70">
        <f t="shared" si="91"/>
        <v>608.82962187913188</v>
      </c>
      <c r="S111" s="70">
        <f t="shared" si="91"/>
        <v>608.82962187913188</v>
      </c>
      <c r="T111" s="70">
        <f t="shared" si="91"/>
        <v>608.82962187913188</v>
      </c>
      <c r="U111" s="70">
        <f t="shared" si="91"/>
        <v>608.82962187913188</v>
      </c>
      <c r="V111" s="70">
        <f t="shared" si="91"/>
        <v>608.82962187913188</v>
      </c>
      <c r="W111" s="70">
        <f t="shared" si="91"/>
        <v>608.82962187913188</v>
      </c>
      <c r="Y111" s="61"/>
      <c r="Z111" s="61"/>
      <c r="AA111" s="61"/>
    </row>
    <row r="112" spans="2:27" s="59" customFormat="1" ht="25.5" x14ac:dyDescent="0.2">
      <c r="B112" s="64" t="s">
        <v>115</v>
      </c>
      <c r="C112" s="65" t="s">
        <v>2</v>
      </c>
      <c r="E112" s="59">
        <f>0.6222*MaxVlhkost*E111/(Tlak_vzduchu-MaxVlhkost*E111/1000)</f>
        <v>4.0346050561264439</v>
      </c>
      <c r="F112" s="59">
        <f t="shared" ref="F112:N112" si="92">0.6222*MaxVlhkost*F111/(Tlak_vzduchu-MaxVlhkost*F111/1000)</f>
        <v>4.0346050561264439</v>
      </c>
      <c r="G112" s="59">
        <f t="shared" si="92"/>
        <v>4.0346050561264439</v>
      </c>
      <c r="H112" s="59">
        <f t="shared" si="92"/>
        <v>4.0346050561264439</v>
      </c>
      <c r="I112" s="59">
        <f t="shared" si="92"/>
        <v>4.0346050561264439</v>
      </c>
      <c r="J112" s="59">
        <f t="shared" si="92"/>
        <v>4.0346050561264439</v>
      </c>
      <c r="K112" s="59">
        <f t="shared" si="92"/>
        <v>4.0346050561264439</v>
      </c>
      <c r="L112" s="59">
        <f t="shared" si="92"/>
        <v>4.0346050561264439</v>
      </c>
      <c r="M112" s="59">
        <f t="shared" si="92"/>
        <v>4.0346050561264439</v>
      </c>
      <c r="N112" s="59">
        <f t="shared" si="92"/>
        <v>4.0346050561264439</v>
      </c>
      <c r="O112" s="59">
        <f t="shared" ref="O112:W112" si="93">0.6222*MaxVlhkost*O111/(Tlak_vzduchu-MaxVlhkost*O111/1000)</f>
        <v>4.0346050561264439</v>
      </c>
      <c r="P112" s="59">
        <f t="shared" si="93"/>
        <v>12.20110222869052</v>
      </c>
      <c r="Q112" s="59">
        <f t="shared" si="93"/>
        <v>4.0346050561264439</v>
      </c>
      <c r="R112" s="59">
        <f t="shared" si="93"/>
        <v>4.0346050561264439</v>
      </c>
      <c r="S112" s="59">
        <f t="shared" si="93"/>
        <v>4.0346050561264439</v>
      </c>
      <c r="T112" s="59">
        <f t="shared" si="93"/>
        <v>4.0346050561264439</v>
      </c>
      <c r="U112" s="59">
        <f t="shared" si="93"/>
        <v>4.0346050561264439</v>
      </c>
      <c r="V112" s="59">
        <f t="shared" si="93"/>
        <v>4.0346050561264439</v>
      </c>
      <c r="W112" s="59">
        <f t="shared" si="93"/>
        <v>4.0346050561264439</v>
      </c>
      <c r="Y112" s="61"/>
      <c r="Z112" s="61"/>
      <c r="AA112" s="61"/>
    </row>
    <row r="113" spans="2:27" s="59" customFormat="1" ht="38.25" x14ac:dyDescent="0.2">
      <c r="B113" s="64" t="s">
        <v>117</v>
      </c>
      <c r="C113" s="65" t="s">
        <v>2</v>
      </c>
      <c r="E113" s="59">
        <f>(E110-1.01*E109)/(2501+1.86*E109)*1000</f>
        <v>0</v>
      </c>
      <c r="F113" s="59">
        <f t="shared" ref="F113:W113" si="94">(F110-1.01*F109)/(2501+1.86*F109)*1000</f>
        <v>0</v>
      </c>
      <c r="G113" s="59">
        <f t="shared" si="94"/>
        <v>0</v>
      </c>
      <c r="H113" s="59">
        <f t="shared" si="94"/>
        <v>0</v>
      </c>
      <c r="I113" s="59">
        <f t="shared" si="94"/>
        <v>0</v>
      </c>
      <c r="J113" s="59">
        <f t="shared" si="94"/>
        <v>0</v>
      </c>
      <c r="K113" s="59">
        <f t="shared" si="94"/>
        <v>0</v>
      </c>
      <c r="L113" s="59">
        <f t="shared" si="94"/>
        <v>0</v>
      </c>
      <c r="M113" s="59">
        <f t="shared" si="94"/>
        <v>0</v>
      </c>
      <c r="N113" s="59">
        <f t="shared" si="94"/>
        <v>0</v>
      </c>
      <c r="O113" s="59">
        <f t="shared" si="94"/>
        <v>0</v>
      </c>
      <c r="P113" s="59">
        <f t="shared" si="94"/>
        <v>9.2012211080269264</v>
      </c>
      <c r="Q113" s="59">
        <f t="shared" si="94"/>
        <v>0</v>
      </c>
      <c r="R113" s="59">
        <f t="shared" si="94"/>
        <v>0</v>
      </c>
      <c r="S113" s="59">
        <f t="shared" si="94"/>
        <v>0</v>
      </c>
      <c r="T113" s="59">
        <f t="shared" si="94"/>
        <v>0</v>
      </c>
      <c r="U113" s="59">
        <f t="shared" si="94"/>
        <v>0</v>
      </c>
      <c r="V113" s="59">
        <f t="shared" si="94"/>
        <v>0</v>
      </c>
      <c r="W113" s="59">
        <f t="shared" si="94"/>
        <v>0</v>
      </c>
      <c r="Y113" s="61"/>
      <c r="Z113" s="61"/>
      <c r="AA113" s="61"/>
    </row>
    <row r="114" spans="2:27" s="59" customFormat="1" x14ac:dyDescent="0.2">
      <c r="B114" s="76" t="s">
        <v>70</v>
      </c>
      <c r="C114" s="65" t="s">
        <v>33</v>
      </c>
      <c r="E114" s="59">
        <f>E109</f>
        <v>0</v>
      </c>
      <c r="F114" s="59">
        <f t="shared" ref="F114:W114" si="95">F109</f>
        <v>0</v>
      </c>
      <c r="G114" s="59">
        <f t="shared" si="95"/>
        <v>0</v>
      </c>
      <c r="H114" s="59">
        <f t="shared" si="95"/>
        <v>0</v>
      </c>
      <c r="I114" s="59">
        <f t="shared" si="95"/>
        <v>0</v>
      </c>
      <c r="J114" s="59">
        <f t="shared" si="95"/>
        <v>0</v>
      </c>
      <c r="K114" s="59">
        <f t="shared" si="95"/>
        <v>0</v>
      </c>
      <c r="L114" s="59">
        <f t="shared" si="95"/>
        <v>0</v>
      </c>
      <c r="M114" s="59">
        <f t="shared" si="95"/>
        <v>0</v>
      </c>
      <c r="N114" s="59">
        <f t="shared" si="95"/>
        <v>0</v>
      </c>
      <c r="O114" s="59">
        <f t="shared" si="95"/>
        <v>0</v>
      </c>
      <c r="P114" s="59">
        <f t="shared" si="95"/>
        <v>16</v>
      </c>
      <c r="Q114" s="59">
        <f t="shared" si="95"/>
        <v>0</v>
      </c>
      <c r="R114" s="59">
        <f t="shared" si="95"/>
        <v>0</v>
      </c>
      <c r="S114" s="59">
        <f t="shared" si="95"/>
        <v>0</v>
      </c>
      <c r="T114" s="59">
        <f t="shared" si="95"/>
        <v>0</v>
      </c>
      <c r="U114" s="59">
        <f t="shared" si="95"/>
        <v>0</v>
      </c>
      <c r="V114" s="59">
        <f t="shared" si="95"/>
        <v>0</v>
      </c>
      <c r="W114" s="59">
        <f t="shared" si="95"/>
        <v>0</v>
      </c>
      <c r="Y114" s="61"/>
      <c r="Z114" s="61"/>
      <c r="AA114" s="61"/>
    </row>
    <row r="115" spans="2:27" s="59" customFormat="1" x14ac:dyDescent="0.2">
      <c r="C115" s="65" t="s">
        <v>34</v>
      </c>
      <c r="E115" s="59">
        <f>MIN(E112,E113)</f>
        <v>0</v>
      </c>
      <c r="F115" s="59">
        <f t="shared" ref="F115:W115" si="96">MIN(F112,F113)</f>
        <v>0</v>
      </c>
      <c r="G115" s="59">
        <f t="shared" si="96"/>
        <v>0</v>
      </c>
      <c r="H115" s="59">
        <f t="shared" si="96"/>
        <v>0</v>
      </c>
      <c r="I115" s="59">
        <f t="shared" si="96"/>
        <v>0</v>
      </c>
      <c r="J115" s="59">
        <f t="shared" si="96"/>
        <v>0</v>
      </c>
      <c r="K115" s="59">
        <f t="shared" si="96"/>
        <v>0</v>
      </c>
      <c r="L115" s="59">
        <f t="shared" si="96"/>
        <v>0</v>
      </c>
      <c r="M115" s="59">
        <f t="shared" si="96"/>
        <v>0</v>
      </c>
      <c r="N115" s="59">
        <f t="shared" si="96"/>
        <v>0</v>
      </c>
      <c r="O115" s="59">
        <f t="shared" si="96"/>
        <v>0</v>
      </c>
      <c r="P115" s="59">
        <f t="shared" si="96"/>
        <v>9.2012211080269264</v>
      </c>
      <c r="Q115" s="59">
        <f t="shared" si="96"/>
        <v>0</v>
      </c>
      <c r="R115" s="59">
        <f t="shared" si="96"/>
        <v>0</v>
      </c>
      <c r="S115" s="59">
        <f t="shared" si="96"/>
        <v>0</v>
      </c>
      <c r="T115" s="59">
        <f t="shared" si="96"/>
        <v>0</v>
      </c>
      <c r="U115" s="59">
        <f t="shared" si="96"/>
        <v>0</v>
      </c>
      <c r="V115" s="59">
        <f t="shared" si="96"/>
        <v>0</v>
      </c>
      <c r="W115" s="59">
        <f t="shared" si="96"/>
        <v>0</v>
      </c>
      <c r="Y115" s="61"/>
      <c r="Z115" s="61"/>
      <c r="AA115" s="61"/>
    </row>
    <row r="116" spans="2:27" s="59" customFormat="1" x14ac:dyDescent="0.2">
      <c r="C116" s="65"/>
      <c r="Y116" s="61"/>
      <c r="Z116" s="61"/>
      <c r="AA116" s="61"/>
    </row>
    <row r="117" spans="2:27" s="59" customFormat="1" x14ac:dyDescent="0.2">
      <c r="B117" s="73" t="s">
        <v>110</v>
      </c>
      <c r="C117" s="65" t="s">
        <v>0</v>
      </c>
      <c r="E117" s="59">
        <f>IF(AND(E$92&lt;&gt;"",E$93&lt;&gt;""),E$92,0)</f>
        <v>-25</v>
      </c>
      <c r="F117" s="59">
        <f t="shared" ref="F117:W117" si="97">IF(AND(F$92&lt;&gt;"",F$93&lt;&gt;""),F$92,0)</f>
        <v>-25</v>
      </c>
      <c r="G117" s="59">
        <f t="shared" si="97"/>
        <v>-25</v>
      </c>
      <c r="H117" s="59">
        <f t="shared" si="97"/>
        <v>-25</v>
      </c>
      <c r="I117" s="59">
        <f t="shared" si="97"/>
        <v>20</v>
      </c>
      <c r="J117" s="59">
        <f t="shared" si="97"/>
        <v>0</v>
      </c>
      <c r="K117" s="59">
        <f t="shared" si="97"/>
        <v>4.277020603210544</v>
      </c>
      <c r="L117" s="59">
        <f t="shared" si="97"/>
        <v>0</v>
      </c>
      <c r="M117" s="59">
        <f t="shared" si="97"/>
        <v>8</v>
      </c>
      <c r="N117" s="59">
        <f t="shared" si="97"/>
        <v>0</v>
      </c>
      <c r="O117" s="59">
        <f t="shared" si="97"/>
        <v>35</v>
      </c>
      <c r="P117" s="59">
        <f t="shared" si="97"/>
        <v>0</v>
      </c>
      <c r="Q117" s="59">
        <f t="shared" si="97"/>
        <v>16</v>
      </c>
      <c r="R117" s="59">
        <f t="shared" si="97"/>
        <v>0</v>
      </c>
      <c r="S117" s="59">
        <f t="shared" si="97"/>
        <v>20</v>
      </c>
      <c r="T117" s="59">
        <f t="shared" si="97"/>
        <v>20</v>
      </c>
      <c r="U117" s="59">
        <f t="shared" si="97"/>
        <v>20</v>
      </c>
      <c r="V117" s="59">
        <f t="shared" si="97"/>
        <v>0</v>
      </c>
      <c r="W117" s="59">
        <f t="shared" si="97"/>
        <v>0</v>
      </c>
      <c r="Y117" s="61"/>
      <c r="Z117" s="61"/>
      <c r="AA117" s="61"/>
    </row>
    <row r="118" spans="2:27" s="59" customFormat="1" ht="12" customHeight="1" x14ac:dyDescent="0.2">
      <c r="C118" s="65" t="s">
        <v>32</v>
      </c>
      <c r="E118" s="59">
        <f>IF(AND(E$92&lt;&gt;"",E$93&lt;&gt;""),MIN(E$93,MaxVlhkost),0)</f>
        <v>0.2</v>
      </c>
      <c r="F118" s="59">
        <f t="shared" ref="F118:W118" si="98">IF(AND(F$92&lt;&gt;"",F$93&lt;&gt;""),MIN(F$93,MaxVlhkost),0)</f>
        <v>0.2</v>
      </c>
      <c r="G118" s="59">
        <f t="shared" si="98"/>
        <v>0.2</v>
      </c>
      <c r="H118" s="59">
        <f t="shared" si="98"/>
        <v>0.2</v>
      </c>
      <c r="I118" s="59">
        <f t="shared" si="98"/>
        <v>0.6</v>
      </c>
      <c r="J118" s="59">
        <f t="shared" si="98"/>
        <v>0</v>
      </c>
      <c r="K118" s="59">
        <f t="shared" si="98"/>
        <v>0.01</v>
      </c>
      <c r="L118" s="59">
        <f t="shared" si="98"/>
        <v>0</v>
      </c>
      <c r="M118" s="59">
        <f t="shared" si="98"/>
        <v>7.7246107631210339E-5</v>
      </c>
      <c r="N118" s="59">
        <f t="shared" si="98"/>
        <v>0</v>
      </c>
      <c r="O118" s="59">
        <f t="shared" si="98"/>
        <v>0.4</v>
      </c>
      <c r="P118" s="59">
        <f t="shared" si="98"/>
        <v>0</v>
      </c>
      <c r="Q118" s="59">
        <f t="shared" si="98"/>
        <v>7.5771330367416147E-3</v>
      </c>
      <c r="R118" s="59">
        <f t="shared" si="98"/>
        <v>0</v>
      </c>
      <c r="S118" s="59">
        <f t="shared" si="98"/>
        <v>5.889954581965501E-5</v>
      </c>
      <c r="T118" s="59">
        <f t="shared" si="98"/>
        <v>5.8899545819655011E-7</v>
      </c>
      <c r="U118" s="59">
        <f t="shared" si="98"/>
        <v>5.889954581965502E-9</v>
      </c>
      <c r="V118" s="59">
        <f t="shared" si="98"/>
        <v>0</v>
      </c>
      <c r="W118" s="59">
        <f t="shared" si="98"/>
        <v>0</v>
      </c>
      <c r="Y118" s="61"/>
      <c r="Z118" s="61"/>
      <c r="AA118" s="61"/>
    </row>
    <row r="119" spans="2:27" s="59" customFormat="1" ht="12" customHeight="1" x14ac:dyDescent="0.2">
      <c r="C119" s="65" t="s">
        <v>31</v>
      </c>
      <c r="E119" s="74">
        <f>IF(E117&lt;-50,#N/A,IF(E117&lt;0,EXP((1738.4+28.74*E117)/(271+E117)),IF(E117&lt;=100,EXP((1500.3+23.5*E117)/(234+E117)),#N/A)))</f>
        <v>63.176661908168398</v>
      </c>
      <c r="F119" s="74">
        <f t="shared" ref="F119:W119" si="99">IF(F117&lt;-50,#N/A,IF(F117&lt;0,EXP((1738.4+28.74*F117)/(271+F117)),IF(F117&lt;=100,EXP((1500.3+23.5*F117)/(234+F117)),#N/A)))</f>
        <v>63.176661908168398</v>
      </c>
      <c r="G119" s="74">
        <f t="shared" si="99"/>
        <v>63.176661908168398</v>
      </c>
      <c r="H119" s="74">
        <f t="shared" si="99"/>
        <v>63.176661908168398</v>
      </c>
      <c r="I119" s="74">
        <f t="shared" si="99"/>
        <v>2338.0829353370973</v>
      </c>
      <c r="J119" s="74">
        <f t="shared" si="99"/>
        <v>608.82962187913188</v>
      </c>
      <c r="K119" s="74">
        <f t="shared" si="99"/>
        <v>827.38706687411548</v>
      </c>
      <c r="L119" s="74">
        <f t="shared" si="99"/>
        <v>608.82962187913188</v>
      </c>
      <c r="M119" s="70">
        <f t="shared" si="99"/>
        <v>1071.1051886578423</v>
      </c>
      <c r="N119" s="70">
        <f t="shared" si="99"/>
        <v>608.82962187913188</v>
      </c>
      <c r="O119" s="70">
        <f t="shared" si="99"/>
        <v>5624.8200638844883</v>
      </c>
      <c r="P119" s="70">
        <f t="shared" si="99"/>
        <v>608.82962187913188</v>
      </c>
      <c r="Q119" s="70">
        <f t="shared" si="99"/>
        <v>1817.4687221706879</v>
      </c>
      <c r="R119" s="70">
        <f t="shared" si="99"/>
        <v>608.82962187913188</v>
      </c>
      <c r="S119" s="70">
        <f t="shared" si="99"/>
        <v>2338.0829353370973</v>
      </c>
      <c r="T119" s="70">
        <f t="shared" si="99"/>
        <v>2338.0829353370973</v>
      </c>
      <c r="U119" s="70">
        <f t="shared" si="99"/>
        <v>2338.0829353370973</v>
      </c>
      <c r="V119" s="70">
        <f t="shared" si="99"/>
        <v>608.82962187913188</v>
      </c>
      <c r="W119" s="70">
        <f t="shared" si="99"/>
        <v>608.82962187913188</v>
      </c>
      <c r="Y119" s="61"/>
      <c r="Z119" s="61"/>
      <c r="AA119" s="61"/>
    </row>
    <row r="120" spans="2:27" s="59" customFormat="1" ht="12" customHeight="1" x14ac:dyDescent="0.2">
      <c r="B120" s="76" t="s">
        <v>70</v>
      </c>
      <c r="C120" s="65" t="s">
        <v>33</v>
      </c>
      <c r="E120" s="74">
        <f>E117</f>
        <v>-25</v>
      </c>
      <c r="F120" s="74">
        <f t="shared" ref="F120:W120" si="100">F117</f>
        <v>-25</v>
      </c>
      <c r="G120" s="74">
        <f t="shared" si="100"/>
        <v>-25</v>
      </c>
      <c r="H120" s="74">
        <f t="shared" si="100"/>
        <v>-25</v>
      </c>
      <c r="I120" s="74">
        <f t="shared" si="100"/>
        <v>20</v>
      </c>
      <c r="J120" s="74">
        <f t="shared" si="100"/>
        <v>0</v>
      </c>
      <c r="K120" s="74">
        <f t="shared" si="100"/>
        <v>4.277020603210544</v>
      </c>
      <c r="L120" s="74">
        <f t="shared" si="100"/>
        <v>0</v>
      </c>
      <c r="M120" s="70">
        <f t="shared" si="100"/>
        <v>8</v>
      </c>
      <c r="N120" s="70">
        <f t="shared" si="100"/>
        <v>0</v>
      </c>
      <c r="O120" s="70">
        <f t="shared" si="100"/>
        <v>35</v>
      </c>
      <c r="P120" s="70">
        <f t="shared" si="100"/>
        <v>0</v>
      </c>
      <c r="Q120" s="70">
        <f t="shared" si="100"/>
        <v>16</v>
      </c>
      <c r="R120" s="70">
        <f t="shared" si="100"/>
        <v>0</v>
      </c>
      <c r="S120" s="70">
        <f t="shared" si="100"/>
        <v>20</v>
      </c>
      <c r="T120" s="70">
        <f t="shared" si="100"/>
        <v>20</v>
      </c>
      <c r="U120" s="70">
        <f t="shared" si="100"/>
        <v>20</v>
      </c>
      <c r="V120" s="70">
        <f t="shared" si="100"/>
        <v>0</v>
      </c>
      <c r="W120" s="70">
        <f t="shared" si="100"/>
        <v>0</v>
      </c>
      <c r="Y120" s="61"/>
      <c r="Z120" s="61"/>
      <c r="AA120" s="61"/>
    </row>
    <row r="121" spans="2:27" s="59" customFormat="1" ht="12" customHeight="1" x14ac:dyDescent="0.2">
      <c r="C121" s="65" t="s">
        <v>34</v>
      </c>
      <c r="E121" s="59">
        <f>0.6222*E118*E119/(Tlak_vzduchu-E118*E119/1000)</f>
        <v>8.3203757830561539E-2</v>
      </c>
      <c r="F121" s="59">
        <f t="shared" ref="F121:N121" si="101">0.6222*F118*F119/(Tlak_vzduchu-F118*F119/1000)</f>
        <v>8.3203757830561539E-2</v>
      </c>
      <c r="G121" s="59">
        <f t="shared" si="101"/>
        <v>8.3203757830561539E-2</v>
      </c>
      <c r="H121" s="59">
        <f t="shared" si="101"/>
        <v>8.3203757830561539E-2</v>
      </c>
      <c r="I121" s="59">
        <f t="shared" si="101"/>
        <v>9.3757233081908904</v>
      </c>
      <c r="J121" s="59">
        <f t="shared" si="101"/>
        <v>0</v>
      </c>
      <c r="K121" s="59">
        <f t="shared" si="101"/>
        <v>5.4480985171597482E-2</v>
      </c>
      <c r="L121" s="59">
        <f t="shared" si="101"/>
        <v>0</v>
      </c>
      <c r="M121" s="59">
        <f t="shared" si="101"/>
        <v>5.4476262829484417E-4</v>
      </c>
      <c r="N121" s="59">
        <f t="shared" si="101"/>
        <v>0</v>
      </c>
      <c r="O121" s="59">
        <f t="shared" ref="O121:W121" si="102">0.6222*O118*O119/(Tlak_vzduchu-O118*O119/1000)</f>
        <v>15.17511246915182</v>
      </c>
      <c r="P121" s="59">
        <f t="shared" si="102"/>
        <v>0</v>
      </c>
      <c r="Q121" s="59">
        <f t="shared" si="102"/>
        <v>9.0684559843778378E-2</v>
      </c>
      <c r="R121" s="59">
        <f t="shared" si="102"/>
        <v>0</v>
      </c>
      <c r="S121" s="59">
        <f t="shared" si="102"/>
        <v>9.0671476786990859E-4</v>
      </c>
      <c r="T121" s="59">
        <f t="shared" si="102"/>
        <v>9.0671345975486622E-6</v>
      </c>
      <c r="U121" s="59">
        <f t="shared" si="102"/>
        <v>9.0671344667373509E-8</v>
      </c>
      <c r="V121" s="59">
        <f t="shared" si="102"/>
        <v>0</v>
      </c>
      <c r="W121" s="59">
        <f t="shared" si="102"/>
        <v>0</v>
      </c>
      <c r="Y121" s="61"/>
      <c r="Z121" s="61"/>
      <c r="AA121" s="61"/>
    </row>
    <row r="122" spans="2:27" s="59" customFormat="1" x14ac:dyDescent="0.2">
      <c r="C122" s="65"/>
      <c r="Y122" s="61"/>
      <c r="Z122" s="61"/>
      <c r="AA122" s="61"/>
    </row>
    <row r="123" spans="2:27" s="59" customFormat="1" x14ac:dyDescent="0.2">
      <c r="B123" s="73" t="s">
        <v>111</v>
      </c>
      <c r="C123" s="65" t="s">
        <v>3</v>
      </c>
      <c r="E123" s="59">
        <f>IF(AND(E$94&lt;&gt;"",E$95&lt;&gt;""),E$95,0)</f>
        <v>0</v>
      </c>
      <c r="F123" s="59">
        <f t="shared" ref="F123:W123" si="103">IF(AND(F$94&lt;&gt;"",F$95&lt;&gt;""),F$95,0)</f>
        <v>0</v>
      </c>
      <c r="G123" s="59">
        <f t="shared" si="103"/>
        <v>0</v>
      </c>
      <c r="H123" s="59">
        <f t="shared" si="103"/>
        <v>0</v>
      </c>
      <c r="I123" s="59">
        <f t="shared" si="103"/>
        <v>0</v>
      </c>
      <c r="J123" s="59">
        <f t="shared" si="103"/>
        <v>18.106246921879489</v>
      </c>
      <c r="K123" s="59">
        <f t="shared" si="103"/>
        <v>0</v>
      </c>
      <c r="L123" s="59">
        <f t="shared" si="103"/>
        <v>0</v>
      </c>
      <c r="M123" s="59">
        <f t="shared" si="103"/>
        <v>0</v>
      </c>
      <c r="N123" s="59">
        <f t="shared" si="103"/>
        <v>0</v>
      </c>
      <c r="O123" s="59">
        <f t="shared" si="103"/>
        <v>0</v>
      </c>
      <c r="P123" s="59">
        <f t="shared" si="103"/>
        <v>0</v>
      </c>
      <c r="Q123" s="59">
        <f t="shared" si="103"/>
        <v>0</v>
      </c>
      <c r="R123" s="59">
        <f t="shared" si="103"/>
        <v>0</v>
      </c>
      <c r="S123" s="59">
        <f t="shared" si="103"/>
        <v>0</v>
      </c>
      <c r="T123" s="59">
        <f t="shared" si="103"/>
        <v>0</v>
      </c>
      <c r="U123" s="59">
        <f t="shared" si="103"/>
        <v>0</v>
      </c>
      <c r="V123" s="59">
        <f t="shared" si="103"/>
        <v>0</v>
      </c>
      <c r="W123" s="59">
        <f t="shared" si="103"/>
        <v>0</v>
      </c>
      <c r="Y123" s="61"/>
      <c r="Z123" s="61"/>
      <c r="AA123" s="61"/>
    </row>
    <row r="124" spans="2:27" s="59" customFormat="1" x14ac:dyDescent="0.2">
      <c r="C124" s="65" t="s">
        <v>2</v>
      </c>
      <c r="E124" s="59">
        <f>IF(AND(E$94&lt;&gt;"",E$95&lt;&gt;""),E$94,0)</f>
        <v>0</v>
      </c>
      <c r="F124" s="59">
        <f t="shared" ref="F124:W124" si="104">IF(AND(F$94&lt;&gt;"",F$95&lt;&gt;""),F$94,0)</f>
        <v>0</v>
      </c>
      <c r="G124" s="59">
        <f t="shared" si="104"/>
        <v>0</v>
      </c>
      <c r="H124" s="59">
        <f t="shared" si="104"/>
        <v>0</v>
      </c>
      <c r="I124" s="59">
        <f t="shared" si="104"/>
        <v>0</v>
      </c>
      <c r="J124" s="59">
        <f t="shared" si="104"/>
        <v>5.8910284768057668</v>
      </c>
      <c r="K124" s="59">
        <f t="shared" si="104"/>
        <v>0</v>
      </c>
      <c r="L124" s="59">
        <f t="shared" si="104"/>
        <v>0</v>
      </c>
      <c r="M124" s="59">
        <f t="shared" si="104"/>
        <v>0</v>
      </c>
      <c r="N124" s="59">
        <f t="shared" si="104"/>
        <v>0</v>
      </c>
      <c r="O124" s="59">
        <f t="shared" si="104"/>
        <v>0</v>
      </c>
      <c r="P124" s="59">
        <f t="shared" si="104"/>
        <v>0</v>
      </c>
      <c r="Q124" s="59">
        <f t="shared" si="104"/>
        <v>0</v>
      </c>
      <c r="R124" s="59">
        <f t="shared" si="104"/>
        <v>0</v>
      </c>
      <c r="S124" s="59">
        <f t="shared" si="104"/>
        <v>0</v>
      </c>
      <c r="T124" s="59">
        <f t="shared" si="104"/>
        <v>0</v>
      </c>
      <c r="U124" s="59">
        <f t="shared" si="104"/>
        <v>0</v>
      </c>
      <c r="V124" s="59">
        <f t="shared" si="104"/>
        <v>0</v>
      </c>
      <c r="W124" s="59">
        <f t="shared" si="104"/>
        <v>0</v>
      </c>
      <c r="Y124" s="61"/>
      <c r="Z124" s="61"/>
      <c r="AA124" s="61"/>
    </row>
    <row r="125" spans="2:27" s="59" customFormat="1" x14ac:dyDescent="0.2">
      <c r="C125" s="65" t="s">
        <v>40</v>
      </c>
      <c r="E125" s="59">
        <f>(E123-2501*E124/1000)/(1.01+1.86*E124/1000)</f>
        <v>0</v>
      </c>
      <c r="F125" s="59">
        <f t="shared" ref="F125:W125" si="105">(F123-2501*F124/1000)/(1.01+1.86*F124/1000)</f>
        <v>0</v>
      </c>
      <c r="G125" s="59">
        <f t="shared" si="105"/>
        <v>0</v>
      </c>
      <c r="H125" s="59">
        <f t="shared" si="105"/>
        <v>0</v>
      </c>
      <c r="I125" s="59">
        <f t="shared" si="105"/>
        <v>0</v>
      </c>
      <c r="J125" s="59">
        <f t="shared" si="105"/>
        <v>3.3035511461170657</v>
      </c>
      <c r="K125" s="59">
        <f t="shared" si="105"/>
        <v>0</v>
      </c>
      <c r="L125" s="59">
        <f t="shared" si="105"/>
        <v>0</v>
      </c>
      <c r="M125" s="59">
        <f t="shared" si="105"/>
        <v>0</v>
      </c>
      <c r="N125" s="59">
        <f t="shared" si="105"/>
        <v>0</v>
      </c>
      <c r="O125" s="59">
        <f t="shared" si="105"/>
        <v>0</v>
      </c>
      <c r="P125" s="59">
        <f t="shared" si="105"/>
        <v>0</v>
      </c>
      <c r="Q125" s="59">
        <f t="shared" si="105"/>
        <v>0</v>
      </c>
      <c r="R125" s="59">
        <f t="shared" si="105"/>
        <v>0</v>
      </c>
      <c r="S125" s="59">
        <f t="shared" si="105"/>
        <v>0</v>
      </c>
      <c r="T125" s="59">
        <f t="shared" si="105"/>
        <v>0</v>
      </c>
      <c r="U125" s="59">
        <f t="shared" si="105"/>
        <v>0</v>
      </c>
      <c r="V125" s="59">
        <f t="shared" si="105"/>
        <v>0</v>
      </c>
      <c r="W125" s="59">
        <f t="shared" si="105"/>
        <v>0</v>
      </c>
      <c r="Y125" s="61"/>
      <c r="Z125" s="61"/>
      <c r="AA125" s="61"/>
    </row>
    <row r="126" spans="2:27" s="59" customFormat="1" x14ac:dyDescent="0.2">
      <c r="C126" s="72" t="s">
        <v>41</v>
      </c>
      <c r="E126" s="59">
        <v>-5.7813300875029912</v>
      </c>
      <c r="F126" s="59">
        <v>-5.7816951496861826</v>
      </c>
      <c r="G126" s="59">
        <v>-5.7812250242057521</v>
      </c>
      <c r="H126" s="59">
        <v>-5.7813328973617555</v>
      </c>
      <c r="I126" s="59">
        <v>-6.0023688391712238</v>
      </c>
      <c r="J126" s="59">
        <v>4.277020603210544</v>
      </c>
      <c r="K126" s="59">
        <v>-6.0023222237988856</v>
      </c>
      <c r="L126" s="59">
        <v>-5.7817005781944255</v>
      </c>
      <c r="M126" s="59">
        <v>-5.7813297151605854</v>
      </c>
      <c r="N126" s="59">
        <v>-5.7813300875029912</v>
      </c>
      <c r="O126" s="59">
        <v>-5.7813300875029912</v>
      </c>
      <c r="P126" s="59">
        <v>-5.7813300875029912</v>
      </c>
      <c r="Q126" s="59">
        <v>-5.7813300875029912</v>
      </c>
      <c r="R126" s="59">
        <v>-5.7813300875029912</v>
      </c>
      <c r="S126" s="59">
        <v>-5.7813300875029912</v>
      </c>
      <c r="T126" s="59">
        <v>-5.7813300875029912</v>
      </c>
      <c r="U126" s="59">
        <v>-5.7813300875029912</v>
      </c>
      <c r="V126" s="59">
        <v>-5.7813300875029912</v>
      </c>
      <c r="W126" s="59">
        <v>-5.7813300875029912</v>
      </c>
      <c r="Y126" s="61"/>
      <c r="Z126" s="61"/>
      <c r="AA126" s="61"/>
    </row>
    <row r="127" spans="2:27" s="59" customFormat="1" x14ac:dyDescent="0.2">
      <c r="C127" s="72" t="s">
        <v>31</v>
      </c>
      <c r="E127" s="74">
        <f>IF(E126&lt;-50,#N/A,IF(E126&lt;0,EXP((1738.4+28.74*E126)/(271+E126)),IF(E126&lt;=100,EXP((1500.3+23.5*E126)/(234+E126)),#N/A)))</f>
        <v>375.44301312156364</v>
      </c>
      <c r="F127" s="74">
        <f t="shared" ref="F127:W127" si="106">IF(F126&lt;-50,#N/A,IF(F126&lt;0,EXP((1738.4+28.74*F126)/(271+F126)),IF(F126&lt;=100,EXP((1500.3+23.5*F126)/(234+F126)),#N/A)))</f>
        <v>375.43122453079735</v>
      </c>
      <c r="G127" s="74">
        <f t="shared" si="106"/>
        <v>375.44640588892963</v>
      </c>
      <c r="H127" s="74">
        <f t="shared" si="106"/>
        <v>375.44292238429398</v>
      </c>
      <c r="I127" s="74">
        <f t="shared" si="106"/>
        <v>368.36670865255269</v>
      </c>
      <c r="J127" s="74">
        <f t="shared" si="106"/>
        <v>827.38706687411548</v>
      </c>
      <c r="K127" s="74">
        <f t="shared" si="106"/>
        <v>368.36818807351386</v>
      </c>
      <c r="L127" s="74">
        <f t="shared" si="106"/>
        <v>375.43104923591659</v>
      </c>
      <c r="M127" s="70">
        <f t="shared" si="106"/>
        <v>375.44302514542028</v>
      </c>
      <c r="N127" s="70">
        <f t="shared" si="106"/>
        <v>375.44301312156364</v>
      </c>
      <c r="O127" s="70">
        <f t="shared" si="106"/>
        <v>375.44301312156364</v>
      </c>
      <c r="P127" s="70">
        <f t="shared" si="106"/>
        <v>375.44301312156364</v>
      </c>
      <c r="Q127" s="70">
        <f t="shared" si="106"/>
        <v>375.44301312156364</v>
      </c>
      <c r="R127" s="70">
        <f t="shared" si="106"/>
        <v>375.44301312156364</v>
      </c>
      <c r="S127" s="70">
        <f t="shared" si="106"/>
        <v>375.44301312156364</v>
      </c>
      <c r="T127" s="70">
        <f t="shared" si="106"/>
        <v>375.44301312156364</v>
      </c>
      <c r="U127" s="70">
        <f t="shared" si="106"/>
        <v>375.44301312156364</v>
      </c>
      <c r="V127" s="70">
        <f t="shared" si="106"/>
        <v>375.44301312156364</v>
      </c>
      <c r="W127" s="70">
        <f t="shared" si="106"/>
        <v>375.44301312156364</v>
      </c>
      <c r="Y127" s="61"/>
      <c r="Z127" s="61"/>
      <c r="AA127" s="61"/>
    </row>
    <row r="128" spans="2:27" s="59" customFormat="1" x14ac:dyDescent="0.2">
      <c r="C128" s="72" t="s">
        <v>37</v>
      </c>
      <c r="E128" s="59">
        <f>0.6222*MaxVlhkost*E127/(Tlak_vzduchu-MaxVlhkost*E127/1000)</f>
        <v>2.4818246188059332</v>
      </c>
      <c r="F128" s="59">
        <f t="shared" ref="F128:N128" si="107">0.6222*MaxVlhkost*F127/(Tlak_vzduchu-MaxVlhkost*F127/1000)</f>
        <v>2.48174638080192</v>
      </c>
      <c r="G128" s="59">
        <f t="shared" si="107"/>
        <v>2.4818471357797485</v>
      </c>
      <c r="H128" s="59">
        <f t="shared" si="107"/>
        <v>2.4818240166047123</v>
      </c>
      <c r="I128" s="59">
        <f t="shared" si="107"/>
        <v>2.4348644351493056</v>
      </c>
      <c r="J128" s="59">
        <f t="shared" si="107"/>
        <v>5.4957390094007232</v>
      </c>
      <c r="K128" s="59">
        <f t="shared" si="107"/>
        <v>2.434874252230915</v>
      </c>
      <c r="L128" s="59">
        <f t="shared" si="107"/>
        <v>2.481745217412664</v>
      </c>
      <c r="M128" s="59">
        <f t="shared" si="107"/>
        <v>2.4818246986053492</v>
      </c>
      <c r="N128" s="59">
        <f t="shared" si="107"/>
        <v>2.4818246188059332</v>
      </c>
      <c r="O128" s="59">
        <f t="shared" ref="O128:W128" si="108">0.6222*MaxVlhkost*O127/(Tlak_vzduchu-MaxVlhkost*O127/1000)</f>
        <v>2.4818246188059332</v>
      </c>
      <c r="P128" s="59">
        <f t="shared" si="108"/>
        <v>2.4818246188059332</v>
      </c>
      <c r="Q128" s="59">
        <f t="shared" si="108"/>
        <v>2.4818246188059332</v>
      </c>
      <c r="R128" s="59">
        <f t="shared" si="108"/>
        <v>2.4818246188059332</v>
      </c>
      <c r="S128" s="59">
        <f t="shared" si="108"/>
        <v>2.4818246188059332</v>
      </c>
      <c r="T128" s="59">
        <f t="shared" si="108"/>
        <v>2.4818246188059332</v>
      </c>
      <c r="U128" s="59">
        <f t="shared" si="108"/>
        <v>2.4818246188059332</v>
      </c>
      <c r="V128" s="59">
        <f t="shared" si="108"/>
        <v>2.4818246188059332</v>
      </c>
      <c r="W128" s="59">
        <f t="shared" si="108"/>
        <v>2.4818246188059332</v>
      </c>
      <c r="Y128" s="61"/>
      <c r="Z128" s="61"/>
      <c r="AA128" s="61"/>
    </row>
    <row r="129" spans="2:27" s="59" customFormat="1" x14ac:dyDescent="0.2">
      <c r="C129" s="72" t="s">
        <v>38</v>
      </c>
      <c r="E129" s="59">
        <f>(E123-1.01*E126)/(2501+1.86*E126)*1000</f>
        <v>2.3448051662213847</v>
      </c>
      <c r="F129" s="59">
        <f t="shared" ref="F129:W129" si="109">(F123-1.01*F126)/(2501+1.86*F126)*1000</f>
        <v>2.3449538683807138</v>
      </c>
      <c r="G129" s="59">
        <f t="shared" si="109"/>
        <v>2.3447623704063183</v>
      </c>
      <c r="H129" s="59">
        <f t="shared" si="109"/>
        <v>2.3448063107714696</v>
      </c>
      <c r="I129" s="59">
        <f t="shared" si="109"/>
        <v>2.4348565593132174</v>
      </c>
      <c r="J129" s="59">
        <f t="shared" si="109"/>
        <v>5.4948991485234524</v>
      </c>
      <c r="K129" s="59">
        <f t="shared" si="109"/>
        <v>2.4348375650319185</v>
      </c>
      <c r="L129" s="59">
        <f t="shared" si="109"/>
        <v>2.3449560795961135</v>
      </c>
      <c r="M129" s="59">
        <f t="shared" si="109"/>
        <v>2.3448050145537866</v>
      </c>
      <c r="N129" s="59">
        <f t="shared" si="109"/>
        <v>2.3448051662213847</v>
      </c>
      <c r="O129" s="59">
        <f t="shared" si="109"/>
        <v>2.3448051662213847</v>
      </c>
      <c r="P129" s="59">
        <f t="shared" si="109"/>
        <v>2.3448051662213847</v>
      </c>
      <c r="Q129" s="59">
        <f t="shared" si="109"/>
        <v>2.3448051662213847</v>
      </c>
      <c r="R129" s="59">
        <f t="shared" si="109"/>
        <v>2.3448051662213847</v>
      </c>
      <c r="S129" s="59">
        <f t="shared" si="109"/>
        <v>2.3448051662213847</v>
      </c>
      <c r="T129" s="59">
        <f t="shared" si="109"/>
        <v>2.3448051662213847</v>
      </c>
      <c r="U129" s="59">
        <f t="shared" si="109"/>
        <v>2.3448051662213847</v>
      </c>
      <c r="V129" s="59">
        <f t="shared" si="109"/>
        <v>2.3448051662213847</v>
      </c>
      <c r="W129" s="59">
        <f t="shared" si="109"/>
        <v>2.3448051662213847</v>
      </c>
      <c r="Y129" s="61"/>
      <c r="Z129" s="61"/>
      <c r="AA129" s="61"/>
    </row>
    <row r="130" spans="2:27" s="59" customFormat="1" x14ac:dyDescent="0.2">
      <c r="C130" s="73" t="s">
        <v>39</v>
      </c>
      <c r="E130" s="59">
        <f>E128-E129</f>
        <v>0.13701945258454851</v>
      </c>
      <c r="F130" s="59">
        <f t="shared" ref="F130:W130" si="110">F128-F129</f>
        <v>0.13679251242120616</v>
      </c>
      <c r="G130" s="59">
        <f t="shared" si="110"/>
        <v>0.13708476537343017</v>
      </c>
      <c r="H130" s="59">
        <f t="shared" si="110"/>
        <v>0.13701770583324269</v>
      </c>
      <c r="I130" s="59">
        <f t="shared" si="110"/>
        <v>7.8758360881892031E-6</v>
      </c>
      <c r="J130" s="59">
        <f t="shared" si="110"/>
        <v>8.3986087727083714E-4</v>
      </c>
      <c r="K130" s="59">
        <f t="shared" si="110"/>
        <v>3.6687198996521175E-5</v>
      </c>
      <c r="L130" s="59">
        <f t="shared" si="110"/>
        <v>0.13678913781655044</v>
      </c>
      <c r="M130" s="59">
        <f t="shared" si="110"/>
        <v>0.13701968405156251</v>
      </c>
      <c r="N130" s="59">
        <f t="shared" si="110"/>
        <v>0.13701945258454851</v>
      </c>
      <c r="O130" s="59">
        <f t="shared" si="110"/>
        <v>0.13701945258454851</v>
      </c>
      <c r="P130" s="59">
        <f t="shared" si="110"/>
        <v>0.13701945258454851</v>
      </c>
      <c r="Q130" s="59">
        <f t="shared" si="110"/>
        <v>0.13701945258454851</v>
      </c>
      <c r="R130" s="59">
        <f t="shared" si="110"/>
        <v>0.13701945258454851</v>
      </c>
      <c r="S130" s="59">
        <f t="shared" si="110"/>
        <v>0.13701945258454851</v>
      </c>
      <c r="T130" s="59">
        <f t="shared" si="110"/>
        <v>0.13701945258454851</v>
      </c>
      <c r="U130" s="59">
        <f t="shared" si="110"/>
        <v>0.13701945258454851</v>
      </c>
      <c r="V130" s="59">
        <f t="shared" si="110"/>
        <v>0.13701945258454851</v>
      </c>
      <c r="W130" s="59">
        <f t="shared" si="110"/>
        <v>0.13701945258454851</v>
      </c>
      <c r="Y130" s="61"/>
      <c r="Z130" s="61"/>
      <c r="AA130" s="61"/>
    </row>
    <row r="131" spans="2:27" s="59" customFormat="1" x14ac:dyDescent="0.2">
      <c r="B131" s="76" t="s">
        <v>70</v>
      </c>
      <c r="C131" s="65" t="s">
        <v>33</v>
      </c>
      <c r="E131" s="59">
        <f>IF(AND(E123=0,E124=0),0,IF(E125&gt;E126,E125,E126))</f>
        <v>0</v>
      </c>
      <c r="F131" s="59">
        <f t="shared" ref="F131:W131" si="111">IF(AND(F123=0,F124=0),0,IF(F125&gt;F126,F125,F126))</f>
        <v>0</v>
      </c>
      <c r="G131" s="59">
        <f t="shared" si="111"/>
        <v>0</v>
      </c>
      <c r="H131" s="59">
        <f t="shared" si="111"/>
        <v>0</v>
      </c>
      <c r="I131" s="59">
        <f t="shared" si="111"/>
        <v>0</v>
      </c>
      <c r="J131" s="59">
        <f t="shared" si="111"/>
        <v>4.277020603210544</v>
      </c>
      <c r="K131" s="59">
        <f t="shared" si="111"/>
        <v>0</v>
      </c>
      <c r="L131" s="59">
        <f t="shared" si="111"/>
        <v>0</v>
      </c>
      <c r="M131" s="59">
        <f t="shared" si="111"/>
        <v>0</v>
      </c>
      <c r="N131" s="59">
        <f t="shared" si="111"/>
        <v>0</v>
      </c>
      <c r="O131" s="59">
        <f t="shared" si="111"/>
        <v>0</v>
      </c>
      <c r="P131" s="59">
        <f t="shared" si="111"/>
        <v>0</v>
      </c>
      <c r="Q131" s="59">
        <f t="shared" si="111"/>
        <v>0</v>
      </c>
      <c r="R131" s="59">
        <f t="shared" si="111"/>
        <v>0</v>
      </c>
      <c r="S131" s="59">
        <f t="shared" si="111"/>
        <v>0</v>
      </c>
      <c r="T131" s="59">
        <f t="shared" si="111"/>
        <v>0</v>
      </c>
      <c r="U131" s="59">
        <f t="shared" si="111"/>
        <v>0</v>
      </c>
      <c r="V131" s="59">
        <f t="shared" si="111"/>
        <v>0</v>
      </c>
      <c r="W131" s="59">
        <f t="shared" si="111"/>
        <v>0</v>
      </c>
      <c r="Y131" s="61"/>
      <c r="Z131" s="61"/>
      <c r="AA131" s="61"/>
    </row>
    <row r="132" spans="2:27" s="59" customFormat="1" x14ac:dyDescent="0.2">
      <c r="C132" s="65" t="s">
        <v>34</v>
      </c>
      <c r="E132" s="59">
        <f>IF(AND(E123=0,E124=0),0,IF(E125&gt;E126,E124,E128))</f>
        <v>0</v>
      </c>
      <c r="F132" s="59">
        <f t="shared" ref="F132:W132" si="112">IF(AND(F123=0,F124=0),0,IF(F125&gt;F126,F124,F128))</f>
        <v>0</v>
      </c>
      <c r="G132" s="59">
        <f t="shared" si="112"/>
        <v>0</v>
      </c>
      <c r="H132" s="59">
        <f t="shared" si="112"/>
        <v>0</v>
      </c>
      <c r="I132" s="59">
        <f t="shared" si="112"/>
        <v>0</v>
      </c>
      <c r="J132" s="59">
        <f t="shared" si="112"/>
        <v>5.4957390094007232</v>
      </c>
      <c r="K132" s="59">
        <f t="shared" si="112"/>
        <v>0</v>
      </c>
      <c r="L132" s="59">
        <f t="shared" si="112"/>
        <v>0</v>
      </c>
      <c r="M132" s="59">
        <f t="shared" si="112"/>
        <v>0</v>
      </c>
      <c r="N132" s="59">
        <f t="shared" si="112"/>
        <v>0</v>
      </c>
      <c r="O132" s="59">
        <f t="shared" si="112"/>
        <v>0</v>
      </c>
      <c r="P132" s="59">
        <f t="shared" si="112"/>
        <v>0</v>
      </c>
      <c r="Q132" s="59">
        <f t="shared" si="112"/>
        <v>0</v>
      </c>
      <c r="R132" s="59">
        <f t="shared" si="112"/>
        <v>0</v>
      </c>
      <c r="S132" s="59">
        <f t="shared" si="112"/>
        <v>0</v>
      </c>
      <c r="T132" s="59">
        <f t="shared" si="112"/>
        <v>0</v>
      </c>
      <c r="U132" s="59">
        <f t="shared" si="112"/>
        <v>0</v>
      </c>
      <c r="V132" s="59">
        <f t="shared" si="112"/>
        <v>0</v>
      </c>
      <c r="W132" s="59">
        <f t="shared" si="112"/>
        <v>0</v>
      </c>
      <c r="Y132" s="61"/>
      <c r="Z132" s="61"/>
      <c r="AA132" s="61"/>
    </row>
    <row r="133" spans="2:27" s="59" customFormat="1" x14ac:dyDescent="0.2">
      <c r="C133" s="65"/>
      <c r="Y133" s="61"/>
      <c r="Z133" s="61"/>
      <c r="AA133" s="61"/>
    </row>
    <row r="134" spans="2:27" s="59" customFormat="1" x14ac:dyDescent="0.2">
      <c r="B134" s="73" t="s">
        <v>112</v>
      </c>
      <c r="C134" s="65" t="s">
        <v>32</v>
      </c>
      <c r="D134" s="59" t="s">
        <v>36</v>
      </c>
      <c r="E134" s="59">
        <f>IF(AND(E$93&lt;&gt;"",E$94&lt;&gt;""),MIN(E$93,MaxVlhkost),0)</f>
        <v>0</v>
      </c>
      <c r="F134" s="59">
        <f t="shared" ref="F134:W134" si="113">IF(AND(F$93&lt;&gt;"",F$94&lt;&gt;""),MIN(F$93,MaxVlhkost),0)</f>
        <v>0</v>
      </c>
      <c r="G134" s="59">
        <f t="shared" si="113"/>
        <v>0</v>
      </c>
      <c r="H134" s="59">
        <f t="shared" si="113"/>
        <v>0</v>
      </c>
      <c r="I134" s="59">
        <f t="shared" si="113"/>
        <v>0</v>
      </c>
      <c r="J134" s="59">
        <f t="shared" si="113"/>
        <v>0</v>
      </c>
      <c r="K134" s="59">
        <f t="shared" si="113"/>
        <v>0</v>
      </c>
      <c r="L134" s="59">
        <f t="shared" si="113"/>
        <v>0</v>
      </c>
      <c r="M134" s="59">
        <f t="shared" si="113"/>
        <v>0</v>
      </c>
      <c r="N134" s="59">
        <f t="shared" si="113"/>
        <v>0</v>
      </c>
      <c r="O134" s="59">
        <f t="shared" si="113"/>
        <v>0</v>
      </c>
      <c r="P134" s="59">
        <f t="shared" si="113"/>
        <v>0</v>
      </c>
      <c r="Q134" s="59">
        <f t="shared" si="113"/>
        <v>0</v>
      </c>
      <c r="R134" s="59">
        <f t="shared" si="113"/>
        <v>0</v>
      </c>
      <c r="S134" s="59">
        <f t="shared" si="113"/>
        <v>0</v>
      </c>
      <c r="T134" s="59">
        <f t="shared" si="113"/>
        <v>0</v>
      </c>
      <c r="U134" s="59">
        <f t="shared" si="113"/>
        <v>0</v>
      </c>
      <c r="V134" s="59">
        <f t="shared" si="113"/>
        <v>0</v>
      </c>
      <c r="W134" s="59">
        <f t="shared" si="113"/>
        <v>0</v>
      </c>
      <c r="Y134" s="61"/>
      <c r="Z134" s="61"/>
      <c r="AA134" s="61"/>
    </row>
    <row r="135" spans="2:27" s="59" customFormat="1" x14ac:dyDescent="0.2">
      <c r="C135" s="65" t="s">
        <v>2</v>
      </c>
      <c r="D135" s="59" t="s">
        <v>35</v>
      </c>
      <c r="E135" s="59">
        <f>IF(AND(E$93&lt;&gt;"",E$94&lt;&gt;""),E$94,0)</f>
        <v>0</v>
      </c>
      <c r="F135" s="59">
        <f t="shared" ref="F135:W135" si="114">IF(AND(F$93&lt;&gt;"",F$94&lt;&gt;""),F$94,0)</f>
        <v>0</v>
      </c>
      <c r="G135" s="59">
        <f t="shared" si="114"/>
        <v>0</v>
      </c>
      <c r="H135" s="59">
        <f t="shared" si="114"/>
        <v>0</v>
      </c>
      <c r="I135" s="59">
        <f t="shared" si="114"/>
        <v>0</v>
      </c>
      <c r="J135" s="59">
        <f t="shared" si="114"/>
        <v>0</v>
      </c>
      <c r="K135" s="59">
        <f t="shared" si="114"/>
        <v>0</v>
      </c>
      <c r="L135" s="59">
        <f t="shared" si="114"/>
        <v>0</v>
      </c>
      <c r="M135" s="59">
        <f t="shared" si="114"/>
        <v>0</v>
      </c>
      <c r="N135" s="59">
        <f t="shared" si="114"/>
        <v>0</v>
      </c>
      <c r="O135" s="59">
        <f t="shared" si="114"/>
        <v>0</v>
      </c>
      <c r="P135" s="59">
        <f t="shared" si="114"/>
        <v>0</v>
      </c>
      <c r="Q135" s="59">
        <f t="shared" si="114"/>
        <v>0</v>
      </c>
      <c r="R135" s="59">
        <f t="shared" si="114"/>
        <v>0</v>
      </c>
      <c r="S135" s="59">
        <f t="shared" si="114"/>
        <v>0</v>
      </c>
      <c r="T135" s="59">
        <f t="shared" si="114"/>
        <v>0</v>
      </c>
      <c r="U135" s="59">
        <f t="shared" si="114"/>
        <v>0</v>
      </c>
      <c r="V135" s="59">
        <f t="shared" si="114"/>
        <v>0</v>
      </c>
      <c r="W135" s="59">
        <f t="shared" si="114"/>
        <v>0</v>
      </c>
      <c r="Y135" s="61"/>
      <c r="Z135" s="61"/>
      <c r="AA135" s="61"/>
    </row>
    <row r="136" spans="2:27" s="59" customFormat="1" x14ac:dyDescent="0.2">
      <c r="C136" s="65" t="s">
        <v>31</v>
      </c>
      <c r="D136" s="59" t="s">
        <v>10</v>
      </c>
      <c r="E136" s="59" t="e">
        <f>E135/1000*Tlak_vzduchu/E134/(0.6222+E135/1000)*1000</f>
        <v>#DIV/0!</v>
      </c>
      <c r="F136" s="59" t="e">
        <f t="shared" ref="F136:N136" si="115">F135/1000*Tlak_vzduchu/F134/(0.6222+F135/1000)*1000</f>
        <v>#DIV/0!</v>
      </c>
      <c r="G136" s="59" t="e">
        <f t="shared" si="115"/>
        <v>#DIV/0!</v>
      </c>
      <c r="H136" s="59" t="e">
        <f t="shared" si="115"/>
        <v>#DIV/0!</v>
      </c>
      <c r="I136" s="59" t="e">
        <f t="shared" si="115"/>
        <v>#DIV/0!</v>
      </c>
      <c r="J136" s="59" t="e">
        <f t="shared" si="115"/>
        <v>#DIV/0!</v>
      </c>
      <c r="K136" s="59" t="e">
        <f t="shared" si="115"/>
        <v>#DIV/0!</v>
      </c>
      <c r="L136" s="59" t="e">
        <f t="shared" si="115"/>
        <v>#DIV/0!</v>
      </c>
      <c r="M136" s="59" t="e">
        <f t="shared" si="115"/>
        <v>#DIV/0!</v>
      </c>
      <c r="N136" s="59" t="e">
        <f t="shared" si="115"/>
        <v>#DIV/0!</v>
      </c>
      <c r="O136" s="59" t="e">
        <f t="shared" ref="O136:W136" si="116">O135/1000*Tlak_vzduchu/O134/(0.6222+O135/1000)*1000</f>
        <v>#DIV/0!</v>
      </c>
      <c r="P136" s="59" t="e">
        <f t="shared" si="116"/>
        <v>#DIV/0!</v>
      </c>
      <c r="Q136" s="59" t="e">
        <f t="shared" si="116"/>
        <v>#DIV/0!</v>
      </c>
      <c r="R136" s="59" t="e">
        <f t="shared" si="116"/>
        <v>#DIV/0!</v>
      </c>
      <c r="S136" s="59" t="e">
        <f t="shared" si="116"/>
        <v>#DIV/0!</v>
      </c>
      <c r="T136" s="59" t="e">
        <f t="shared" si="116"/>
        <v>#DIV/0!</v>
      </c>
      <c r="U136" s="59" t="e">
        <f t="shared" si="116"/>
        <v>#DIV/0!</v>
      </c>
      <c r="V136" s="59" t="e">
        <f t="shared" si="116"/>
        <v>#DIV/0!</v>
      </c>
      <c r="W136" s="59" t="e">
        <f t="shared" si="116"/>
        <v>#DIV/0!</v>
      </c>
      <c r="Y136" s="61"/>
      <c r="Z136" s="61"/>
      <c r="AA136" s="61"/>
    </row>
    <row r="137" spans="2:27" s="59" customFormat="1" x14ac:dyDescent="0.2">
      <c r="C137" s="65" t="s">
        <v>0</v>
      </c>
      <c r="E137" s="59" t="e">
        <f>IF(E136&lt;641,(271*LN(E136)-1738.4)/(28.74-LN(E136)),(234*LN(E136)-1500.3)/(23.5-LN(E136)))</f>
        <v>#DIV/0!</v>
      </c>
      <c r="F137" s="59" t="e">
        <f t="shared" ref="F137:W137" si="117">IF(F136&lt;641,(271*LN(F136)-1738.4)/(28.74-LN(F136)),(234*LN(F136)-1500.3)/(23.5-LN(F136)))</f>
        <v>#DIV/0!</v>
      </c>
      <c r="G137" s="59" t="e">
        <f t="shared" si="117"/>
        <v>#DIV/0!</v>
      </c>
      <c r="H137" s="59" t="e">
        <f t="shared" si="117"/>
        <v>#DIV/0!</v>
      </c>
      <c r="I137" s="59" t="e">
        <f t="shared" si="117"/>
        <v>#DIV/0!</v>
      </c>
      <c r="J137" s="59" t="e">
        <f t="shared" si="117"/>
        <v>#DIV/0!</v>
      </c>
      <c r="K137" s="59" t="e">
        <f t="shared" si="117"/>
        <v>#DIV/0!</v>
      </c>
      <c r="L137" s="59" t="e">
        <f t="shared" si="117"/>
        <v>#DIV/0!</v>
      </c>
      <c r="M137" s="59" t="e">
        <f t="shared" si="117"/>
        <v>#DIV/0!</v>
      </c>
      <c r="N137" s="59" t="e">
        <f t="shared" si="117"/>
        <v>#DIV/0!</v>
      </c>
      <c r="O137" s="59" t="e">
        <f t="shared" si="117"/>
        <v>#DIV/0!</v>
      </c>
      <c r="P137" s="59" t="e">
        <f t="shared" si="117"/>
        <v>#DIV/0!</v>
      </c>
      <c r="Q137" s="59" t="e">
        <f t="shared" si="117"/>
        <v>#DIV/0!</v>
      </c>
      <c r="R137" s="59" t="e">
        <f t="shared" si="117"/>
        <v>#DIV/0!</v>
      </c>
      <c r="S137" s="59" t="e">
        <f t="shared" si="117"/>
        <v>#DIV/0!</v>
      </c>
      <c r="T137" s="59" t="e">
        <f t="shared" si="117"/>
        <v>#DIV/0!</v>
      </c>
      <c r="U137" s="59" t="e">
        <f t="shared" si="117"/>
        <v>#DIV/0!</v>
      </c>
      <c r="V137" s="59" t="e">
        <f t="shared" si="117"/>
        <v>#DIV/0!</v>
      </c>
      <c r="W137" s="59" t="e">
        <f t="shared" si="117"/>
        <v>#DIV/0!</v>
      </c>
      <c r="Y137" s="61"/>
      <c r="Z137" s="61"/>
      <c r="AA137" s="61"/>
    </row>
    <row r="138" spans="2:27" s="59" customFormat="1" x14ac:dyDescent="0.2">
      <c r="B138" s="76" t="s">
        <v>70</v>
      </c>
      <c r="C138" s="65" t="s">
        <v>33</v>
      </c>
      <c r="E138" s="59">
        <f>IF(E134=0,0,E137)</f>
        <v>0</v>
      </c>
      <c r="F138" s="59">
        <f t="shared" ref="F138:W138" si="118">IF(F134=0,0,F137)</f>
        <v>0</v>
      </c>
      <c r="G138" s="59">
        <f t="shared" si="118"/>
        <v>0</v>
      </c>
      <c r="H138" s="59">
        <f t="shared" si="118"/>
        <v>0</v>
      </c>
      <c r="I138" s="59">
        <f t="shared" si="118"/>
        <v>0</v>
      </c>
      <c r="J138" s="59">
        <f t="shared" si="118"/>
        <v>0</v>
      </c>
      <c r="K138" s="59">
        <f t="shared" si="118"/>
        <v>0</v>
      </c>
      <c r="L138" s="59">
        <f t="shared" si="118"/>
        <v>0</v>
      </c>
      <c r="M138" s="59">
        <f t="shared" si="118"/>
        <v>0</v>
      </c>
      <c r="N138" s="59">
        <f t="shared" si="118"/>
        <v>0</v>
      </c>
      <c r="O138" s="59">
        <f t="shared" si="118"/>
        <v>0</v>
      </c>
      <c r="P138" s="59">
        <f t="shared" si="118"/>
        <v>0</v>
      </c>
      <c r="Q138" s="59">
        <f t="shared" si="118"/>
        <v>0</v>
      </c>
      <c r="R138" s="59">
        <f t="shared" si="118"/>
        <v>0</v>
      </c>
      <c r="S138" s="59">
        <f t="shared" si="118"/>
        <v>0</v>
      </c>
      <c r="T138" s="59">
        <f t="shared" si="118"/>
        <v>0</v>
      </c>
      <c r="U138" s="59">
        <f t="shared" si="118"/>
        <v>0</v>
      </c>
      <c r="V138" s="59">
        <f t="shared" si="118"/>
        <v>0</v>
      </c>
      <c r="W138" s="59">
        <f t="shared" si="118"/>
        <v>0</v>
      </c>
      <c r="Y138" s="61"/>
      <c r="Z138" s="61"/>
      <c r="AA138" s="61"/>
    </row>
    <row r="139" spans="2:27" s="59" customFormat="1" x14ac:dyDescent="0.2">
      <c r="C139" s="65" t="s">
        <v>34</v>
      </c>
      <c r="E139" s="59">
        <f>IF(E135=0,0,E135)</f>
        <v>0</v>
      </c>
      <c r="F139" s="59">
        <f t="shared" ref="F139:W139" si="119">IF(F135=0,0,F135)</f>
        <v>0</v>
      </c>
      <c r="G139" s="59">
        <f t="shared" si="119"/>
        <v>0</v>
      </c>
      <c r="H139" s="59">
        <f t="shared" si="119"/>
        <v>0</v>
      </c>
      <c r="I139" s="59">
        <f t="shared" si="119"/>
        <v>0</v>
      </c>
      <c r="J139" s="59">
        <f t="shared" si="119"/>
        <v>0</v>
      </c>
      <c r="K139" s="59">
        <f t="shared" si="119"/>
        <v>0</v>
      </c>
      <c r="L139" s="59">
        <f t="shared" si="119"/>
        <v>0</v>
      </c>
      <c r="M139" s="59">
        <f t="shared" si="119"/>
        <v>0</v>
      </c>
      <c r="N139" s="59">
        <f t="shared" si="119"/>
        <v>0</v>
      </c>
      <c r="O139" s="59">
        <f t="shared" si="119"/>
        <v>0</v>
      </c>
      <c r="P139" s="59">
        <f t="shared" si="119"/>
        <v>0</v>
      </c>
      <c r="Q139" s="59">
        <f t="shared" si="119"/>
        <v>0</v>
      </c>
      <c r="R139" s="59">
        <f t="shared" si="119"/>
        <v>0</v>
      </c>
      <c r="S139" s="59">
        <f t="shared" si="119"/>
        <v>0</v>
      </c>
      <c r="T139" s="59">
        <f t="shared" si="119"/>
        <v>0</v>
      </c>
      <c r="U139" s="59">
        <f t="shared" si="119"/>
        <v>0</v>
      </c>
      <c r="V139" s="59">
        <f t="shared" si="119"/>
        <v>0</v>
      </c>
      <c r="W139" s="59">
        <f t="shared" si="119"/>
        <v>0</v>
      </c>
      <c r="Y139" s="61"/>
      <c r="Z139" s="61"/>
      <c r="AA139" s="61"/>
    </row>
    <row r="140" spans="2:27" s="59" customFormat="1" x14ac:dyDescent="0.2">
      <c r="C140" s="65"/>
      <c r="Y140" s="61"/>
      <c r="Z140" s="61"/>
      <c r="AA140" s="61"/>
    </row>
    <row r="141" spans="2:27" s="59" customFormat="1" x14ac:dyDescent="0.2">
      <c r="B141" s="73" t="s">
        <v>113</v>
      </c>
      <c r="C141" s="65" t="s">
        <v>32</v>
      </c>
      <c r="E141" s="59">
        <f>IF(AND(E$93&lt;&gt;"",E$95&lt;&gt;""),MIN(E$93,MaxVlhkost),0)</f>
        <v>0</v>
      </c>
      <c r="F141" s="59">
        <f t="shared" ref="F141:W141" si="120">IF(AND(F$93&lt;&gt;"",F$95&lt;&gt;""),MIN(F$93,MaxVlhkost),0)</f>
        <v>0</v>
      </c>
      <c r="G141" s="59">
        <f t="shared" si="120"/>
        <v>0</v>
      </c>
      <c r="H141" s="59">
        <f t="shared" si="120"/>
        <v>0</v>
      </c>
      <c r="I141" s="59">
        <f t="shared" si="120"/>
        <v>0</v>
      </c>
      <c r="J141" s="59">
        <f t="shared" si="120"/>
        <v>0</v>
      </c>
      <c r="K141" s="59">
        <f t="shared" si="120"/>
        <v>0</v>
      </c>
      <c r="L141" s="59">
        <f t="shared" si="120"/>
        <v>0</v>
      </c>
      <c r="M141" s="59">
        <f t="shared" si="120"/>
        <v>0</v>
      </c>
      <c r="N141" s="59">
        <f t="shared" si="120"/>
        <v>0</v>
      </c>
      <c r="O141" s="59">
        <f t="shared" si="120"/>
        <v>0</v>
      </c>
      <c r="P141" s="59">
        <f t="shared" si="120"/>
        <v>0</v>
      </c>
      <c r="Q141" s="59">
        <f t="shared" si="120"/>
        <v>0</v>
      </c>
      <c r="R141" s="59">
        <f t="shared" si="120"/>
        <v>0</v>
      </c>
      <c r="S141" s="59">
        <f t="shared" si="120"/>
        <v>0</v>
      </c>
      <c r="T141" s="59">
        <f t="shared" si="120"/>
        <v>0</v>
      </c>
      <c r="U141" s="59">
        <f t="shared" si="120"/>
        <v>0</v>
      </c>
      <c r="V141" s="59">
        <f t="shared" si="120"/>
        <v>0</v>
      </c>
      <c r="W141" s="59">
        <f t="shared" si="120"/>
        <v>0</v>
      </c>
      <c r="Y141" s="61"/>
      <c r="Z141" s="61"/>
      <c r="AA141" s="61"/>
    </row>
    <row r="142" spans="2:27" s="59" customFormat="1" x14ac:dyDescent="0.2">
      <c r="C142" s="65" t="s">
        <v>3</v>
      </c>
      <c r="E142" s="59">
        <f>IF(AND(E$93&lt;&gt;"",E$95&lt;&gt;""),E$95,0)</f>
        <v>0</v>
      </c>
      <c r="F142" s="59">
        <f t="shared" ref="F142:W142" si="121">IF(AND(F$93&lt;&gt;"",F$95&lt;&gt;""),F$95,0)</f>
        <v>0</v>
      </c>
      <c r="G142" s="59">
        <f t="shared" si="121"/>
        <v>0</v>
      </c>
      <c r="H142" s="59">
        <f t="shared" si="121"/>
        <v>0</v>
      </c>
      <c r="I142" s="59">
        <f t="shared" si="121"/>
        <v>0</v>
      </c>
      <c r="J142" s="59">
        <f t="shared" si="121"/>
        <v>0</v>
      </c>
      <c r="K142" s="59">
        <f t="shared" si="121"/>
        <v>0</v>
      </c>
      <c r="L142" s="59">
        <f t="shared" si="121"/>
        <v>0</v>
      </c>
      <c r="M142" s="59">
        <f t="shared" si="121"/>
        <v>0</v>
      </c>
      <c r="N142" s="59">
        <f t="shared" si="121"/>
        <v>0</v>
      </c>
      <c r="O142" s="59">
        <f t="shared" si="121"/>
        <v>0</v>
      </c>
      <c r="P142" s="59">
        <f t="shared" si="121"/>
        <v>0</v>
      </c>
      <c r="Q142" s="59">
        <f t="shared" si="121"/>
        <v>0</v>
      </c>
      <c r="R142" s="59">
        <f t="shared" si="121"/>
        <v>0</v>
      </c>
      <c r="S142" s="59">
        <f t="shared" si="121"/>
        <v>0</v>
      </c>
      <c r="T142" s="59">
        <f t="shared" si="121"/>
        <v>0</v>
      </c>
      <c r="U142" s="59">
        <f t="shared" si="121"/>
        <v>0</v>
      </c>
      <c r="V142" s="59">
        <f t="shared" si="121"/>
        <v>0</v>
      </c>
      <c r="W142" s="59">
        <f t="shared" si="121"/>
        <v>0</v>
      </c>
      <c r="Y142" s="61"/>
      <c r="Z142" s="61"/>
      <c r="AA142" s="61"/>
    </row>
    <row r="143" spans="2:27" s="59" customFormat="1" x14ac:dyDescent="0.2">
      <c r="C143" s="72" t="s">
        <v>0</v>
      </c>
      <c r="E143" s="59">
        <v>5.7926502284724735E-4</v>
      </c>
      <c r="F143" s="59">
        <v>3.2713249772620134E-4</v>
      </c>
      <c r="G143" s="59">
        <v>2.614847727860567E-4</v>
      </c>
      <c r="H143" s="59">
        <v>4.1770661130514919E-5</v>
      </c>
      <c r="I143" s="59">
        <v>7.1262905406217769E-5</v>
      </c>
      <c r="J143" s="59">
        <v>5.0552826087199576E-4</v>
      </c>
      <c r="K143" s="59">
        <v>5.0552826087199576E-4</v>
      </c>
      <c r="L143" s="59">
        <v>5.0552826087199576E-4</v>
      </c>
      <c r="M143" s="59">
        <v>5.0552826087199576E-4</v>
      </c>
      <c r="N143" s="59">
        <v>5.0552826087199576E-4</v>
      </c>
      <c r="O143" s="59">
        <v>5.0552826087199576E-4</v>
      </c>
      <c r="P143" s="59">
        <v>5.0552826087199576E-4</v>
      </c>
      <c r="Q143" s="59">
        <v>5.0552826087199576E-4</v>
      </c>
      <c r="R143" s="59">
        <v>5.0552826087199576E-4</v>
      </c>
      <c r="S143" s="59">
        <v>5.0552826087199576E-4</v>
      </c>
      <c r="T143" s="59">
        <v>5.0552826087199576E-4</v>
      </c>
      <c r="U143" s="59">
        <v>5.0552826087199576E-4</v>
      </c>
      <c r="V143" s="59">
        <v>5.0552826087199576E-4</v>
      </c>
      <c r="W143" s="59">
        <v>5.0552826087199576E-4</v>
      </c>
      <c r="Y143" s="61"/>
      <c r="Z143" s="61"/>
      <c r="AA143" s="61"/>
    </row>
    <row r="144" spans="2:27" s="59" customFormat="1" x14ac:dyDescent="0.2">
      <c r="C144" s="72" t="s">
        <v>31</v>
      </c>
      <c r="E144" s="74">
        <f>IF(E143&lt;-50,#N/A,IF(E143&lt;0,EXP((1738.4+28.74*E143)/(271+E143)),IF(E143&lt;=100,EXP((1500.3+23.5*E143)/(234+E143)),#N/A)))</f>
        <v>608.85537727910446</v>
      </c>
      <c r="F144" s="74">
        <f t="shared" ref="F144:W144" si="122">IF(F143&lt;-50,#N/A,IF(F143&lt;0,EXP((1738.4+28.74*F143)/(271+F143)),IF(F143&lt;=100,EXP((1500.3+23.5*F143)/(234+F143)),#N/A)))</f>
        <v>608.84416679294907</v>
      </c>
      <c r="G144" s="74">
        <f t="shared" si="122"/>
        <v>608.84124794948968</v>
      </c>
      <c r="H144" s="74">
        <f t="shared" si="122"/>
        <v>608.83147906263059</v>
      </c>
      <c r="I144" s="74">
        <f t="shared" si="122"/>
        <v>608.83279033311987</v>
      </c>
      <c r="J144" s="74">
        <f t="shared" si="122"/>
        <v>608.85209872667178</v>
      </c>
      <c r="K144" s="74">
        <f t="shared" si="122"/>
        <v>608.85209872667178</v>
      </c>
      <c r="L144" s="74">
        <f t="shared" si="122"/>
        <v>608.85209872667178</v>
      </c>
      <c r="M144" s="70">
        <f t="shared" si="122"/>
        <v>608.85209872667178</v>
      </c>
      <c r="N144" s="70">
        <f t="shared" si="122"/>
        <v>608.85209872667178</v>
      </c>
      <c r="O144" s="70">
        <f t="shared" si="122"/>
        <v>608.85209872667178</v>
      </c>
      <c r="P144" s="70">
        <f t="shared" si="122"/>
        <v>608.85209872667178</v>
      </c>
      <c r="Q144" s="70">
        <f t="shared" si="122"/>
        <v>608.85209872667178</v>
      </c>
      <c r="R144" s="70">
        <f t="shared" si="122"/>
        <v>608.85209872667178</v>
      </c>
      <c r="S144" s="70">
        <f t="shared" si="122"/>
        <v>608.85209872667178</v>
      </c>
      <c r="T144" s="70">
        <f t="shared" si="122"/>
        <v>608.85209872667178</v>
      </c>
      <c r="U144" s="70">
        <f t="shared" si="122"/>
        <v>608.85209872667178</v>
      </c>
      <c r="V144" s="70">
        <f t="shared" si="122"/>
        <v>608.85209872667178</v>
      </c>
      <c r="W144" s="70">
        <f t="shared" si="122"/>
        <v>608.85209872667178</v>
      </c>
      <c r="Y144" s="61"/>
      <c r="Z144" s="61"/>
      <c r="AA144" s="61"/>
    </row>
    <row r="145" spans="2:27" s="59" customFormat="1" x14ac:dyDescent="0.2">
      <c r="C145" s="72" t="s">
        <v>37</v>
      </c>
      <c r="E145" s="59">
        <f>0.6222*E141*E144/(Tlak_vzduchu-E141*E144/1000)</f>
        <v>0</v>
      </c>
      <c r="F145" s="59">
        <f t="shared" ref="F145:N145" si="123">0.6222*F141*F144/(Tlak_vzduchu-F141*F144/1000)</f>
        <v>0</v>
      </c>
      <c r="G145" s="59">
        <f t="shared" si="123"/>
        <v>0</v>
      </c>
      <c r="H145" s="59">
        <f t="shared" si="123"/>
        <v>0</v>
      </c>
      <c r="I145" s="59">
        <f t="shared" si="123"/>
        <v>0</v>
      </c>
      <c r="J145" s="59">
        <f t="shared" si="123"/>
        <v>0</v>
      </c>
      <c r="K145" s="59">
        <f t="shared" si="123"/>
        <v>0</v>
      </c>
      <c r="L145" s="59">
        <f t="shared" si="123"/>
        <v>0</v>
      </c>
      <c r="M145" s="59">
        <f t="shared" si="123"/>
        <v>0</v>
      </c>
      <c r="N145" s="59">
        <f t="shared" si="123"/>
        <v>0</v>
      </c>
      <c r="O145" s="59">
        <f t="shared" ref="O145:W145" si="124">0.6222*O141*O144/(Tlak_vzduchu-O141*O144/1000)</f>
        <v>0</v>
      </c>
      <c r="P145" s="59">
        <f t="shared" si="124"/>
        <v>0</v>
      </c>
      <c r="Q145" s="59">
        <f t="shared" si="124"/>
        <v>0</v>
      </c>
      <c r="R145" s="59">
        <f t="shared" si="124"/>
        <v>0</v>
      </c>
      <c r="S145" s="59">
        <f t="shared" si="124"/>
        <v>0</v>
      </c>
      <c r="T145" s="59">
        <f t="shared" si="124"/>
        <v>0</v>
      </c>
      <c r="U145" s="59">
        <f t="shared" si="124"/>
        <v>0</v>
      </c>
      <c r="V145" s="59">
        <f t="shared" si="124"/>
        <v>0</v>
      </c>
      <c r="W145" s="59">
        <f t="shared" si="124"/>
        <v>0</v>
      </c>
      <c r="Y145" s="61"/>
      <c r="Z145" s="61"/>
      <c r="AA145" s="61"/>
    </row>
    <row r="146" spans="2:27" s="59" customFormat="1" x14ac:dyDescent="0.2">
      <c r="C146" s="72" t="s">
        <v>38</v>
      </c>
      <c r="E146" s="59">
        <f>(E142-1.01*E143)/(2501+1.86*E143)*1000</f>
        <v>-2.339293966543309E-4</v>
      </c>
      <c r="F146" s="59">
        <f t="shared" ref="F146:W146" si="125">(F142-1.01*F143)/(2501+1.86*F143)*1000</f>
        <v>-1.321086534665256E-4</v>
      </c>
      <c r="G146" s="59">
        <f t="shared" si="125"/>
        <v>-1.0559758862666812E-4</v>
      </c>
      <c r="H146" s="59">
        <f t="shared" si="125"/>
        <v>-1.6868599132843162E-5</v>
      </c>
      <c r="I146" s="59">
        <f t="shared" si="125"/>
        <v>-2.8778700777965545E-5</v>
      </c>
      <c r="J146" s="59">
        <f t="shared" si="125"/>
        <v>-2.0415167993620569E-4</v>
      </c>
      <c r="K146" s="59">
        <f t="shared" si="125"/>
        <v>-2.0415167993620569E-4</v>
      </c>
      <c r="L146" s="59">
        <f t="shared" si="125"/>
        <v>-2.0415167993620569E-4</v>
      </c>
      <c r="M146" s="59">
        <f t="shared" si="125"/>
        <v>-2.0415167993620569E-4</v>
      </c>
      <c r="N146" s="59">
        <f t="shared" si="125"/>
        <v>-2.0415167993620569E-4</v>
      </c>
      <c r="O146" s="59">
        <f t="shared" si="125"/>
        <v>-2.0415167993620569E-4</v>
      </c>
      <c r="P146" s="59">
        <f t="shared" si="125"/>
        <v>-2.0415167993620569E-4</v>
      </c>
      <c r="Q146" s="59">
        <f t="shared" si="125"/>
        <v>-2.0415167993620569E-4</v>
      </c>
      <c r="R146" s="59">
        <f t="shared" si="125"/>
        <v>-2.0415167993620569E-4</v>
      </c>
      <c r="S146" s="59">
        <f t="shared" si="125"/>
        <v>-2.0415167993620569E-4</v>
      </c>
      <c r="T146" s="59">
        <f t="shared" si="125"/>
        <v>-2.0415167993620569E-4</v>
      </c>
      <c r="U146" s="59">
        <f t="shared" si="125"/>
        <v>-2.0415167993620569E-4</v>
      </c>
      <c r="V146" s="59">
        <f t="shared" si="125"/>
        <v>-2.0415167993620569E-4</v>
      </c>
      <c r="W146" s="59">
        <f t="shared" si="125"/>
        <v>-2.0415167993620569E-4</v>
      </c>
      <c r="Y146" s="61"/>
      <c r="Z146" s="61"/>
      <c r="AA146" s="61"/>
    </row>
    <row r="147" spans="2:27" s="59" customFormat="1" x14ac:dyDescent="0.2">
      <c r="C147" s="73" t="s">
        <v>39</v>
      </c>
      <c r="E147" s="59">
        <f>E145-E146</f>
        <v>2.339293966543309E-4</v>
      </c>
      <c r="F147" s="59">
        <f t="shared" ref="F147:W147" si="126">F145-F146</f>
        <v>1.321086534665256E-4</v>
      </c>
      <c r="G147" s="59">
        <f t="shared" si="126"/>
        <v>1.0559758862666812E-4</v>
      </c>
      <c r="H147" s="59">
        <f t="shared" si="126"/>
        <v>1.6868599132843162E-5</v>
      </c>
      <c r="I147" s="59">
        <f t="shared" si="126"/>
        <v>2.8778700777965545E-5</v>
      </c>
      <c r="J147" s="59">
        <f t="shared" si="126"/>
        <v>2.0415167993620569E-4</v>
      </c>
      <c r="K147" s="59">
        <f t="shared" si="126"/>
        <v>2.0415167993620569E-4</v>
      </c>
      <c r="L147" s="59">
        <f t="shared" si="126"/>
        <v>2.0415167993620569E-4</v>
      </c>
      <c r="M147" s="59">
        <f t="shared" si="126"/>
        <v>2.0415167993620569E-4</v>
      </c>
      <c r="N147" s="59">
        <f t="shared" si="126"/>
        <v>2.0415167993620569E-4</v>
      </c>
      <c r="O147" s="59">
        <f t="shared" si="126"/>
        <v>2.0415167993620569E-4</v>
      </c>
      <c r="P147" s="59">
        <f t="shared" si="126"/>
        <v>2.0415167993620569E-4</v>
      </c>
      <c r="Q147" s="59">
        <f t="shared" si="126"/>
        <v>2.0415167993620569E-4</v>
      </c>
      <c r="R147" s="59">
        <f t="shared" si="126"/>
        <v>2.0415167993620569E-4</v>
      </c>
      <c r="S147" s="59">
        <f t="shared" si="126"/>
        <v>2.0415167993620569E-4</v>
      </c>
      <c r="T147" s="59">
        <f t="shared" si="126"/>
        <v>2.0415167993620569E-4</v>
      </c>
      <c r="U147" s="59">
        <f t="shared" si="126"/>
        <v>2.0415167993620569E-4</v>
      </c>
      <c r="V147" s="59">
        <f t="shared" si="126"/>
        <v>2.0415167993620569E-4</v>
      </c>
      <c r="W147" s="59">
        <f t="shared" si="126"/>
        <v>2.0415167993620569E-4</v>
      </c>
      <c r="Y147" s="61"/>
      <c r="Z147" s="61"/>
      <c r="AA147" s="61"/>
    </row>
    <row r="148" spans="2:27" s="59" customFormat="1" x14ac:dyDescent="0.2">
      <c r="B148" s="76" t="s">
        <v>70</v>
      </c>
      <c r="C148" s="65" t="s">
        <v>33</v>
      </c>
      <c r="E148" s="59">
        <f>IF(AND(E141=0,E142=0),0,E143)</f>
        <v>0</v>
      </c>
      <c r="F148" s="59">
        <f t="shared" ref="F148:W148" si="127">IF(AND(F141=0,F142=0),0,F143)</f>
        <v>0</v>
      </c>
      <c r="G148" s="59">
        <f t="shared" si="127"/>
        <v>0</v>
      </c>
      <c r="H148" s="59">
        <f t="shared" si="127"/>
        <v>0</v>
      </c>
      <c r="I148" s="59">
        <f t="shared" si="127"/>
        <v>0</v>
      </c>
      <c r="J148" s="59">
        <f t="shared" si="127"/>
        <v>0</v>
      </c>
      <c r="K148" s="59">
        <f t="shared" si="127"/>
        <v>0</v>
      </c>
      <c r="L148" s="59">
        <f t="shared" si="127"/>
        <v>0</v>
      </c>
      <c r="M148" s="59">
        <f t="shared" si="127"/>
        <v>0</v>
      </c>
      <c r="N148" s="59">
        <f t="shared" si="127"/>
        <v>0</v>
      </c>
      <c r="O148" s="59">
        <f t="shared" si="127"/>
        <v>0</v>
      </c>
      <c r="P148" s="59">
        <f t="shared" si="127"/>
        <v>0</v>
      </c>
      <c r="Q148" s="59">
        <f t="shared" si="127"/>
        <v>0</v>
      </c>
      <c r="R148" s="59">
        <f t="shared" si="127"/>
        <v>0</v>
      </c>
      <c r="S148" s="59">
        <f t="shared" si="127"/>
        <v>0</v>
      </c>
      <c r="T148" s="59">
        <f t="shared" si="127"/>
        <v>0</v>
      </c>
      <c r="U148" s="59">
        <f t="shared" si="127"/>
        <v>0</v>
      </c>
      <c r="V148" s="59">
        <f t="shared" si="127"/>
        <v>0</v>
      </c>
      <c r="W148" s="59">
        <f t="shared" si="127"/>
        <v>0</v>
      </c>
      <c r="Y148" s="61"/>
      <c r="Z148" s="61"/>
      <c r="AA148" s="61"/>
    </row>
    <row r="149" spans="2:27" s="59" customFormat="1" x14ac:dyDescent="0.2">
      <c r="C149" s="65" t="s">
        <v>34</v>
      </c>
      <c r="E149" s="59">
        <f>IF(AND(E141=0,E142=0),0,E145)</f>
        <v>0</v>
      </c>
      <c r="F149" s="59">
        <f t="shared" ref="F149:W149" si="128">IF(AND(F141=0,F142=0),0,F145)</f>
        <v>0</v>
      </c>
      <c r="G149" s="59">
        <f t="shared" si="128"/>
        <v>0</v>
      </c>
      <c r="H149" s="59">
        <f t="shared" si="128"/>
        <v>0</v>
      </c>
      <c r="I149" s="59">
        <f t="shared" si="128"/>
        <v>0</v>
      </c>
      <c r="J149" s="59">
        <f t="shared" si="128"/>
        <v>0</v>
      </c>
      <c r="K149" s="59">
        <f t="shared" si="128"/>
        <v>0</v>
      </c>
      <c r="L149" s="59">
        <f t="shared" si="128"/>
        <v>0</v>
      </c>
      <c r="M149" s="59">
        <f t="shared" si="128"/>
        <v>0</v>
      </c>
      <c r="N149" s="59">
        <f t="shared" si="128"/>
        <v>0</v>
      </c>
      <c r="O149" s="59">
        <f t="shared" si="128"/>
        <v>0</v>
      </c>
      <c r="P149" s="59">
        <f t="shared" si="128"/>
        <v>0</v>
      </c>
      <c r="Q149" s="59">
        <f t="shared" si="128"/>
        <v>0</v>
      </c>
      <c r="R149" s="59">
        <f t="shared" si="128"/>
        <v>0</v>
      </c>
      <c r="S149" s="59">
        <f t="shared" si="128"/>
        <v>0</v>
      </c>
      <c r="T149" s="59">
        <f t="shared" si="128"/>
        <v>0</v>
      </c>
      <c r="U149" s="59">
        <f t="shared" si="128"/>
        <v>0</v>
      </c>
      <c r="V149" s="59">
        <f t="shared" si="128"/>
        <v>0</v>
      </c>
      <c r="W149" s="59">
        <f t="shared" si="128"/>
        <v>0</v>
      </c>
      <c r="Y149" s="61"/>
      <c r="Z149" s="61"/>
      <c r="AA149" s="61"/>
    </row>
    <row r="150" spans="2:27" s="59" customFormat="1" x14ac:dyDescent="0.2">
      <c r="Y150" s="61"/>
      <c r="Z150" s="61"/>
      <c r="AA150" s="61"/>
    </row>
    <row r="151" spans="2:27" s="59" customFormat="1" x14ac:dyDescent="0.2">
      <c r="B151" s="112" t="s">
        <v>70</v>
      </c>
      <c r="C151" s="62" t="s">
        <v>33</v>
      </c>
      <c r="E151" s="77">
        <f>E106+E114+E120+E131+E138+E148</f>
        <v>-25</v>
      </c>
      <c r="F151" s="77">
        <f t="shared" ref="F151:W151" si="129">F106+F114+F120+F131+F138+F148</f>
        <v>-25</v>
      </c>
      <c r="G151" s="77">
        <f t="shared" si="129"/>
        <v>-25</v>
      </c>
      <c r="H151" s="77">
        <f t="shared" si="129"/>
        <v>-25</v>
      </c>
      <c r="I151" s="77">
        <f t="shared" si="129"/>
        <v>20</v>
      </c>
      <c r="J151" s="77">
        <f t="shared" si="129"/>
        <v>4.277020603210544</v>
      </c>
      <c r="K151" s="77">
        <f t="shared" si="129"/>
        <v>4.277020603210544</v>
      </c>
      <c r="L151" s="77">
        <f t="shared" si="129"/>
        <v>8</v>
      </c>
      <c r="M151" s="77">
        <f t="shared" si="129"/>
        <v>8</v>
      </c>
      <c r="N151" s="77">
        <f t="shared" si="129"/>
        <v>20</v>
      </c>
      <c r="O151" s="77">
        <f t="shared" si="129"/>
        <v>35</v>
      </c>
      <c r="P151" s="77">
        <f t="shared" si="129"/>
        <v>16</v>
      </c>
      <c r="Q151" s="77">
        <f t="shared" si="129"/>
        <v>16</v>
      </c>
      <c r="R151" s="77">
        <f t="shared" si="129"/>
        <v>20</v>
      </c>
      <c r="S151" s="77">
        <f t="shared" si="129"/>
        <v>20</v>
      </c>
      <c r="T151" s="77">
        <f t="shared" si="129"/>
        <v>20</v>
      </c>
      <c r="U151" s="77">
        <f t="shared" si="129"/>
        <v>20</v>
      </c>
      <c r="V151" s="77">
        <f t="shared" si="129"/>
        <v>0</v>
      </c>
      <c r="W151" s="77">
        <f t="shared" si="129"/>
        <v>0</v>
      </c>
      <c r="Y151" s="61"/>
      <c r="Z151" s="61"/>
      <c r="AA151" s="61"/>
    </row>
    <row r="152" spans="2:27" s="59" customFormat="1" x14ac:dyDescent="0.2">
      <c r="C152" s="62" t="s">
        <v>34</v>
      </c>
      <c r="E152" s="77">
        <f>E107+E115+E121+E132+E139+E149</f>
        <v>8.3203757830561539E-2</v>
      </c>
      <c r="F152" s="77">
        <f t="shared" ref="F152:W152" si="130">IF(F14="-",E152,F107+F115+F121+F132+F139+F149)</f>
        <v>8.3203757830561539E-2</v>
      </c>
      <c r="G152" s="77">
        <f t="shared" si="130"/>
        <v>8.3203757830561539E-2</v>
      </c>
      <c r="H152" s="77">
        <f t="shared" si="130"/>
        <v>8.3203757830561539E-2</v>
      </c>
      <c r="I152" s="77">
        <f t="shared" si="130"/>
        <v>9.3757233081908904</v>
      </c>
      <c r="J152" s="77">
        <f t="shared" si="130"/>
        <v>5.4957390094007232</v>
      </c>
      <c r="K152" s="77">
        <f t="shared" si="130"/>
        <v>5.4480985171597482E-2</v>
      </c>
      <c r="L152" s="77">
        <f t="shared" si="130"/>
        <v>5.4480985171597482E-2</v>
      </c>
      <c r="M152" s="77">
        <f t="shared" si="130"/>
        <v>5.4476262829484417E-4</v>
      </c>
      <c r="N152" s="77">
        <f t="shared" si="130"/>
        <v>5.4476262829484417E-4</v>
      </c>
      <c r="O152" s="77">
        <f t="shared" si="130"/>
        <v>15.17511246915182</v>
      </c>
      <c r="P152" s="77">
        <f t="shared" si="130"/>
        <v>9.2012211080269264</v>
      </c>
      <c r="Q152" s="77">
        <f t="shared" si="130"/>
        <v>9.0684559843778378E-2</v>
      </c>
      <c r="R152" s="77">
        <f t="shared" si="130"/>
        <v>9.0684559843778378E-2</v>
      </c>
      <c r="S152" s="77">
        <f t="shared" si="130"/>
        <v>9.0671476786990859E-4</v>
      </c>
      <c r="T152" s="77">
        <f>IF(T14="-",#REF!,T107+T115+T121+T132+T139+T149)</f>
        <v>9.0671345975486622E-6</v>
      </c>
      <c r="U152" s="77">
        <f t="shared" si="130"/>
        <v>9.0671344667373509E-8</v>
      </c>
      <c r="V152" s="77">
        <f t="shared" si="130"/>
        <v>9.0671344667373509E-8</v>
      </c>
      <c r="W152" s="77">
        <f t="shared" si="130"/>
        <v>9.0671344667373509E-8</v>
      </c>
      <c r="Y152" s="61"/>
      <c r="Z152" s="61"/>
      <c r="AA152" s="61"/>
    </row>
    <row r="153" spans="2:27" s="59" customFormat="1" x14ac:dyDescent="0.2">
      <c r="C153" s="62" t="s">
        <v>8</v>
      </c>
      <c r="E153" s="77">
        <f>(E19-E152*2.501)/1.01</f>
        <v>-25.003830668058537</v>
      </c>
      <c r="F153" s="77">
        <f t="shared" ref="F153:W153" si="131">IF(F14="-",E153,(F19-F152*2.501)/1.01)</f>
        <v>-25.003830668058537</v>
      </c>
      <c r="G153" s="77">
        <f t="shared" si="131"/>
        <v>-25.003830668058537</v>
      </c>
      <c r="H153" s="77">
        <f t="shared" si="131"/>
        <v>-25.003830668058537</v>
      </c>
      <c r="I153" s="77">
        <f t="shared" si="131"/>
        <v>20.345323670361086</v>
      </c>
      <c r="J153" s="77">
        <f t="shared" si="131"/>
        <v>4.3203077551807594</v>
      </c>
      <c r="K153" s="77">
        <f t="shared" si="131"/>
        <v>4.277449722330025</v>
      </c>
      <c r="L153" s="77">
        <f t="shared" si="131"/>
        <v>8.0008026505538137</v>
      </c>
      <c r="M153" s="77">
        <f t="shared" si="131"/>
        <v>8.0000080258098105</v>
      </c>
      <c r="N153" s="77">
        <f t="shared" si="131"/>
        <v>20.000020064524527</v>
      </c>
      <c r="O153" s="77">
        <f t="shared" si="131"/>
        <v>35.978118635387915</v>
      </c>
      <c r="P153" s="77">
        <f t="shared" si="131"/>
        <v>16.271117168489983</v>
      </c>
      <c r="Q153" s="77">
        <f t="shared" si="131"/>
        <v>16.00267205198114</v>
      </c>
      <c r="R153" s="77">
        <f t="shared" si="131"/>
        <v>20.003340064976424</v>
      </c>
      <c r="S153" s="77">
        <f t="shared" si="131"/>
        <v>20.000033395831053</v>
      </c>
      <c r="T153" s="77">
        <f>IF(T14="-",#REF!,(T19-T152*2.501)/1.01)</f>
        <v>20.000000333957825</v>
      </c>
      <c r="U153" s="77">
        <f t="shared" si="131"/>
        <v>20.000000003339579</v>
      </c>
      <c r="V153" s="77">
        <f t="shared" si="131"/>
        <v>20.000000003339579</v>
      </c>
      <c r="W153" s="77">
        <f t="shared" si="131"/>
        <v>20.000000003339579</v>
      </c>
      <c r="Y153" s="61"/>
      <c r="Z153" s="61"/>
      <c r="AA153" s="61"/>
    </row>
    <row r="154" spans="2:27" s="59" customFormat="1" x14ac:dyDescent="0.2">
      <c r="C154" s="62" t="s">
        <v>31</v>
      </c>
      <c r="E154" s="77">
        <f>IF(E151&lt;-50,#N/A,IF(E151&lt;0,EXP((1738.4+28.74*E151)/(271+E151)),IF(E151&lt;=100,EXP((1500.3+23.5*E151)/(234+E151)),#N/A)))</f>
        <v>63.176661908168398</v>
      </c>
      <c r="F154" s="77">
        <f t="shared" ref="F154:W154" si="132">IF(F151&lt;-50,#N/A,IF(F151&lt;0,EXP((1738.4+28.74*F151)/(271+F151)),IF(F151&lt;=100,EXP((1500.3+23.5*F151)/(234+F151)),#N/A)))</f>
        <v>63.176661908168398</v>
      </c>
      <c r="G154" s="77">
        <f t="shared" si="132"/>
        <v>63.176661908168398</v>
      </c>
      <c r="H154" s="77">
        <f t="shared" si="132"/>
        <v>63.176661908168398</v>
      </c>
      <c r="I154" s="77">
        <f t="shared" si="132"/>
        <v>2338.0829353370973</v>
      </c>
      <c r="J154" s="77">
        <f t="shared" si="132"/>
        <v>827.38706687411548</v>
      </c>
      <c r="K154" s="77">
        <f t="shared" si="132"/>
        <v>827.38706687411548</v>
      </c>
      <c r="L154" s="77">
        <f t="shared" si="132"/>
        <v>1071.1051886578423</v>
      </c>
      <c r="M154" s="77">
        <f t="shared" si="132"/>
        <v>1071.1051886578423</v>
      </c>
      <c r="N154" s="77">
        <f t="shared" si="132"/>
        <v>2338.0829353370973</v>
      </c>
      <c r="O154" s="77">
        <f t="shared" si="132"/>
        <v>5624.8200638844883</v>
      </c>
      <c r="P154" s="77">
        <f t="shared" si="132"/>
        <v>1817.4687221706879</v>
      </c>
      <c r="Q154" s="77">
        <f t="shared" si="132"/>
        <v>1817.4687221706879</v>
      </c>
      <c r="R154" s="77">
        <f t="shared" si="132"/>
        <v>2338.0829353370973</v>
      </c>
      <c r="S154" s="77">
        <f t="shared" si="132"/>
        <v>2338.0829353370973</v>
      </c>
      <c r="T154" s="77">
        <f t="shared" si="132"/>
        <v>2338.0829353370973</v>
      </c>
      <c r="U154" s="77">
        <f t="shared" si="132"/>
        <v>2338.0829353370973</v>
      </c>
      <c r="V154" s="77">
        <f t="shared" si="132"/>
        <v>608.82962187913188</v>
      </c>
      <c r="W154" s="77">
        <f t="shared" si="132"/>
        <v>608.82962187913188</v>
      </c>
      <c r="Y154" s="61"/>
      <c r="Z154" s="61"/>
      <c r="AA154" s="61"/>
    </row>
    <row r="155" spans="2:27" s="59" customFormat="1" x14ac:dyDescent="0.2">
      <c r="C155" s="59" t="s">
        <v>3</v>
      </c>
      <c r="E155" s="77">
        <f>1.01*E151+(2501+1.86*E151)*E152/1000</f>
        <v>-25.045776376404888</v>
      </c>
      <c r="F155" s="77">
        <f t="shared" ref="F155:W155" si="133">1.01*F151+(2501+1.86*F151)*F152/1000</f>
        <v>-25.045776376404888</v>
      </c>
      <c r="G155" s="77">
        <f t="shared" si="133"/>
        <v>-25.045776376404888</v>
      </c>
      <c r="H155" s="77">
        <f t="shared" si="133"/>
        <v>-25.045776376404888</v>
      </c>
      <c r="I155" s="77">
        <f t="shared" si="133"/>
        <v>43.997460900850115</v>
      </c>
      <c r="J155" s="77">
        <f t="shared" si="133"/>
        <v>18.108354095243776</v>
      </c>
      <c r="K155" s="77">
        <f t="shared" si="133"/>
        <v>4.4564811634674903</v>
      </c>
      <c r="L155" s="77">
        <f t="shared" si="133"/>
        <v>8.2170676209735181</v>
      </c>
      <c r="M155" s="77">
        <f t="shared" si="133"/>
        <v>8.0813705574012751</v>
      </c>
      <c r="N155" s="77">
        <f t="shared" si="133"/>
        <v>20.201382716503137</v>
      </c>
      <c r="O155" s="77">
        <f t="shared" si="133"/>
        <v>74.290856107090491</v>
      </c>
      <c r="P155" s="77">
        <f t="shared" si="133"/>
        <v>39.446082331350226</v>
      </c>
      <c r="Q155" s="77">
        <f t="shared" si="133"/>
        <v>16.389500856670242</v>
      </c>
      <c r="R155" s="77">
        <f t="shared" si="133"/>
        <v>20.430175549795479</v>
      </c>
      <c r="S155" s="77">
        <f t="shared" si="133"/>
        <v>20.202301423423808</v>
      </c>
      <c r="T155" s="77">
        <f t="shared" si="133"/>
        <v>20.200023014201033</v>
      </c>
      <c r="U155" s="77">
        <f t="shared" si="133"/>
        <v>20.200000230142006</v>
      </c>
      <c r="V155" s="77">
        <f t="shared" si="133"/>
        <v>2.2676903301310114E-7</v>
      </c>
      <c r="W155" s="77">
        <f t="shared" si="133"/>
        <v>2.2676903301310114E-7</v>
      </c>
      <c r="Y155" s="61"/>
      <c r="Z155" s="61"/>
      <c r="AA155" s="61"/>
    </row>
    <row r="156" spans="2:27" s="59" customFormat="1" ht="38.25" x14ac:dyDescent="0.2">
      <c r="B156" s="64" t="s">
        <v>116</v>
      </c>
      <c r="C156" s="113" t="s">
        <v>0</v>
      </c>
      <c r="E156" s="59">
        <v>-25.736542713815986</v>
      </c>
      <c r="F156" s="59">
        <v>-25.736542701112796</v>
      </c>
      <c r="G156" s="59">
        <v>-25.736542710631916</v>
      </c>
      <c r="H156" s="59">
        <v>-25.736542713815986</v>
      </c>
      <c r="I156" s="59">
        <v>14.98170477717769</v>
      </c>
      <c r="J156" s="59">
        <v>4.2780735733811968</v>
      </c>
      <c r="K156" s="59">
        <v>-3.2203557258118334</v>
      </c>
      <c r="L156" s="59">
        <v>-1.1207509577152117</v>
      </c>
      <c r="M156" s="59">
        <v>-1.1213952521538815</v>
      </c>
      <c r="N156" s="59">
        <v>5.3064115875936508</v>
      </c>
      <c r="O156" s="59">
        <v>-2.6495095945477067</v>
      </c>
      <c r="P156" s="59">
        <v>-2.6495095945477067</v>
      </c>
      <c r="Q156" s="59">
        <v>-2.6495095945477067</v>
      </c>
      <c r="R156" s="59">
        <v>-2.6495095945477067</v>
      </c>
      <c r="S156" s="59">
        <v>-2.6495095945477067</v>
      </c>
      <c r="T156" s="59">
        <v>-2.6495095945477067</v>
      </c>
      <c r="U156" s="59">
        <v>-2.6495095945477067</v>
      </c>
      <c r="V156" s="59">
        <v>-2.6495095945477067</v>
      </c>
      <c r="W156" s="59">
        <v>-2.6495095945477067</v>
      </c>
      <c r="Y156" s="61"/>
      <c r="Z156" s="61"/>
      <c r="AA156" s="61"/>
    </row>
    <row r="157" spans="2:27" s="59" customFormat="1" x14ac:dyDescent="0.2">
      <c r="C157" s="113" t="s">
        <v>31</v>
      </c>
      <c r="E157" s="70">
        <f>IF(E156&lt;-50,#N/A,IF(E156&lt;0,EXP((1738.4+28.74*E156)/(271+E156)),IF(E156&lt;=100,EXP((1500.3+23.5*E156)/(234+E156)),#N/A)))</f>
        <v>58.678730708358543</v>
      </c>
      <c r="F157" s="70">
        <f t="shared" ref="F157:W157" si="134">IF(F156&lt;-50,#N/A,IF(F156&lt;0,EXP((1738.4+28.74*F156)/(271+F156)),IF(F156&lt;=100,EXP((1500.3+23.5*F156)/(234+F156)),#N/A)))</f>
        <v>58.678730783329527</v>
      </c>
      <c r="G157" s="70">
        <f t="shared" si="134"/>
        <v>58.678730727150125</v>
      </c>
      <c r="H157" s="70">
        <f t="shared" si="134"/>
        <v>58.678730708358543</v>
      </c>
      <c r="I157" s="70">
        <f t="shared" si="134"/>
        <v>1702.3821849147248</v>
      </c>
      <c r="J157" s="70">
        <f t="shared" si="134"/>
        <v>827.44842802285166</v>
      </c>
      <c r="K157" s="70">
        <f t="shared" si="134"/>
        <v>466.97404036591337</v>
      </c>
      <c r="L157" s="70">
        <f t="shared" si="134"/>
        <v>556.712076701559</v>
      </c>
      <c r="M157" s="70">
        <f t="shared" si="134"/>
        <v>556.68228255987378</v>
      </c>
      <c r="N157" s="70">
        <f t="shared" si="134"/>
        <v>889.32276676527488</v>
      </c>
      <c r="O157" s="70">
        <f t="shared" si="134"/>
        <v>489.96598295343301</v>
      </c>
      <c r="P157" s="70">
        <f t="shared" si="134"/>
        <v>489.96598295343301</v>
      </c>
      <c r="Q157" s="70">
        <f t="shared" si="134"/>
        <v>489.96598295343301</v>
      </c>
      <c r="R157" s="70">
        <f t="shared" si="134"/>
        <v>489.96598295343301</v>
      </c>
      <c r="S157" s="70">
        <f t="shared" si="134"/>
        <v>489.96598295343301</v>
      </c>
      <c r="T157" s="70">
        <f t="shared" si="134"/>
        <v>489.96598295343301</v>
      </c>
      <c r="U157" s="70">
        <f t="shared" si="134"/>
        <v>489.96598295343301</v>
      </c>
      <c r="V157" s="70">
        <f t="shared" si="134"/>
        <v>489.96598295343301</v>
      </c>
      <c r="W157" s="70">
        <f t="shared" si="134"/>
        <v>489.96598295343301</v>
      </c>
      <c r="Y157" s="61"/>
      <c r="Z157" s="61"/>
      <c r="AA157" s="61"/>
    </row>
    <row r="158" spans="2:27" s="59" customFormat="1" x14ac:dyDescent="0.2">
      <c r="C158" s="113" t="s">
        <v>37</v>
      </c>
      <c r="E158" s="59">
        <f>0.6222*E157/(Tlak_vzduchu-E157/1000)</f>
        <v>0.38658826196041562</v>
      </c>
      <c r="F158" s="59">
        <f t="shared" ref="F158:N158" si="135">0.6222*F157/(Tlak_vzduchu-F157/1000)</f>
        <v>0.38658826245464761</v>
      </c>
      <c r="G158" s="59">
        <f t="shared" si="135"/>
        <v>0.38658826208429553</v>
      </c>
      <c r="H158" s="59">
        <f t="shared" si="135"/>
        <v>0.38658826196041562</v>
      </c>
      <c r="I158" s="59">
        <f t="shared" si="135"/>
        <v>11.414325285425091</v>
      </c>
      <c r="J158" s="59">
        <f t="shared" si="135"/>
        <v>5.4961501878191186</v>
      </c>
      <c r="K158" s="59">
        <f t="shared" si="135"/>
        <v>3.0898851222803074</v>
      </c>
      <c r="L158" s="59">
        <f t="shared" si="135"/>
        <v>3.6871847023975017</v>
      </c>
      <c r="M158" s="59">
        <f t="shared" si="135"/>
        <v>3.6869862021538116</v>
      </c>
      <c r="N158" s="59">
        <f t="shared" si="135"/>
        <v>5.9110417939044897</v>
      </c>
      <c r="O158" s="59">
        <f t="shared" ref="O158:W158" si="136">0.6222*O157/(Tlak_vzduchu-O157/1000)</f>
        <v>3.2428116613418863</v>
      </c>
      <c r="P158" s="59">
        <f t="shared" si="136"/>
        <v>3.2428116613418863</v>
      </c>
      <c r="Q158" s="59">
        <f t="shared" si="136"/>
        <v>3.2428116613418863</v>
      </c>
      <c r="R158" s="59">
        <f t="shared" si="136"/>
        <v>3.2428116613418863</v>
      </c>
      <c r="S158" s="59">
        <f t="shared" si="136"/>
        <v>3.2428116613418863</v>
      </c>
      <c r="T158" s="59">
        <f t="shared" si="136"/>
        <v>3.2428116613418863</v>
      </c>
      <c r="U158" s="59">
        <f t="shared" si="136"/>
        <v>3.2428116613418863</v>
      </c>
      <c r="V158" s="59">
        <f t="shared" si="136"/>
        <v>3.2428116613418863</v>
      </c>
      <c r="W158" s="59">
        <f t="shared" si="136"/>
        <v>3.2428116613418863</v>
      </c>
      <c r="Y158" s="61"/>
      <c r="Z158" s="61"/>
      <c r="AA158" s="61"/>
    </row>
    <row r="159" spans="2:27" s="59" customFormat="1" x14ac:dyDescent="0.2">
      <c r="C159" s="113" t="s">
        <v>38</v>
      </c>
      <c r="E159" s="59">
        <f>(E155-1.01*E156)/(2501+1.86*E156)*1000</f>
        <v>0.38649878022804823</v>
      </c>
      <c r="F159" s="59">
        <f t="shared" ref="F159:W159" si="137">(F155-1.01*F156)/(2501+1.86*F156)*1000</f>
        <v>0.38649877499418134</v>
      </c>
      <c r="G159" s="59">
        <f t="shared" si="137"/>
        <v>0.38649877891617246</v>
      </c>
      <c r="H159" s="59">
        <f t="shared" si="137"/>
        <v>0.38649878022804823</v>
      </c>
      <c r="I159" s="59">
        <f t="shared" si="137"/>
        <v>11.414578474395169</v>
      </c>
      <c r="J159" s="59">
        <f t="shared" si="137"/>
        <v>5.4953108381251266</v>
      </c>
      <c r="K159" s="59">
        <f t="shared" si="137"/>
        <v>3.089783214923373</v>
      </c>
      <c r="L159" s="59">
        <f t="shared" si="137"/>
        <v>3.7412335272431236</v>
      </c>
      <c r="M159" s="59">
        <f t="shared" si="137"/>
        <v>3.6871933195080837</v>
      </c>
      <c r="N159" s="59">
        <f t="shared" si="137"/>
        <v>5.9110616850314059</v>
      </c>
      <c r="O159" s="59">
        <f t="shared" si="137"/>
        <v>30.835193658807817</v>
      </c>
      <c r="P159" s="59">
        <f t="shared" si="137"/>
        <v>16.87534995155309</v>
      </c>
      <c r="Q159" s="59">
        <f t="shared" si="137"/>
        <v>7.6382036328070599</v>
      </c>
      <c r="R159" s="59">
        <f t="shared" si="137"/>
        <v>9.2570170465752906</v>
      </c>
      <c r="S159" s="59">
        <f t="shared" si="137"/>
        <v>9.1657239531102803</v>
      </c>
      <c r="T159" s="59">
        <f t="shared" si="137"/>
        <v>9.1648111552010221</v>
      </c>
      <c r="U159" s="59">
        <f t="shared" si="137"/>
        <v>9.1648020272352309</v>
      </c>
      <c r="V159" s="59">
        <f t="shared" si="137"/>
        <v>1.0720864668329173</v>
      </c>
      <c r="W159" s="59">
        <f t="shared" si="137"/>
        <v>1.0720864668329173</v>
      </c>
      <c r="Y159" s="61"/>
      <c r="Z159" s="61"/>
      <c r="AA159" s="61"/>
    </row>
    <row r="160" spans="2:27" s="59" customFormat="1" x14ac:dyDescent="0.2">
      <c r="C160" s="114" t="s">
        <v>39</v>
      </c>
      <c r="E160" s="59">
        <f>E158-E159</f>
        <v>8.948173236739132E-5</v>
      </c>
      <c r="F160" s="59">
        <f t="shared" ref="F160:W160" si="138">F158-F159</f>
        <v>8.9487460466275426E-5</v>
      </c>
      <c r="G160" s="59">
        <f t="shared" si="138"/>
        <v>8.9483168123072332E-5</v>
      </c>
      <c r="H160" s="59">
        <f t="shared" si="138"/>
        <v>8.948173236739132E-5</v>
      </c>
      <c r="I160" s="59">
        <f t="shared" si="138"/>
        <v>-2.5318897007764463E-4</v>
      </c>
      <c r="J160" s="59">
        <f t="shared" si="138"/>
        <v>8.3934969399201975E-4</v>
      </c>
      <c r="K160" s="59">
        <f t="shared" si="138"/>
        <v>1.0190735693438313E-4</v>
      </c>
      <c r="L160" s="59">
        <f t="shared" si="138"/>
        <v>-5.4048824845621901E-2</v>
      </c>
      <c r="M160" s="59">
        <f t="shared" si="138"/>
        <v>-2.0711735427214606E-4</v>
      </c>
      <c r="N160" s="59">
        <f t="shared" si="138"/>
        <v>-1.9891126916249391E-5</v>
      </c>
      <c r="O160" s="59">
        <f t="shared" si="138"/>
        <v>-27.592381997465932</v>
      </c>
      <c r="P160" s="59">
        <f t="shared" si="138"/>
        <v>-13.632538290211205</v>
      </c>
      <c r="Q160" s="59">
        <f t="shared" si="138"/>
        <v>-4.3953919714651732</v>
      </c>
      <c r="R160" s="59">
        <f t="shared" si="138"/>
        <v>-6.0142053852334048</v>
      </c>
      <c r="S160" s="59">
        <f t="shared" si="138"/>
        <v>-5.9229122917683945</v>
      </c>
      <c r="T160" s="59">
        <f t="shared" si="138"/>
        <v>-5.9219994938591363</v>
      </c>
      <c r="U160" s="59">
        <f t="shared" si="138"/>
        <v>-5.921990365893345</v>
      </c>
      <c r="V160" s="59">
        <f t="shared" si="138"/>
        <v>2.1707251945089689</v>
      </c>
      <c r="W160" s="59">
        <f t="shared" si="138"/>
        <v>2.1707251945089689</v>
      </c>
      <c r="Y160" s="61"/>
      <c r="Z160" s="61"/>
      <c r="AA160" s="61"/>
    </row>
    <row r="161" spans="2:27" s="59" customFormat="1" x14ac:dyDescent="0.2">
      <c r="B161" s="59" t="s">
        <v>49</v>
      </c>
      <c r="Y161" s="61"/>
      <c r="Z161" s="61"/>
      <c r="AA161" s="61"/>
    </row>
    <row r="162" spans="2:27" s="59" customFormat="1" x14ac:dyDescent="0.2">
      <c r="B162" s="59" t="s">
        <v>50</v>
      </c>
      <c r="C162" s="59">
        <v>1</v>
      </c>
      <c r="D162" s="59" t="s">
        <v>2</v>
      </c>
      <c r="E162" s="59">
        <f>IF(E$14="",E$152,-1)</f>
        <v>8.3203757830561539E-2</v>
      </c>
      <c r="Y162" s="61"/>
      <c r="Z162" s="61"/>
      <c r="AA162" s="61"/>
    </row>
    <row r="163" spans="2:27" s="59" customFormat="1" x14ac:dyDescent="0.2">
      <c r="D163" s="59" t="s">
        <v>8</v>
      </c>
      <c r="E163" s="59">
        <f>IF(E$14="",E$153,0)</f>
        <v>-25.003830668058537</v>
      </c>
      <c r="Y163" s="61"/>
      <c r="Z163" s="61"/>
      <c r="AA163" s="61"/>
    </row>
    <row r="164" spans="2:27" s="59" customFormat="1" x14ac:dyDescent="0.2">
      <c r="C164" s="59">
        <f>C162+1</f>
        <v>2</v>
      </c>
      <c r="D164" s="59" t="s">
        <v>2</v>
      </c>
      <c r="E164" s="59">
        <f>IF(F$28&lt;&gt;0,E$152,F164)</f>
        <v>8.3203757830561539E-2</v>
      </c>
      <c r="F164" s="59">
        <f>IF(F$14="",F$152,-1)</f>
        <v>8.3203757830561539E-2</v>
      </c>
      <c r="Y164" s="61"/>
      <c r="Z164" s="61"/>
      <c r="AA164" s="61"/>
    </row>
    <row r="165" spans="2:27" s="59" customFormat="1" x14ac:dyDescent="0.2">
      <c r="D165" s="59" t="s">
        <v>8</v>
      </c>
      <c r="E165" s="59">
        <f>IF(F$28&lt;&gt;0,E$153,F165)</f>
        <v>-25.003830668058537</v>
      </c>
      <c r="F165" s="59">
        <f>IF(F$14="",F$153,0)</f>
        <v>-25.003830668058537</v>
      </c>
      <c r="Y165" s="61"/>
      <c r="Z165" s="61"/>
      <c r="AA165" s="61"/>
    </row>
    <row r="166" spans="2:27" s="59" customFormat="1" x14ac:dyDescent="0.2">
      <c r="C166" s="59">
        <f>C164+1</f>
        <v>3</v>
      </c>
      <c r="D166" s="59" t="s">
        <v>2</v>
      </c>
      <c r="F166" s="59">
        <f>IF(G$28&lt;&gt;0,F$152,G166)</f>
        <v>8.3203757830561539E-2</v>
      </c>
      <c r="G166" s="59">
        <f>IF(G$14="",G$152,-1)</f>
        <v>8.3203757830561539E-2</v>
      </c>
      <c r="H166" s="59">
        <f>IF(G$28=5,E$152,G166)</f>
        <v>8.3203757830561539E-2</v>
      </c>
      <c r="Y166" s="61"/>
      <c r="Z166" s="61"/>
      <c r="AA166" s="61"/>
    </row>
    <row r="167" spans="2:27" s="59" customFormat="1" x14ac:dyDescent="0.2">
      <c r="D167" s="59" t="s">
        <v>8</v>
      </c>
      <c r="F167" s="59">
        <f>IF(G$28&lt;&gt;0,F$153,G167)</f>
        <v>-25.003830668058537</v>
      </c>
      <c r="G167" s="59">
        <f>IF(G$14="",G$153,0)</f>
        <v>-25.003830668058537</v>
      </c>
      <c r="H167" s="59">
        <f>IF(G$28=5,E$153,G167)</f>
        <v>-25.003830668058537</v>
      </c>
      <c r="Y167" s="61"/>
      <c r="Z167" s="61"/>
      <c r="AA167" s="61"/>
    </row>
    <row r="168" spans="2:27" s="59" customFormat="1" x14ac:dyDescent="0.2">
      <c r="C168" s="59">
        <f>C166+1</f>
        <v>4</v>
      </c>
      <c r="D168" s="59" t="s">
        <v>2</v>
      </c>
      <c r="G168" s="59">
        <f>IF(H$28&lt;&gt;0,G$152,H168)</f>
        <v>8.3203757830561539E-2</v>
      </c>
      <c r="H168" s="59">
        <f>IF(H$14="",H$152,-1)</f>
        <v>8.3203757830561539E-2</v>
      </c>
      <c r="I168" s="59">
        <f>IF(H$28=5,F$152,H168)</f>
        <v>8.3203757830561539E-2</v>
      </c>
      <c r="Y168" s="61"/>
      <c r="Z168" s="61"/>
      <c r="AA168" s="61"/>
    </row>
    <row r="169" spans="2:27" s="59" customFormat="1" x14ac:dyDescent="0.2">
      <c r="D169" s="59" t="s">
        <v>8</v>
      </c>
      <c r="G169" s="59">
        <f>IF(H$28&lt;&gt;0,G$153,H169)</f>
        <v>-25.003830668058537</v>
      </c>
      <c r="H169" s="59">
        <f>IF(H$14="",H$153,0)</f>
        <v>-25.003830668058537</v>
      </c>
      <c r="I169" s="59">
        <f>IF(H$28=5,F$153,H169)</f>
        <v>-25.003830668058537</v>
      </c>
      <c r="Y169" s="61"/>
      <c r="Z169" s="61"/>
      <c r="AA169" s="61"/>
    </row>
    <row r="170" spans="2:27" s="59" customFormat="1" x14ac:dyDescent="0.2">
      <c r="C170" s="59">
        <f>C168+1</f>
        <v>5</v>
      </c>
      <c r="D170" s="59" t="s">
        <v>2</v>
      </c>
      <c r="H170" s="59">
        <f>IF(I$28&lt;&gt;0,H$152,I170)</f>
        <v>9.3757233081908904</v>
      </c>
      <c r="I170" s="59">
        <f>IF(I$14="",I$152,-1)</f>
        <v>9.3757233081908904</v>
      </c>
      <c r="J170" s="59">
        <f>IF(I$28=5,G$152,I170)</f>
        <v>9.3757233081908904</v>
      </c>
      <c r="Y170" s="61"/>
      <c r="Z170" s="61"/>
      <c r="AA170" s="61"/>
    </row>
    <row r="171" spans="2:27" s="59" customFormat="1" x14ac:dyDescent="0.2">
      <c r="D171" s="59" t="s">
        <v>8</v>
      </c>
      <c r="H171" s="59">
        <f>IF(I$28&lt;&gt;0,H$153,I171)</f>
        <v>20.345323670361086</v>
      </c>
      <c r="I171" s="59">
        <f>IF(I$14="",I$153,0)</f>
        <v>20.345323670361086</v>
      </c>
      <c r="J171" s="59">
        <f>IF(I$28=5,G$153,I171)</f>
        <v>20.345323670361086</v>
      </c>
      <c r="Y171" s="61"/>
      <c r="Z171" s="61"/>
      <c r="AA171" s="61"/>
    </row>
    <row r="172" spans="2:27" s="59" customFormat="1" x14ac:dyDescent="0.2">
      <c r="C172" s="59">
        <f>C170+1</f>
        <v>6</v>
      </c>
      <c r="D172" s="59" t="s">
        <v>2</v>
      </c>
      <c r="I172" s="59">
        <f>IF(J$28&lt;&gt;0,I$152,J172)</f>
        <v>9.3757233081908904</v>
      </c>
      <c r="J172" s="59">
        <f>IF(J$14="",J$152,-1)</f>
        <v>5.4957390094007232</v>
      </c>
      <c r="K172" s="59">
        <f>IF(J$28=5,H$152,J172)</f>
        <v>8.3203757830561539E-2</v>
      </c>
      <c r="Y172" s="61"/>
      <c r="Z172" s="61"/>
      <c r="AA172" s="61"/>
    </row>
    <row r="173" spans="2:27" s="59" customFormat="1" x14ac:dyDescent="0.2">
      <c r="D173" s="59" t="s">
        <v>8</v>
      </c>
      <c r="I173" s="59">
        <f>IF(J$28&lt;&gt;0,I$153,J173)</f>
        <v>20.345323670361086</v>
      </c>
      <c r="J173" s="59">
        <f>IF(J$14="",J$153,0)</f>
        <v>4.3203077551807594</v>
      </c>
      <c r="K173" s="59">
        <f>IF(J$28=5,H$153,J173)</f>
        <v>-25.003830668058537</v>
      </c>
      <c r="Y173" s="61"/>
      <c r="Z173" s="61"/>
      <c r="AA173" s="61"/>
    </row>
    <row r="174" spans="2:27" s="59" customFormat="1" x14ac:dyDescent="0.2">
      <c r="C174" s="59">
        <f>C172+1</f>
        <v>7</v>
      </c>
      <c r="D174" s="59" t="s">
        <v>2</v>
      </c>
      <c r="J174" s="59">
        <f>IF(K$28&lt;&gt;0,J$152,K174)</f>
        <v>5.4480985171597482E-2</v>
      </c>
      <c r="K174" s="59">
        <f>IF(K$14="",K$152,-1)</f>
        <v>5.4480985171597482E-2</v>
      </c>
      <c r="L174" s="59">
        <f>IF(K$28=5,I$152,K174)</f>
        <v>5.4480985171597482E-2</v>
      </c>
      <c r="Y174" s="61"/>
      <c r="Z174" s="61"/>
      <c r="AA174" s="61"/>
    </row>
    <row r="175" spans="2:27" s="59" customFormat="1" x14ac:dyDescent="0.2">
      <c r="D175" s="59" t="s">
        <v>8</v>
      </c>
      <c r="J175" s="59">
        <f>IF(K$28&lt;&gt;0,J$153,K175)</f>
        <v>4.277449722330025</v>
      </c>
      <c r="K175" s="59">
        <f>IF(K$14="",K$153,0)</f>
        <v>4.277449722330025</v>
      </c>
      <c r="L175" s="59">
        <f>IF(K$28=5,I$153,K175)</f>
        <v>4.277449722330025</v>
      </c>
      <c r="Y175" s="61"/>
      <c r="Z175" s="61"/>
      <c r="AA175" s="61"/>
    </row>
    <row r="176" spans="2:27" s="59" customFormat="1" x14ac:dyDescent="0.2">
      <c r="C176" s="59">
        <f>C174+1</f>
        <v>8</v>
      </c>
      <c r="D176" s="59" t="s">
        <v>2</v>
      </c>
      <c r="K176" s="59">
        <f>IF(L$28&lt;&gt;0,K$152,L176)</f>
        <v>5.4480985171597482E-2</v>
      </c>
      <c r="L176" s="59">
        <f>IF(L$14="",L$152,-1)</f>
        <v>5.4480985171597482E-2</v>
      </c>
      <c r="M176" s="59">
        <f>IF(L$28=5,J$152,L176)</f>
        <v>5.4480985171597482E-2</v>
      </c>
      <c r="Y176" s="61"/>
      <c r="Z176" s="61"/>
      <c r="AA176" s="61"/>
    </row>
    <row r="177" spans="2:27" s="59" customFormat="1" x14ac:dyDescent="0.2">
      <c r="D177" s="59" t="s">
        <v>8</v>
      </c>
      <c r="K177" s="59">
        <f>IF(L$28&lt;&gt;0,K$153,L177)</f>
        <v>4.277449722330025</v>
      </c>
      <c r="L177" s="59">
        <f>IF(L$14="",L$153,0)</f>
        <v>8.0008026505538137</v>
      </c>
      <c r="M177" s="59">
        <f>IF(L$28=5,J$153,L177)</f>
        <v>8.0008026505538137</v>
      </c>
      <c r="Y177" s="61"/>
      <c r="Z177" s="61"/>
      <c r="AA177" s="61"/>
    </row>
    <row r="178" spans="2:27" s="59" customFormat="1" x14ac:dyDescent="0.2">
      <c r="C178" s="59">
        <f>C176+1</f>
        <v>9</v>
      </c>
      <c r="D178" s="59" t="s">
        <v>2</v>
      </c>
      <c r="L178" s="59">
        <f>IF(M$28&lt;&gt;0,L$152,M178)</f>
        <v>5.4476262829484417E-4</v>
      </c>
      <c r="M178" s="59">
        <f>IF(M$14="",M$152,-1)</f>
        <v>5.4476262829484417E-4</v>
      </c>
      <c r="N178" s="59">
        <f>IF(M$28=5,K$152,M178)</f>
        <v>5.4476262829484417E-4</v>
      </c>
      <c r="O178" s="59">
        <f t="shared" ref="O178:W178" si="139">IF(N$28=5,L$152,N178)</f>
        <v>5.4476262829484417E-4</v>
      </c>
      <c r="P178" s="59">
        <f t="shared" si="139"/>
        <v>5.4476262829484417E-4</v>
      </c>
      <c r="Q178" s="59">
        <f t="shared" si="139"/>
        <v>5.4476262829484417E-4</v>
      </c>
      <c r="R178" s="59">
        <f t="shared" si="139"/>
        <v>5.4476262829484417E-4</v>
      </c>
      <c r="S178" s="59">
        <f t="shared" si="139"/>
        <v>5.4476262829484417E-4</v>
      </c>
      <c r="T178" s="59" t="e">
        <f>IF(#REF!=5,R$152,#REF!)</f>
        <v>#REF!</v>
      </c>
      <c r="U178" s="59" t="e">
        <f>IF(T$28=5,S$152,T178)</f>
        <v>#REF!</v>
      </c>
      <c r="V178" s="59" t="e">
        <f>IF(U$28=5,#REF!,U178)</f>
        <v>#REF!</v>
      </c>
      <c r="W178" s="59" t="e">
        <f t="shared" si="139"/>
        <v>#REF!</v>
      </c>
      <c r="Y178" s="61"/>
      <c r="Z178" s="61"/>
      <c r="AA178" s="61"/>
    </row>
    <row r="179" spans="2:27" s="59" customFormat="1" x14ac:dyDescent="0.2">
      <c r="D179" s="59" t="s">
        <v>8</v>
      </c>
      <c r="L179" s="59">
        <f>IF(M$28&lt;&gt;0,L$153,M179)</f>
        <v>8.0000080258098105</v>
      </c>
      <c r="M179" s="59">
        <f>IF(M$14="",M$153,0)</f>
        <v>8.0000080258098105</v>
      </c>
      <c r="N179" s="59">
        <f>IF(M$28=5,K$153,M179)</f>
        <v>8.0000080258098105</v>
      </c>
      <c r="O179" s="59">
        <f t="shared" ref="O179:W179" si="140">IF(N$28=5,L$153,N179)</f>
        <v>8.0000080258098105</v>
      </c>
      <c r="P179" s="59">
        <f t="shared" si="140"/>
        <v>8.0000080258098105</v>
      </c>
      <c r="Q179" s="59">
        <f t="shared" si="140"/>
        <v>8.0000080258098105</v>
      </c>
      <c r="R179" s="59">
        <f t="shared" si="140"/>
        <v>8.0000080258098105</v>
      </c>
      <c r="S179" s="59">
        <f t="shared" si="140"/>
        <v>8.0000080258098105</v>
      </c>
      <c r="T179" s="59" t="e">
        <f>IF(#REF!=5,R$153,#REF!)</f>
        <v>#REF!</v>
      </c>
      <c r="U179" s="59" t="e">
        <f>IF(T$28=5,S$153,T179)</f>
        <v>#REF!</v>
      </c>
      <c r="V179" s="59" t="e">
        <f>IF(U$28=5,#REF!,U179)</f>
        <v>#REF!</v>
      </c>
      <c r="W179" s="59" t="e">
        <f t="shared" si="140"/>
        <v>#REF!</v>
      </c>
      <c r="Y179" s="61"/>
      <c r="Z179" s="61"/>
      <c r="AA179" s="61"/>
    </row>
    <row r="180" spans="2:27" s="59" customFormat="1" x14ac:dyDescent="0.2">
      <c r="C180" s="59">
        <f>C178+1</f>
        <v>10</v>
      </c>
      <c r="D180" s="59" t="s">
        <v>2</v>
      </c>
      <c r="M180" s="59">
        <f>IF(N$28&lt;&gt;0,M$152,N180)</f>
        <v>5.4476262829484417E-4</v>
      </c>
      <c r="N180" s="59">
        <f>IF(N$14="",N$152,-1)</f>
        <v>5.4476262829484417E-4</v>
      </c>
      <c r="O180" s="59">
        <f t="shared" ref="O180:W180" si="141">IF(O$14="",O$152,-1)</f>
        <v>15.17511246915182</v>
      </c>
      <c r="P180" s="59">
        <f t="shared" si="141"/>
        <v>9.2012211080269264</v>
      </c>
      <c r="Q180" s="59">
        <f t="shared" si="141"/>
        <v>9.0684559843778378E-2</v>
      </c>
      <c r="R180" s="59">
        <f t="shared" si="141"/>
        <v>9.0684559843778378E-2</v>
      </c>
      <c r="S180" s="59">
        <f t="shared" si="141"/>
        <v>9.0671476786990859E-4</v>
      </c>
      <c r="T180" s="59">
        <f t="shared" si="141"/>
        <v>9.0671345975486622E-6</v>
      </c>
      <c r="U180" s="59">
        <f t="shared" si="141"/>
        <v>9.0671344667373509E-8</v>
      </c>
      <c r="V180" s="59">
        <f t="shared" si="141"/>
        <v>-1</v>
      </c>
      <c r="W180" s="59">
        <f t="shared" si="141"/>
        <v>-1</v>
      </c>
      <c r="Y180" s="61"/>
      <c r="Z180" s="61"/>
      <c r="AA180" s="61"/>
    </row>
    <row r="181" spans="2:27" s="59" customFormat="1" x14ac:dyDescent="0.2">
      <c r="D181" s="59" t="s">
        <v>8</v>
      </c>
      <c r="M181" s="59">
        <f>IF(N$28&lt;&gt;0,M$153,N181)</f>
        <v>8.0000080258098105</v>
      </c>
      <c r="N181" s="59">
        <f>IF(N$14="",N$153,0)</f>
        <v>20.000020064524527</v>
      </c>
      <c r="O181" s="59">
        <f t="shared" ref="O181:W181" si="142">IF(O$14="",O$153,0)</f>
        <v>35.978118635387915</v>
      </c>
      <c r="P181" s="59">
        <f t="shared" si="142"/>
        <v>16.271117168489983</v>
      </c>
      <c r="Q181" s="59">
        <f t="shared" si="142"/>
        <v>16.00267205198114</v>
      </c>
      <c r="R181" s="59">
        <f t="shared" si="142"/>
        <v>20.003340064976424</v>
      </c>
      <c r="S181" s="59">
        <f t="shared" si="142"/>
        <v>20.000033395831053</v>
      </c>
      <c r="T181" s="59">
        <f t="shared" si="142"/>
        <v>20.000000333957825</v>
      </c>
      <c r="U181" s="59">
        <f t="shared" si="142"/>
        <v>20.000000003339579</v>
      </c>
      <c r="V181" s="59">
        <f t="shared" si="142"/>
        <v>0</v>
      </c>
      <c r="W181" s="59">
        <f t="shared" si="142"/>
        <v>0</v>
      </c>
      <c r="Y181" s="61"/>
      <c r="Z181" s="61"/>
      <c r="AA181" s="61"/>
    </row>
    <row r="182" spans="2:27" s="59" customFormat="1" x14ac:dyDescent="0.2">
      <c r="B182" s="59" t="s">
        <v>107</v>
      </c>
      <c r="Y182" s="61"/>
      <c r="Z182" s="61"/>
      <c r="AA182" s="61"/>
    </row>
    <row r="183" spans="2:27" s="59" customFormat="1" x14ac:dyDescent="0.2">
      <c r="Y183" s="61"/>
      <c r="Z183" s="61"/>
    </row>
    <row r="184" spans="2:27" s="59" customFormat="1" x14ac:dyDescent="0.2">
      <c r="Y184" s="61"/>
      <c r="Z184" s="61"/>
    </row>
    <row r="185" spans="2:27" s="59" customFormat="1" x14ac:dyDescent="0.2">
      <c r="Y185" s="61"/>
      <c r="Z185" s="61"/>
    </row>
    <row r="186" spans="2:27" s="59" customFormat="1" x14ac:dyDescent="0.2">
      <c r="Y186" s="61"/>
      <c r="Z186" s="61"/>
    </row>
    <row r="187" spans="2:27" s="59" customFormat="1" x14ac:dyDescent="0.2">
      <c r="Y187" s="61"/>
      <c r="Z187" s="61"/>
    </row>
    <row r="188" spans="2:27" s="59" customFormat="1" x14ac:dyDescent="0.2">
      <c r="Y188" s="61"/>
      <c r="Z188" s="61"/>
    </row>
    <row r="189" spans="2:27" s="59" customFormat="1" x14ac:dyDescent="0.2">
      <c r="Y189" s="61"/>
      <c r="Z189" s="61"/>
    </row>
    <row r="190" spans="2:27" s="59" customFormat="1" x14ac:dyDescent="0.2">
      <c r="Y190" s="61"/>
      <c r="Z190" s="61"/>
    </row>
    <row r="191" spans="2:27" s="59" customFormat="1" x14ac:dyDescent="0.2">
      <c r="Y191" s="61"/>
      <c r="Z191" s="61"/>
    </row>
    <row r="192" spans="2:27" s="59" customFormat="1" x14ac:dyDescent="0.2">
      <c r="Y192" s="61"/>
      <c r="Z192" s="61"/>
    </row>
    <row r="193" spans="25:26" s="59" customFormat="1" x14ac:dyDescent="0.2">
      <c r="Y193" s="61"/>
      <c r="Z193" s="61"/>
    </row>
    <row r="194" spans="25:26" s="59" customFormat="1" x14ac:dyDescent="0.2">
      <c r="Y194" s="61"/>
      <c r="Z194" s="61"/>
    </row>
    <row r="195" spans="25:26" s="59" customFormat="1" x14ac:dyDescent="0.2">
      <c r="Y195" s="61"/>
      <c r="Z195" s="61"/>
    </row>
    <row r="196" spans="25:26" s="59" customFormat="1" x14ac:dyDescent="0.2">
      <c r="Y196" s="61"/>
      <c r="Z196" s="61"/>
    </row>
    <row r="197" spans="25:26" s="59" customFormat="1" x14ac:dyDescent="0.2">
      <c r="Y197" s="61"/>
      <c r="Z197" s="61"/>
    </row>
    <row r="198" spans="25:26" s="59" customFormat="1" x14ac:dyDescent="0.2">
      <c r="Y198" s="61"/>
      <c r="Z198" s="61"/>
    </row>
    <row r="199" spans="25:26" s="59" customFormat="1" x14ac:dyDescent="0.2">
      <c r="Y199" s="61"/>
      <c r="Z199" s="61"/>
    </row>
    <row r="200" spans="25:26" s="59" customFormat="1" x14ac:dyDescent="0.2">
      <c r="Y200" s="61"/>
      <c r="Z200" s="61"/>
    </row>
    <row r="201" spans="25:26" s="59" customFormat="1" x14ac:dyDescent="0.2">
      <c r="Y201" s="61"/>
      <c r="Z201" s="61"/>
    </row>
    <row r="202" spans="25:26" s="59" customFormat="1" x14ac:dyDescent="0.2">
      <c r="Y202" s="61"/>
      <c r="Z202" s="61"/>
    </row>
    <row r="203" spans="25:26" s="59" customFormat="1" x14ac:dyDescent="0.2">
      <c r="Y203" s="61"/>
      <c r="Z203" s="61"/>
    </row>
    <row r="204" spans="25:26" s="59" customFormat="1" x14ac:dyDescent="0.2">
      <c r="Y204" s="61"/>
      <c r="Z204" s="61"/>
    </row>
    <row r="205" spans="25:26" s="59" customFormat="1" x14ac:dyDescent="0.2">
      <c r="Y205" s="61"/>
      <c r="Z205" s="61"/>
    </row>
    <row r="206" spans="25:26" s="59" customFormat="1" x14ac:dyDescent="0.2">
      <c r="Y206" s="61"/>
      <c r="Z206" s="61"/>
    </row>
    <row r="207" spans="25:26" s="59" customFormat="1" x14ac:dyDescent="0.2">
      <c r="Y207" s="61"/>
      <c r="Z207" s="61"/>
    </row>
    <row r="208" spans="25:26" s="59" customFormat="1" x14ac:dyDescent="0.2">
      <c r="Y208" s="61"/>
      <c r="Z208" s="61"/>
    </row>
    <row r="209" spans="25:26" s="59" customFormat="1" x14ac:dyDescent="0.2">
      <c r="Y209" s="61"/>
      <c r="Z209" s="61"/>
    </row>
    <row r="210" spans="25:26" s="59" customFormat="1" x14ac:dyDescent="0.2">
      <c r="Y210" s="61"/>
      <c r="Z210" s="61"/>
    </row>
    <row r="211" spans="25:26" s="59" customFormat="1" x14ac:dyDescent="0.2">
      <c r="Y211" s="61"/>
      <c r="Z211" s="61"/>
    </row>
    <row r="212" spans="25:26" s="59" customFormat="1" x14ac:dyDescent="0.2">
      <c r="Y212" s="61"/>
      <c r="Z212" s="61"/>
    </row>
    <row r="213" spans="25:26" s="59" customFormat="1" x14ac:dyDescent="0.2">
      <c r="Y213" s="61"/>
      <c r="Z213" s="61"/>
    </row>
    <row r="214" spans="25:26" s="59" customFormat="1" x14ac:dyDescent="0.2">
      <c r="Y214" s="61"/>
      <c r="Z214" s="61"/>
    </row>
    <row r="215" spans="25:26" s="59" customFormat="1" x14ac:dyDescent="0.2">
      <c r="Y215" s="61"/>
      <c r="Z215" s="61"/>
    </row>
    <row r="216" spans="25:26" s="59" customFormat="1" x14ac:dyDescent="0.2">
      <c r="Y216" s="61"/>
      <c r="Z216" s="61"/>
    </row>
    <row r="217" spans="25:26" s="59" customFormat="1" x14ac:dyDescent="0.2">
      <c r="Y217" s="61"/>
      <c r="Z217" s="61"/>
    </row>
    <row r="218" spans="25:26" s="59" customFormat="1" x14ac:dyDescent="0.2">
      <c r="Y218" s="61"/>
      <c r="Z218" s="61"/>
    </row>
    <row r="219" spans="25:26" s="59" customFormat="1" x14ac:dyDescent="0.2">
      <c r="Y219" s="61"/>
      <c r="Z219" s="61"/>
    </row>
    <row r="220" spans="25:26" s="59" customFormat="1" x14ac:dyDescent="0.2">
      <c r="Y220" s="61"/>
      <c r="Z220" s="61"/>
    </row>
    <row r="221" spans="25:26" s="59" customFormat="1" x14ac:dyDescent="0.2">
      <c r="Y221" s="61"/>
      <c r="Z221" s="61"/>
    </row>
    <row r="222" spans="25:26" s="59" customFormat="1" x14ac:dyDescent="0.2">
      <c r="Y222" s="61"/>
      <c r="Z222" s="61"/>
    </row>
    <row r="223" spans="25:26" s="59" customFormat="1" x14ac:dyDescent="0.2">
      <c r="Y223" s="61"/>
      <c r="Z223" s="61"/>
    </row>
    <row r="224" spans="25:26" s="59" customFormat="1" x14ac:dyDescent="0.2">
      <c r="Y224" s="61"/>
      <c r="Z224" s="61"/>
    </row>
    <row r="225" spans="25:33" s="59" customFormat="1" x14ac:dyDescent="0.2">
      <c r="Y225" s="61"/>
      <c r="Z225" s="61"/>
    </row>
    <row r="226" spans="25:33" s="59" customFormat="1" x14ac:dyDescent="0.2">
      <c r="Y226" s="61"/>
      <c r="Z226" s="61"/>
    </row>
    <row r="227" spans="25:33" s="59" customFormat="1" x14ac:dyDescent="0.2">
      <c r="Y227" s="61"/>
      <c r="Z227" s="61"/>
    </row>
    <row r="228" spans="25:33" s="59" customFormat="1" x14ac:dyDescent="0.2">
      <c r="Y228" s="61"/>
      <c r="Z228" s="61"/>
    </row>
    <row r="229" spans="25:33" s="59" customFormat="1" x14ac:dyDescent="0.2">
      <c r="Y229" s="61"/>
      <c r="Z229" s="61"/>
    </row>
    <row r="230" spans="25:33" s="59" customFormat="1" x14ac:dyDescent="0.2">
      <c r="Y230" s="61"/>
      <c r="Z230" s="61"/>
    </row>
    <row r="231" spans="25:33" s="59" customFormat="1" x14ac:dyDescent="0.2">
      <c r="Y231" s="61"/>
      <c r="Z231" s="61"/>
    </row>
    <row r="232" spans="25:33" s="51" customFormat="1" x14ac:dyDescent="0.2">
      <c r="Y232" s="61"/>
      <c r="Z232" s="61"/>
      <c r="AA232" s="59"/>
      <c r="AB232" s="59"/>
      <c r="AC232" s="59"/>
      <c r="AD232" s="59"/>
      <c r="AE232" s="59"/>
      <c r="AF232" s="59"/>
      <c r="AG232" s="59"/>
    </row>
    <row r="233" spans="25:33" s="51" customFormat="1" x14ac:dyDescent="0.2">
      <c r="Y233" s="61"/>
      <c r="Z233" s="61"/>
      <c r="AA233" s="59"/>
      <c r="AB233" s="59"/>
      <c r="AC233" s="59"/>
      <c r="AD233" s="59"/>
      <c r="AE233" s="59"/>
      <c r="AF233" s="59"/>
      <c r="AG233" s="59"/>
    </row>
    <row r="234" spans="25:33" s="51" customFormat="1" x14ac:dyDescent="0.2">
      <c r="Y234" s="61"/>
      <c r="Z234" s="61"/>
      <c r="AA234" s="59"/>
      <c r="AB234" s="59"/>
      <c r="AC234" s="59"/>
      <c r="AD234" s="59"/>
      <c r="AE234" s="59"/>
      <c r="AF234" s="59"/>
      <c r="AG234" s="59"/>
    </row>
    <row r="235" spans="25:33" s="51" customFormat="1" x14ac:dyDescent="0.2">
      <c r="Y235" s="61"/>
      <c r="Z235" s="61"/>
      <c r="AA235" s="59"/>
      <c r="AB235" s="59"/>
      <c r="AC235" s="59"/>
      <c r="AD235" s="59"/>
      <c r="AE235" s="59"/>
      <c r="AF235" s="59"/>
      <c r="AG235" s="59"/>
    </row>
    <row r="236" spans="25:33" s="51" customFormat="1" x14ac:dyDescent="0.2">
      <c r="Y236" s="61"/>
      <c r="Z236" s="61"/>
      <c r="AA236" s="59"/>
      <c r="AB236" s="59"/>
      <c r="AC236" s="59"/>
      <c r="AD236" s="59"/>
      <c r="AE236" s="59"/>
      <c r="AF236" s="59"/>
      <c r="AG236" s="59"/>
    </row>
    <row r="237" spans="25:33" s="51" customFormat="1" x14ac:dyDescent="0.2">
      <c r="Y237" s="61"/>
      <c r="Z237" s="61"/>
      <c r="AA237" s="59"/>
      <c r="AB237" s="59"/>
      <c r="AC237" s="59"/>
      <c r="AD237" s="59"/>
      <c r="AE237" s="59"/>
      <c r="AF237" s="59"/>
      <c r="AG237" s="59"/>
    </row>
    <row r="238" spans="25:33" s="51" customFormat="1" x14ac:dyDescent="0.2">
      <c r="Y238" s="61"/>
      <c r="Z238" s="61"/>
      <c r="AA238" s="59"/>
      <c r="AB238" s="59"/>
      <c r="AC238" s="59"/>
      <c r="AD238" s="59"/>
      <c r="AE238" s="59"/>
      <c r="AF238" s="59"/>
      <c r="AG238" s="59"/>
    </row>
    <row r="239" spans="25:33" s="51" customFormat="1" x14ac:dyDescent="0.2">
      <c r="Y239" s="61"/>
      <c r="Z239" s="61"/>
      <c r="AA239" s="59"/>
      <c r="AB239" s="59"/>
      <c r="AC239" s="59"/>
      <c r="AD239" s="59"/>
      <c r="AE239" s="59"/>
      <c r="AF239" s="59"/>
      <c r="AG239" s="59"/>
    </row>
    <row r="240" spans="25:33" s="51" customFormat="1" x14ac:dyDescent="0.2">
      <c r="Y240" s="61"/>
      <c r="Z240" s="61"/>
      <c r="AA240" s="59"/>
      <c r="AB240" s="59"/>
      <c r="AC240" s="59"/>
      <c r="AD240" s="59"/>
      <c r="AE240" s="59"/>
      <c r="AF240" s="59"/>
      <c r="AG240" s="59"/>
    </row>
    <row r="241" spans="25:33" s="51" customFormat="1" x14ac:dyDescent="0.2">
      <c r="Y241" s="61"/>
      <c r="Z241" s="61"/>
      <c r="AA241" s="59"/>
      <c r="AB241" s="59"/>
      <c r="AC241" s="59"/>
      <c r="AD241" s="59"/>
      <c r="AE241" s="59"/>
      <c r="AF241" s="59"/>
      <c r="AG241" s="59"/>
    </row>
    <row r="242" spans="25:33" s="51" customFormat="1" x14ac:dyDescent="0.2">
      <c r="Y242" s="61"/>
      <c r="Z242" s="61"/>
      <c r="AA242" s="59"/>
      <c r="AB242" s="59"/>
      <c r="AC242" s="59"/>
      <c r="AD242" s="59"/>
      <c r="AE242" s="59"/>
      <c r="AF242" s="59"/>
      <c r="AG242" s="59"/>
    </row>
    <row r="243" spans="25:33" s="51" customFormat="1" x14ac:dyDescent="0.2">
      <c r="Y243" s="61"/>
      <c r="Z243" s="61"/>
      <c r="AA243" s="59"/>
      <c r="AB243" s="59"/>
      <c r="AC243" s="59"/>
      <c r="AD243" s="59"/>
      <c r="AE243" s="59"/>
      <c r="AF243" s="59"/>
      <c r="AG243" s="59"/>
    </row>
    <row r="244" spans="25:33" s="51" customFormat="1" x14ac:dyDescent="0.2">
      <c r="Y244" s="61"/>
      <c r="Z244" s="61"/>
      <c r="AA244" s="59"/>
      <c r="AB244" s="59"/>
      <c r="AC244" s="59"/>
      <c r="AD244" s="59"/>
      <c r="AE244" s="59"/>
      <c r="AF244" s="59"/>
      <c r="AG244" s="59"/>
    </row>
    <row r="245" spans="25:33" s="51" customFormat="1" x14ac:dyDescent="0.2">
      <c r="Y245" s="61"/>
      <c r="Z245" s="61"/>
      <c r="AA245" s="59"/>
      <c r="AB245" s="59"/>
      <c r="AC245" s="59"/>
      <c r="AD245" s="59"/>
      <c r="AE245" s="59"/>
      <c r="AF245" s="59"/>
      <c r="AG245" s="59"/>
    </row>
    <row r="246" spans="25:33" s="51" customFormat="1" x14ac:dyDescent="0.2">
      <c r="Y246" s="61"/>
      <c r="Z246" s="61"/>
      <c r="AA246" s="59"/>
      <c r="AB246" s="59"/>
      <c r="AC246" s="59"/>
      <c r="AD246" s="59"/>
      <c r="AE246" s="59"/>
      <c r="AF246" s="59"/>
      <c r="AG246" s="59"/>
    </row>
    <row r="247" spans="25:33" s="51" customFormat="1" x14ac:dyDescent="0.2">
      <c r="Y247" s="61"/>
      <c r="Z247" s="61"/>
      <c r="AA247" s="59"/>
      <c r="AB247" s="59"/>
      <c r="AC247" s="59"/>
      <c r="AD247" s="59"/>
      <c r="AE247" s="59"/>
      <c r="AF247" s="59"/>
      <c r="AG247" s="59"/>
    </row>
    <row r="248" spans="25:33" s="51" customFormat="1" x14ac:dyDescent="0.2">
      <c r="Y248" s="61"/>
      <c r="Z248" s="61"/>
      <c r="AA248" s="59"/>
      <c r="AB248" s="59"/>
      <c r="AC248" s="59"/>
      <c r="AD248" s="59"/>
      <c r="AE248" s="59"/>
      <c r="AF248" s="59"/>
      <c r="AG248" s="59"/>
    </row>
    <row r="249" spans="25:33" s="51" customFormat="1" x14ac:dyDescent="0.2">
      <c r="Y249" s="61"/>
      <c r="Z249" s="61"/>
      <c r="AA249" s="59"/>
      <c r="AB249" s="59"/>
      <c r="AC249" s="59"/>
      <c r="AD249" s="59"/>
      <c r="AE249" s="59"/>
      <c r="AF249" s="59"/>
      <c r="AG249" s="59"/>
    </row>
    <row r="250" spans="25:33" s="51" customFormat="1" x14ac:dyDescent="0.2">
      <c r="Y250" s="61"/>
      <c r="Z250" s="61"/>
      <c r="AA250" s="59"/>
      <c r="AB250" s="59"/>
      <c r="AC250" s="59"/>
      <c r="AD250" s="59"/>
      <c r="AE250" s="59"/>
      <c r="AF250" s="59"/>
      <c r="AG250" s="59"/>
    </row>
    <row r="251" spans="25:33" s="51" customFormat="1" x14ac:dyDescent="0.2">
      <c r="Y251" s="61"/>
      <c r="Z251" s="61"/>
      <c r="AA251" s="59"/>
      <c r="AB251" s="59"/>
      <c r="AC251" s="59"/>
      <c r="AD251" s="59"/>
      <c r="AE251" s="59"/>
      <c r="AF251" s="59"/>
      <c r="AG251" s="59"/>
    </row>
    <row r="252" spans="25:33" s="51" customFormat="1" x14ac:dyDescent="0.2">
      <c r="Y252" s="61"/>
      <c r="Z252" s="61"/>
      <c r="AA252" s="59"/>
      <c r="AB252" s="59"/>
      <c r="AC252" s="59"/>
      <c r="AD252" s="59"/>
      <c r="AE252" s="59"/>
      <c r="AF252" s="59"/>
      <c r="AG252" s="59"/>
    </row>
    <row r="253" spans="25:33" s="51" customFormat="1" x14ac:dyDescent="0.2">
      <c r="Y253" s="61"/>
      <c r="Z253" s="61"/>
      <c r="AA253" s="59"/>
      <c r="AB253" s="59"/>
      <c r="AC253" s="59"/>
      <c r="AD253" s="59"/>
      <c r="AE253" s="59"/>
      <c r="AF253" s="59"/>
      <c r="AG253" s="59"/>
    </row>
    <row r="254" spans="25:33" s="51" customFormat="1" x14ac:dyDescent="0.2">
      <c r="Y254" s="61"/>
      <c r="Z254" s="61"/>
      <c r="AA254" s="59"/>
      <c r="AB254" s="59"/>
      <c r="AC254" s="59"/>
      <c r="AD254" s="59"/>
      <c r="AE254" s="59"/>
      <c r="AF254" s="59"/>
      <c r="AG254" s="59"/>
    </row>
    <row r="255" spans="25:33" s="51" customFormat="1" x14ac:dyDescent="0.2">
      <c r="Y255" s="61"/>
      <c r="Z255" s="61"/>
      <c r="AA255" s="59"/>
      <c r="AB255" s="59"/>
      <c r="AC255" s="59"/>
      <c r="AD255" s="59"/>
      <c r="AE255" s="59"/>
      <c r="AF255" s="59"/>
      <c r="AG255" s="59"/>
    </row>
    <row r="256" spans="25:33" s="51" customFormat="1" x14ac:dyDescent="0.2">
      <c r="Y256" s="61"/>
      <c r="Z256" s="61"/>
      <c r="AA256" s="59"/>
      <c r="AB256" s="59"/>
      <c r="AC256" s="59"/>
      <c r="AD256" s="59"/>
      <c r="AE256" s="59"/>
      <c r="AF256" s="59"/>
      <c r="AG256" s="59"/>
    </row>
    <row r="257" spans="1:33" s="51" customFormat="1" x14ac:dyDescent="0.2">
      <c r="Y257" s="61"/>
      <c r="Z257" s="61"/>
      <c r="AA257" s="59"/>
      <c r="AB257" s="59"/>
      <c r="AC257" s="59"/>
      <c r="AD257" s="59"/>
      <c r="AE257" s="59"/>
      <c r="AF257" s="59"/>
      <c r="AG257" s="59"/>
    </row>
    <row r="258" spans="1:33" s="51" customFormat="1" x14ac:dyDescent="0.2">
      <c r="Y258" s="61"/>
      <c r="Z258" s="61"/>
      <c r="AA258" s="59"/>
      <c r="AB258" s="59"/>
      <c r="AC258" s="59"/>
      <c r="AD258" s="59"/>
      <c r="AE258" s="59"/>
      <c r="AF258" s="59"/>
      <c r="AG258" s="59"/>
    </row>
    <row r="259" spans="1:33" s="51" customFormat="1" x14ac:dyDescent="0.2">
      <c r="Y259" s="61"/>
      <c r="Z259" s="61"/>
      <c r="AA259" s="59"/>
      <c r="AB259" s="59"/>
      <c r="AC259" s="59"/>
      <c r="AD259" s="59"/>
      <c r="AE259" s="59"/>
      <c r="AF259" s="59"/>
      <c r="AG259" s="59"/>
    </row>
    <row r="260" spans="1:33" s="51" customFormat="1" x14ac:dyDescent="0.2">
      <c r="Y260" s="61"/>
      <c r="Z260" s="61"/>
      <c r="AA260" s="59"/>
      <c r="AB260" s="59"/>
      <c r="AC260" s="59"/>
      <c r="AD260" s="59"/>
      <c r="AE260" s="59"/>
      <c r="AF260" s="59"/>
      <c r="AG260" s="59"/>
    </row>
    <row r="261" spans="1:33" s="51" customFormat="1" x14ac:dyDescent="0.2">
      <c r="Y261" s="61"/>
      <c r="Z261" s="61"/>
      <c r="AA261" s="59"/>
      <c r="AB261" s="59"/>
      <c r="AC261" s="59"/>
      <c r="AD261" s="59"/>
      <c r="AE261" s="59"/>
      <c r="AF261" s="59"/>
      <c r="AG261" s="59"/>
    </row>
    <row r="262" spans="1:33" s="51" customFormat="1" x14ac:dyDescent="0.2">
      <c r="Y262" s="61"/>
      <c r="Z262" s="61"/>
      <c r="AA262" s="59"/>
      <c r="AB262" s="59"/>
      <c r="AC262" s="59"/>
      <c r="AD262" s="59"/>
      <c r="AE262" s="59"/>
      <c r="AF262" s="59"/>
      <c r="AG262" s="59"/>
    </row>
    <row r="263" spans="1:33" s="51" customFormat="1" x14ac:dyDescent="0.2">
      <c r="Y263" s="61"/>
      <c r="Z263" s="61"/>
      <c r="AA263" s="59"/>
      <c r="AB263" s="59"/>
      <c r="AC263" s="59"/>
      <c r="AD263" s="59"/>
      <c r="AE263" s="59"/>
      <c r="AF263" s="59"/>
      <c r="AG263" s="59"/>
    </row>
    <row r="264" spans="1:33" s="51" customFormat="1" x14ac:dyDescent="0.2">
      <c r="Y264" s="61"/>
      <c r="Z264" s="61"/>
      <c r="AA264" s="59"/>
      <c r="AB264" s="59"/>
      <c r="AC264" s="59"/>
      <c r="AD264" s="59"/>
      <c r="AE264" s="59"/>
      <c r="AF264" s="59"/>
      <c r="AG264" s="59"/>
    </row>
    <row r="265" spans="1:33" s="51" customFormat="1" x14ac:dyDescent="0.2">
      <c r="Y265" s="61"/>
      <c r="Z265" s="61"/>
      <c r="AA265" s="59"/>
      <c r="AB265" s="59"/>
      <c r="AC265" s="59"/>
      <c r="AD265" s="59"/>
      <c r="AE265" s="59"/>
      <c r="AF265" s="59"/>
      <c r="AG265" s="59"/>
    </row>
    <row r="266" spans="1:33" s="51" customFormat="1" x14ac:dyDescent="0.2">
      <c r="Y266" s="61"/>
      <c r="Z266" s="61"/>
      <c r="AA266" s="59"/>
      <c r="AB266" s="59"/>
      <c r="AC266" s="59"/>
      <c r="AD266" s="59"/>
      <c r="AE266" s="59"/>
      <c r="AF266" s="59"/>
      <c r="AG266" s="59"/>
    </row>
    <row r="267" spans="1:33" s="51" customFormat="1" x14ac:dyDescent="0.2">
      <c r="Y267" s="61"/>
      <c r="Z267" s="61"/>
      <c r="AA267" s="59"/>
      <c r="AB267" s="59"/>
      <c r="AC267" s="59"/>
      <c r="AD267" s="59"/>
      <c r="AE267" s="59"/>
      <c r="AF267" s="59"/>
      <c r="AG267" s="59"/>
    </row>
    <row r="268" spans="1:33" s="51" customFormat="1" x14ac:dyDescent="0.2">
      <c r="Y268" s="61"/>
      <c r="Z268" s="61"/>
      <c r="AA268" s="59"/>
      <c r="AB268" s="59"/>
      <c r="AC268" s="59"/>
      <c r="AD268" s="59"/>
      <c r="AE268" s="59"/>
      <c r="AF268" s="59"/>
      <c r="AG268" s="59"/>
    </row>
    <row r="269" spans="1:33" s="51" customFormat="1" x14ac:dyDescent="0.2">
      <c r="Y269" s="61"/>
      <c r="Z269" s="61"/>
      <c r="AA269" s="59"/>
      <c r="AB269" s="59"/>
      <c r="AC269" s="59"/>
      <c r="AD269" s="59"/>
      <c r="AE269" s="59"/>
      <c r="AF269" s="59"/>
      <c r="AG269" s="59"/>
    </row>
    <row r="270" spans="1:33" s="51" customFormat="1" x14ac:dyDescent="0.2">
      <c r="Y270" s="61"/>
      <c r="Z270" s="61"/>
      <c r="AA270" s="59"/>
      <c r="AB270" s="59"/>
      <c r="AC270" s="59"/>
      <c r="AD270" s="59"/>
      <c r="AE270" s="59"/>
      <c r="AF270" s="59"/>
      <c r="AG270" s="59"/>
    </row>
    <row r="271" spans="1:33" s="51" customFormat="1" x14ac:dyDescent="0.2">
      <c r="Y271" s="61"/>
      <c r="Z271" s="61"/>
      <c r="AA271" s="59"/>
      <c r="AB271" s="59"/>
      <c r="AC271" s="59"/>
      <c r="AD271" s="59"/>
      <c r="AE271" s="59"/>
      <c r="AF271" s="59"/>
      <c r="AG271" s="59"/>
    </row>
    <row r="272" spans="1:33" x14ac:dyDescent="0.2">
      <c r="A272" s="47"/>
      <c r="B272" s="47"/>
      <c r="C272" s="47"/>
      <c r="D272" s="47"/>
      <c r="E272" s="47"/>
      <c r="F272" s="47"/>
      <c r="G272" s="47"/>
      <c r="H272" s="47"/>
      <c r="I272" s="47"/>
      <c r="J272" s="47"/>
      <c r="K272" s="47"/>
      <c r="L272" s="47"/>
      <c r="X272" s="47"/>
    </row>
    <row r="273" spans="1:24" x14ac:dyDescent="0.2">
      <c r="A273" s="47"/>
      <c r="B273" s="47"/>
      <c r="C273" s="47"/>
      <c r="D273" s="47"/>
      <c r="E273" s="47"/>
      <c r="F273" s="47"/>
      <c r="G273" s="47"/>
      <c r="H273" s="47"/>
      <c r="I273" s="47"/>
      <c r="J273" s="47"/>
      <c r="K273" s="47"/>
      <c r="L273" s="47"/>
      <c r="X273" s="47"/>
    </row>
    <row r="274" spans="1:24" x14ac:dyDescent="0.2">
      <c r="A274" s="47"/>
      <c r="B274" s="47"/>
      <c r="C274" s="47"/>
      <c r="D274" s="47"/>
      <c r="E274" s="47"/>
      <c r="F274" s="47"/>
      <c r="G274" s="47"/>
      <c r="H274" s="47"/>
      <c r="I274" s="47"/>
      <c r="J274" s="47"/>
      <c r="K274" s="47"/>
      <c r="L274" s="47"/>
      <c r="X274" s="47"/>
    </row>
    <row r="275" spans="1:24" x14ac:dyDescent="0.2">
      <c r="A275" s="47"/>
      <c r="B275" s="47"/>
      <c r="C275" s="47"/>
      <c r="D275" s="47"/>
      <c r="E275" s="47"/>
      <c r="F275" s="47"/>
      <c r="G275" s="47"/>
      <c r="H275" s="47"/>
      <c r="I275" s="47"/>
      <c r="J275" s="47"/>
      <c r="K275" s="47"/>
      <c r="L275" s="47"/>
      <c r="X275" s="47"/>
    </row>
    <row r="276" spans="1:24" x14ac:dyDescent="0.2">
      <c r="A276" s="47"/>
      <c r="B276" s="47"/>
      <c r="C276" s="47"/>
      <c r="D276" s="47"/>
      <c r="E276" s="47"/>
      <c r="F276" s="47"/>
      <c r="G276" s="47"/>
      <c r="H276" s="47"/>
      <c r="I276" s="47"/>
      <c r="J276" s="47"/>
      <c r="K276" s="47"/>
      <c r="L276" s="47"/>
      <c r="X276" s="47"/>
    </row>
    <row r="277" spans="1:24" x14ac:dyDescent="0.2">
      <c r="A277" s="47"/>
      <c r="B277" s="47"/>
      <c r="C277" s="47"/>
      <c r="D277" s="47"/>
      <c r="E277" s="47"/>
      <c r="F277" s="47"/>
      <c r="G277" s="47"/>
      <c r="H277" s="47"/>
      <c r="I277" s="47"/>
      <c r="J277" s="47"/>
      <c r="K277" s="47"/>
      <c r="L277" s="47"/>
      <c r="X277" s="47"/>
    </row>
    <row r="278" spans="1:24" x14ac:dyDescent="0.2">
      <c r="A278" s="47"/>
      <c r="B278" s="47"/>
      <c r="C278" s="47"/>
      <c r="D278" s="47"/>
      <c r="E278" s="47"/>
      <c r="F278" s="47"/>
      <c r="G278" s="47"/>
      <c r="H278" s="47"/>
      <c r="I278" s="47"/>
      <c r="J278" s="47"/>
      <c r="K278" s="47"/>
      <c r="L278" s="47"/>
      <c r="X278" s="47"/>
    </row>
    <row r="279" spans="1:24" x14ac:dyDescent="0.2">
      <c r="A279" s="47"/>
      <c r="B279" s="47"/>
      <c r="C279" s="47"/>
      <c r="D279" s="47"/>
      <c r="E279" s="47"/>
      <c r="F279" s="47"/>
      <c r="G279" s="47"/>
      <c r="H279" s="47"/>
      <c r="I279" s="47"/>
      <c r="J279" s="47"/>
      <c r="K279" s="47"/>
      <c r="L279" s="47"/>
      <c r="X279" s="47"/>
    </row>
    <row r="280" spans="1:24" x14ac:dyDescent="0.2">
      <c r="A280" s="47"/>
      <c r="B280" s="47"/>
      <c r="C280" s="47"/>
      <c r="D280" s="47"/>
      <c r="E280" s="47"/>
      <c r="F280" s="47"/>
      <c r="G280" s="47"/>
      <c r="H280" s="47"/>
      <c r="I280" s="47"/>
      <c r="J280" s="47"/>
      <c r="K280" s="47"/>
      <c r="L280" s="47"/>
      <c r="X280" s="47"/>
    </row>
    <row r="281" spans="1:24" x14ac:dyDescent="0.2">
      <c r="A281" s="47"/>
      <c r="B281" s="47"/>
      <c r="C281" s="47"/>
      <c r="D281" s="47"/>
      <c r="E281" s="47"/>
      <c r="F281" s="47"/>
      <c r="G281" s="47"/>
      <c r="H281" s="47"/>
      <c r="I281" s="47"/>
      <c r="J281" s="47"/>
      <c r="K281" s="47"/>
      <c r="L281" s="47"/>
      <c r="X281" s="47"/>
    </row>
    <row r="282" spans="1:24" x14ac:dyDescent="0.2">
      <c r="A282" s="47"/>
      <c r="B282" s="47"/>
      <c r="C282" s="47"/>
      <c r="D282" s="47"/>
      <c r="E282" s="47"/>
      <c r="F282" s="47"/>
      <c r="G282" s="47"/>
      <c r="H282" s="47"/>
      <c r="I282" s="47"/>
      <c r="J282" s="47"/>
      <c r="K282" s="47"/>
      <c r="L282" s="47"/>
      <c r="X282" s="47"/>
    </row>
    <row r="283" spans="1:24" x14ac:dyDescent="0.2">
      <c r="A283" s="47"/>
      <c r="B283" s="47"/>
      <c r="C283" s="47"/>
      <c r="D283" s="47"/>
      <c r="E283" s="47"/>
      <c r="F283" s="47"/>
      <c r="G283" s="47"/>
      <c r="H283" s="47"/>
      <c r="I283" s="47"/>
      <c r="J283" s="47"/>
      <c r="K283" s="47"/>
      <c r="L283" s="47"/>
      <c r="X283" s="47"/>
    </row>
    <row r="284" spans="1:24" x14ac:dyDescent="0.2">
      <c r="A284" s="47"/>
      <c r="B284" s="47"/>
      <c r="C284" s="47"/>
      <c r="D284" s="47"/>
      <c r="E284" s="47"/>
      <c r="F284" s="47"/>
      <c r="G284" s="47"/>
      <c r="H284" s="47"/>
      <c r="I284" s="47"/>
      <c r="J284" s="47"/>
      <c r="K284" s="47"/>
      <c r="L284" s="47"/>
      <c r="X284" s="47"/>
    </row>
    <row r="285" spans="1:24" x14ac:dyDescent="0.2">
      <c r="A285" s="47"/>
      <c r="B285" s="47"/>
      <c r="C285" s="47"/>
      <c r="D285" s="47"/>
      <c r="E285" s="47"/>
      <c r="F285" s="47"/>
      <c r="G285" s="47"/>
      <c r="H285" s="47"/>
      <c r="I285" s="47"/>
      <c r="J285" s="47"/>
      <c r="K285" s="47"/>
      <c r="L285" s="47"/>
      <c r="X285" s="47"/>
    </row>
    <row r="286" spans="1:24" x14ac:dyDescent="0.2">
      <c r="A286" s="47"/>
      <c r="B286" s="47"/>
      <c r="C286" s="47"/>
      <c r="D286" s="47"/>
      <c r="E286" s="47"/>
      <c r="F286" s="47"/>
      <c r="G286" s="47"/>
      <c r="H286" s="47"/>
      <c r="I286" s="47"/>
      <c r="J286" s="47"/>
      <c r="K286" s="47"/>
      <c r="L286" s="47"/>
      <c r="X286" s="47"/>
    </row>
    <row r="287" spans="1:24" x14ac:dyDescent="0.2">
      <c r="A287" s="47"/>
      <c r="B287" s="47"/>
      <c r="C287" s="47"/>
      <c r="D287" s="47"/>
      <c r="E287" s="47"/>
      <c r="F287" s="47"/>
      <c r="G287" s="47"/>
      <c r="H287" s="47"/>
      <c r="I287" s="47"/>
      <c r="J287" s="47"/>
      <c r="K287" s="47"/>
      <c r="L287" s="47"/>
      <c r="X287" s="47"/>
    </row>
    <row r="288" spans="1:24" x14ac:dyDescent="0.2">
      <c r="A288" s="47"/>
      <c r="B288" s="47"/>
      <c r="C288" s="47"/>
      <c r="D288" s="47"/>
      <c r="E288" s="47"/>
      <c r="F288" s="47"/>
      <c r="G288" s="47"/>
      <c r="H288" s="47"/>
      <c r="I288" s="47"/>
      <c r="J288" s="47"/>
      <c r="K288" s="47"/>
      <c r="L288" s="47"/>
      <c r="X288" s="47"/>
    </row>
    <row r="289" spans="1:24" x14ac:dyDescent="0.2">
      <c r="A289" s="47"/>
      <c r="B289" s="47"/>
      <c r="C289" s="47"/>
      <c r="D289" s="47"/>
      <c r="E289" s="47"/>
      <c r="F289" s="47"/>
      <c r="G289" s="47"/>
      <c r="H289" s="47"/>
      <c r="I289" s="47"/>
      <c r="J289" s="47"/>
      <c r="K289" s="47"/>
      <c r="L289" s="47"/>
      <c r="X289" s="47"/>
    </row>
    <row r="290" spans="1:24" x14ac:dyDescent="0.2">
      <c r="A290" s="47"/>
      <c r="B290" s="47"/>
      <c r="C290" s="47"/>
      <c r="D290" s="47"/>
      <c r="E290" s="47"/>
      <c r="F290" s="47"/>
      <c r="G290" s="47"/>
      <c r="H290" s="47"/>
      <c r="I290" s="47"/>
      <c r="J290" s="47"/>
      <c r="K290" s="47"/>
      <c r="L290" s="47"/>
      <c r="X290" s="47"/>
    </row>
    <row r="291" spans="1:24" x14ac:dyDescent="0.2">
      <c r="A291" s="47"/>
      <c r="B291" s="47"/>
      <c r="C291" s="47"/>
      <c r="D291" s="47"/>
      <c r="E291" s="47"/>
      <c r="F291" s="47"/>
      <c r="G291" s="47"/>
      <c r="H291" s="47"/>
      <c r="I291" s="47"/>
      <c r="J291" s="47"/>
      <c r="K291" s="47"/>
      <c r="L291" s="47"/>
      <c r="X291" s="47"/>
    </row>
    <row r="292" spans="1:24" x14ac:dyDescent="0.2">
      <c r="A292" s="47"/>
      <c r="B292" s="47"/>
      <c r="C292" s="47"/>
      <c r="D292" s="47"/>
      <c r="E292" s="47"/>
      <c r="F292" s="47"/>
      <c r="G292" s="47"/>
      <c r="H292" s="47"/>
      <c r="I292" s="47"/>
      <c r="J292" s="47"/>
      <c r="K292" s="47"/>
      <c r="L292" s="47"/>
      <c r="X292" s="47"/>
    </row>
    <row r="293" spans="1:24" x14ac:dyDescent="0.2">
      <c r="A293" s="47"/>
      <c r="B293" s="47"/>
      <c r="C293" s="47"/>
      <c r="D293" s="47"/>
      <c r="E293" s="47"/>
      <c r="F293" s="47"/>
      <c r="G293" s="47"/>
      <c r="H293" s="47"/>
      <c r="I293" s="47"/>
      <c r="J293" s="47"/>
      <c r="K293" s="47"/>
      <c r="L293" s="47"/>
      <c r="X293" s="47"/>
    </row>
    <row r="294" spans="1:24" x14ac:dyDescent="0.2">
      <c r="A294" s="47"/>
      <c r="B294" s="47"/>
      <c r="C294" s="47"/>
      <c r="D294" s="47"/>
      <c r="E294" s="47"/>
      <c r="F294" s="47"/>
      <c r="G294" s="47"/>
      <c r="H294" s="47"/>
      <c r="I294" s="47"/>
      <c r="J294" s="47"/>
      <c r="K294" s="47"/>
      <c r="L294" s="47"/>
      <c r="X294" s="47"/>
    </row>
    <row r="295" spans="1:24" x14ac:dyDescent="0.2">
      <c r="A295" s="47"/>
      <c r="B295" s="47"/>
      <c r="C295" s="47"/>
      <c r="D295" s="47"/>
      <c r="E295" s="47"/>
      <c r="F295" s="47"/>
      <c r="G295" s="47"/>
      <c r="H295" s="47"/>
      <c r="I295" s="47"/>
      <c r="J295" s="47"/>
      <c r="K295" s="47"/>
      <c r="L295" s="47"/>
      <c r="X295" s="47"/>
    </row>
    <row r="296" spans="1:24" x14ac:dyDescent="0.2">
      <c r="A296" s="47"/>
      <c r="B296" s="47"/>
      <c r="C296" s="47"/>
      <c r="D296" s="47"/>
      <c r="E296" s="47"/>
      <c r="F296" s="47"/>
      <c r="G296" s="47"/>
      <c r="H296" s="47"/>
      <c r="I296" s="47"/>
      <c r="J296" s="47"/>
      <c r="K296" s="47"/>
      <c r="L296" s="47"/>
      <c r="X296" s="47"/>
    </row>
    <row r="297" spans="1:24" x14ac:dyDescent="0.2">
      <c r="A297" s="47"/>
      <c r="B297" s="47"/>
      <c r="C297" s="47"/>
      <c r="D297" s="47"/>
      <c r="E297" s="47"/>
      <c r="F297" s="47"/>
      <c r="G297" s="47"/>
      <c r="H297" s="47"/>
      <c r="I297" s="47"/>
      <c r="J297" s="47"/>
      <c r="K297" s="47"/>
      <c r="L297" s="47"/>
      <c r="X297" s="47"/>
    </row>
    <row r="298" spans="1:24" x14ac:dyDescent="0.2">
      <c r="A298" s="47"/>
      <c r="B298" s="47"/>
      <c r="C298" s="47"/>
      <c r="D298" s="47"/>
      <c r="E298" s="47"/>
      <c r="F298" s="47"/>
      <c r="G298" s="47"/>
      <c r="H298" s="47"/>
      <c r="I298" s="47"/>
      <c r="J298" s="47"/>
      <c r="K298" s="47"/>
      <c r="L298" s="47"/>
      <c r="X298" s="47"/>
    </row>
    <row r="299" spans="1:24" x14ac:dyDescent="0.2">
      <c r="A299" s="47"/>
      <c r="B299" s="47"/>
      <c r="C299" s="47"/>
      <c r="D299" s="47"/>
      <c r="E299" s="47"/>
      <c r="F299" s="47"/>
      <c r="G299" s="47"/>
      <c r="H299" s="47"/>
      <c r="I299" s="47"/>
      <c r="J299" s="47"/>
      <c r="K299" s="47"/>
      <c r="L299" s="47"/>
      <c r="X299" s="47"/>
    </row>
    <row r="300" spans="1:24" x14ac:dyDescent="0.2">
      <c r="A300" s="47"/>
      <c r="B300" s="47"/>
      <c r="C300" s="47"/>
      <c r="D300" s="47"/>
      <c r="E300" s="47"/>
      <c r="F300" s="47"/>
      <c r="G300" s="47"/>
      <c r="H300" s="47"/>
      <c r="I300" s="47"/>
      <c r="J300" s="47"/>
      <c r="K300" s="47"/>
      <c r="L300" s="47"/>
      <c r="X300" s="47"/>
    </row>
    <row r="301" spans="1:24" x14ac:dyDescent="0.2">
      <c r="A301" s="47"/>
      <c r="B301" s="47"/>
      <c r="C301" s="47"/>
      <c r="D301" s="47"/>
      <c r="E301" s="47"/>
      <c r="F301" s="47"/>
      <c r="G301" s="47"/>
      <c r="H301" s="47"/>
      <c r="I301" s="47"/>
      <c r="J301" s="47"/>
      <c r="K301" s="47"/>
      <c r="L301" s="47"/>
      <c r="X301" s="47"/>
    </row>
    <row r="302" spans="1:24" x14ac:dyDescent="0.2">
      <c r="A302" s="47"/>
      <c r="B302" s="47"/>
      <c r="C302" s="47"/>
      <c r="D302" s="47"/>
      <c r="E302" s="47"/>
      <c r="F302" s="47"/>
      <c r="G302" s="47"/>
      <c r="H302" s="47"/>
      <c r="I302" s="47"/>
      <c r="J302" s="47"/>
      <c r="K302" s="47"/>
      <c r="L302" s="47"/>
      <c r="X302" s="47"/>
    </row>
    <row r="303" spans="1:24" x14ac:dyDescent="0.2">
      <c r="A303" s="47"/>
      <c r="B303" s="47"/>
      <c r="C303" s="47"/>
      <c r="D303" s="47"/>
      <c r="E303" s="47"/>
      <c r="F303" s="47"/>
      <c r="G303" s="47"/>
      <c r="H303" s="47"/>
      <c r="I303" s="47"/>
      <c r="J303" s="47"/>
      <c r="K303" s="47"/>
      <c r="L303" s="47"/>
      <c r="X303" s="47"/>
    </row>
    <row r="304" spans="1:24" x14ac:dyDescent="0.2">
      <c r="A304" s="47"/>
      <c r="B304" s="47"/>
      <c r="C304" s="47"/>
      <c r="D304" s="47"/>
      <c r="E304" s="47"/>
      <c r="F304" s="47"/>
      <c r="G304" s="47"/>
      <c r="H304" s="47"/>
      <c r="I304" s="47"/>
      <c r="J304" s="47"/>
      <c r="K304" s="47"/>
      <c r="L304" s="47"/>
      <c r="X304" s="47"/>
    </row>
    <row r="305" spans="1:24" x14ac:dyDescent="0.2">
      <c r="A305" s="47"/>
      <c r="B305" s="47"/>
      <c r="C305" s="47"/>
      <c r="D305" s="47"/>
      <c r="E305" s="47"/>
      <c r="F305" s="47"/>
      <c r="G305" s="47"/>
      <c r="H305" s="47"/>
      <c r="I305" s="47"/>
      <c r="J305" s="47"/>
      <c r="K305" s="47"/>
      <c r="L305" s="47"/>
      <c r="X305" s="47"/>
    </row>
    <row r="306" spans="1:24" x14ac:dyDescent="0.2">
      <c r="A306" s="47"/>
      <c r="B306" s="47"/>
      <c r="C306" s="47"/>
      <c r="D306" s="47"/>
      <c r="E306" s="47"/>
      <c r="F306" s="47"/>
      <c r="G306" s="47"/>
      <c r="H306" s="47"/>
      <c r="I306" s="47"/>
      <c r="J306" s="47"/>
      <c r="K306" s="47"/>
      <c r="L306" s="47"/>
      <c r="X306" s="47"/>
    </row>
    <row r="307" spans="1:24" x14ac:dyDescent="0.2">
      <c r="A307" s="47"/>
      <c r="B307" s="47"/>
      <c r="C307" s="47"/>
      <c r="D307" s="47"/>
      <c r="E307" s="47"/>
      <c r="F307" s="47"/>
      <c r="G307" s="47"/>
      <c r="H307" s="47"/>
      <c r="I307" s="47"/>
      <c r="J307" s="47"/>
      <c r="K307" s="47"/>
      <c r="L307" s="47"/>
      <c r="X307" s="47"/>
    </row>
    <row r="308" spans="1:24" x14ac:dyDescent="0.2">
      <c r="A308" s="47"/>
      <c r="B308" s="47"/>
      <c r="C308" s="47"/>
      <c r="D308" s="47"/>
      <c r="E308" s="47"/>
      <c r="F308" s="47"/>
      <c r="G308" s="47"/>
      <c r="H308" s="47"/>
      <c r="I308" s="47"/>
      <c r="J308" s="47"/>
      <c r="K308" s="47"/>
      <c r="L308" s="47"/>
      <c r="X308" s="47"/>
    </row>
    <row r="309" spans="1:24" x14ac:dyDescent="0.2">
      <c r="A309" s="47"/>
      <c r="B309" s="47"/>
      <c r="C309" s="47"/>
      <c r="D309" s="47"/>
      <c r="E309" s="47"/>
      <c r="F309" s="47"/>
      <c r="G309" s="47"/>
      <c r="H309" s="47"/>
      <c r="I309" s="47"/>
      <c r="J309" s="47"/>
      <c r="K309" s="47"/>
      <c r="L309" s="47"/>
      <c r="X309" s="47"/>
    </row>
    <row r="310" spans="1:24" x14ac:dyDescent="0.2">
      <c r="A310" s="47"/>
      <c r="B310" s="47"/>
      <c r="C310" s="47"/>
      <c r="D310" s="47"/>
      <c r="E310" s="47"/>
      <c r="F310" s="47"/>
      <c r="G310" s="47"/>
      <c r="H310" s="47"/>
      <c r="I310" s="47"/>
      <c r="J310" s="47"/>
      <c r="K310" s="47"/>
      <c r="L310" s="47"/>
      <c r="X310" s="47"/>
    </row>
    <row r="311" spans="1:24" x14ac:dyDescent="0.2">
      <c r="A311" s="47"/>
      <c r="B311" s="47"/>
      <c r="C311" s="47"/>
      <c r="D311" s="47"/>
      <c r="E311" s="47"/>
      <c r="F311" s="47"/>
      <c r="G311" s="47"/>
      <c r="H311" s="47"/>
      <c r="I311" s="47"/>
      <c r="J311" s="47"/>
      <c r="K311" s="47"/>
      <c r="L311" s="47"/>
      <c r="X311" s="47"/>
    </row>
    <row r="312" spans="1:24" x14ac:dyDescent="0.2">
      <c r="A312" s="47"/>
      <c r="B312" s="47"/>
      <c r="C312" s="47"/>
      <c r="D312" s="47"/>
      <c r="E312" s="47"/>
      <c r="F312" s="47"/>
      <c r="G312" s="47"/>
      <c r="H312" s="47"/>
      <c r="I312" s="47"/>
      <c r="J312" s="47"/>
      <c r="K312" s="47"/>
      <c r="L312" s="47"/>
      <c r="X312" s="47"/>
    </row>
    <row r="313" spans="1:24" x14ac:dyDescent="0.2">
      <c r="A313" s="47"/>
      <c r="B313" s="47"/>
      <c r="C313" s="47"/>
      <c r="D313" s="47"/>
      <c r="E313" s="47"/>
      <c r="F313" s="47"/>
      <c r="G313" s="47"/>
      <c r="H313" s="47"/>
      <c r="I313" s="47"/>
      <c r="J313" s="47"/>
      <c r="K313" s="47"/>
      <c r="L313" s="47"/>
      <c r="X313" s="47"/>
    </row>
    <row r="314" spans="1:24" x14ac:dyDescent="0.2">
      <c r="A314" s="47"/>
      <c r="B314" s="47"/>
      <c r="C314" s="47"/>
      <c r="D314" s="47"/>
      <c r="E314" s="47"/>
      <c r="F314" s="47"/>
      <c r="G314" s="47"/>
      <c r="H314" s="47"/>
      <c r="I314" s="47"/>
      <c r="J314" s="47"/>
      <c r="K314" s="47"/>
      <c r="L314" s="47"/>
      <c r="X314" s="47"/>
    </row>
    <row r="315" spans="1:24" x14ac:dyDescent="0.2">
      <c r="A315" s="47"/>
      <c r="B315" s="47"/>
      <c r="C315" s="47"/>
      <c r="D315" s="47"/>
      <c r="E315" s="47"/>
      <c r="F315" s="47"/>
      <c r="G315" s="47"/>
      <c r="H315" s="47"/>
      <c r="I315" s="47"/>
      <c r="J315" s="47"/>
      <c r="K315" s="47"/>
      <c r="L315" s="47"/>
      <c r="X315" s="47"/>
    </row>
    <row r="316" spans="1:24" x14ac:dyDescent="0.2">
      <c r="A316" s="47"/>
      <c r="B316" s="47"/>
      <c r="C316" s="47"/>
      <c r="D316" s="47"/>
      <c r="E316" s="47"/>
      <c r="F316" s="47"/>
      <c r="G316" s="47"/>
      <c r="H316" s="47"/>
      <c r="I316" s="47"/>
      <c r="J316" s="47"/>
      <c r="K316" s="47"/>
      <c r="L316" s="47"/>
      <c r="X316" s="47"/>
    </row>
    <row r="317" spans="1:24" x14ac:dyDescent="0.2">
      <c r="A317" s="47"/>
      <c r="B317" s="47"/>
      <c r="C317" s="47"/>
      <c r="D317" s="47"/>
      <c r="E317" s="47"/>
      <c r="F317" s="47"/>
      <c r="G317" s="47"/>
      <c r="H317" s="47"/>
      <c r="I317" s="47"/>
      <c r="J317" s="47"/>
      <c r="K317" s="47"/>
      <c r="L317" s="47"/>
      <c r="X317" s="47"/>
    </row>
    <row r="318" spans="1:24" x14ac:dyDescent="0.2">
      <c r="A318" s="47"/>
      <c r="B318" s="47"/>
      <c r="C318" s="47"/>
      <c r="D318" s="47"/>
      <c r="E318" s="47"/>
      <c r="F318" s="47"/>
      <c r="G318" s="47"/>
      <c r="H318" s="47"/>
      <c r="I318" s="47"/>
      <c r="J318" s="47"/>
      <c r="K318" s="47"/>
      <c r="L318" s="47"/>
      <c r="X318" s="47"/>
    </row>
    <row r="319" spans="1:24" x14ac:dyDescent="0.2">
      <c r="A319" s="47"/>
      <c r="B319" s="47"/>
      <c r="C319" s="47"/>
      <c r="D319" s="47"/>
      <c r="E319" s="47"/>
      <c r="F319" s="47"/>
      <c r="G319" s="47"/>
      <c r="H319" s="47"/>
      <c r="I319" s="47"/>
      <c r="J319" s="47"/>
      <c r="K319" s="47"/>
      <c r="L319" s="47"/>
      <c r="X319" s="47"/>
    </row>
    <row r="320" spans="1:24" x14ac:dyDescent="0.2">
      <c r="A320" s="47"/>
      <c r="B320" s="47"/>
      <c r="C320" s="47"/>
      <c r="D320" s="47"/>
      <c r="E320" s="47"/>
      <c r="F320" s="47"/>
      <c r="G320" s="47"/>
      <c r="H320" s="47"/>
      <c r="I320" s="47"/>
      <c r="J320" s="47"/>
      <c r="K320" s="47"/>
      <c r="L320" s="47"/>
      <c r="X320" s="47"/>
    </row>
    <row r="321" spans="1:24" x14ac:dyDescent="0.2">
      <c r="A321" s="47"/>
      <c r="B321" s="47"/>
      <c r="C321" s="47"/>
      <c r="D321" s="47"/>
      <c r="E321" s="47"/>
      <c r="F321" s="47"/>
      <c r="G321" s="47"/>
      <c r="H321" s="47"/>
      <c r="I321" s="47"/>
      <c r="J321" s="47"/>
      <c r="K321" s="47"/>
      <c r="L321" s="47"/>
      <c r="X321" s="47"/>
    </row>
    <row r="322" spans="1:24" x14ac:dyDescent="0.2">
      <c r="A322" s="47"/>
      <c r="B322" s="47"/>
      <c r="C322" s="47"/>
      <c r="D322" s="47"/>
      <c r="E322" s="47"/>
      <c r="F322" s="47"/>
      <c r="G322" s="47"/>
      <c r="H322" s="47"/>
      <c r="I322" s="47"/>
      <c r="J322" s="47"/>
      <c r="K322" s="47"/>
      <c r="L322" s="47"/>
      <c r="X322" s="47"/>
    </row>
    <row r="323" spans="1:24" x14ac:dyDescent="0.2">
      <c r="A323" s="47"/>
      <c r="B323" s="47"/>
      <c r="C323" s="47"/>
      <c r="D323" s="47"/>
      <c r="E323" s="47"/>
      <c r="F323" s="47"/>
      <c r="G323" s="47"/>
      <c r="H323" s="47"/>
      <c r="I323" s="47"/>
      <c r="J323" s="47"/>
      <c r="K323" s="47"/>
      <c r="L323" s="47"/>
      <c r="X323" s="47"/>
    </row>
    <row r="324" spans="1:24" x14ac:dyDescent="0.2">
      <c r="A324" s="47"/>
      <c r="B324" s="47"/>
      <c r="C324" s="47"/>
      <c r="D324" s="47"/>
      <c r="E324" s="47"/>
      <c r="F324" s="47"/>
      <c r="G324" s="47"/>
      <c r="H324" s="47"/>
      <c r="I324" s="47"/>
      <c r="J324" s="47"/>
      <c r="K324" s="47"/>
      <c r="L324" s="47"/>
      <c r="X324" s="47"/>
    </row>
    <row r="325" spans="1:24" x14ac:dyDescent="0.2">
      <c r="A325" s="47"/>
      <c r="B325" s="47"/>
      <c r="C325" s="47"/>
      <c r="D325" s="47"/>
      <c r="E325" s="47"/>
      <c r="F325" s="47"/>
      <c r="G325" s="47"/>
      <c r="H325" s="47"/>
      <c r="I325" s="47"/>
      <c r="J325" s="47"/>
      <c r="K325" s="47"/>
      <c r="L325" s="47"/>
      <c r="X325" s="47"/>
    </row>
    <row r="326" spans="1:24" x14ac:dyDescent="0.2">
      <c r="A326" s="47"/>
      <c r="B326" s="47"/>
      <c r="C326" s="47"/>
      <c r="D326" s="47"/>
      <c r="E326" s="47"/>
      <c r="F326" s="47"/>
      <c r="G326" s="47"/>
      <c r="H326" s="47"/>
      <c r="I326" s="47"/>
      <c r="J326" s="47"/>
      <c r="K326" s="47"/>
      <c r="L326" s="47"/>
      <c r="X326" s="47"/>
    </row>
    <row r="327" spans="1:24" x14ac:dyDescent="0.2">
      <c r="A327" s="47"/>
      <c r="B327" s="47"/>
      <c r="C327" s="47"/>
      <c r="D327" s="47"/>
      <c r="E327" s="47"/>
      <c r="F327" s="47"/>
      <c r="G327" s="47"/>
      <c r="H327" s="47"/>
      <c r="I327" s="47"/>
      <c r="J327" s="47"/>
      <c r="K327" s="47"/>
      <c r="L327" s="47"/>
      <c r="X327" s="47"/>
    </row>
    <row r="328" spans="1:24" x14ac:dyDescent="0.2">
      <c r="A328" s="47"/>
      <c r="B328" s="47"/>
      <c r="C328" s="47"/>
      <c r="D328" s="47"/>
      <c r="E328" s="47"/>
      <c r="F328" s="47"/>
      <c r="G328" s="47"/>
      <c r="H328" s="47"/>
      <c r="I328" s="47"/>
      <c r="J328" s="47"/>
      <c r="K328" s="47"/>
      <c r="L328" s="47"/>
      <c r="X328" s="47"/>
    </row>
    <row r="329" spans="1:24" x14ac:dyDescent="0.2">
      <c r="A329" s="47"/>
      <c r="B329" s="47"/>
      <c r="C329" s="47"/>
      <c r="D329" s="47"/>
      <c r="E329" s="47"/>
      <c r="F329" s="47"/>
      <c r="G329" s="47"/>
      <c r="H329" s="47"/>
      <c r="I329" s="47"/>
      <c r="J329" s="47"/>
      <c r="K329" s="47"/>
      <c r="L329" s="47"/>
      <c r="X329" s="47"/>
    </row>
    <row r="330" spans="1:24" x14ac:dyDescent="0.2">
      <c r="A330" s="47"/>
      <c r="B330" s="47"/>
      <c r="C330" s="47"/>
      <c r="D330" s="47"/>
      <c r="E330" s="47"/>
      <c r="F330" s="47"/>
      <c r="G330" s="47"/>
      <c r="H330" s="47"/>
      <c r="I330" s="47"/>
      <c r="J330" s="47"/>
      <c r="K330" s="47"/>
      <c r="L330" s="47"/>
      <c r="X330" s="47"/>
    </row>
    <row r="331" spans="1:24" x14ac:dyDescent="0.2">
      <c r="A331" s="47"/>
      <c r="B331" s="47"/>
      <c r="C331" s="47"/>
      <c r="D331" s="47"/>
      <c r="E331" s="47"/>
      <c r="F331" s="47"/>
      <c r="G331" s="47"/>
      <c r="H331" s="47"/>
      <c r="I331" s="47"/>
      <c r="J331" s="47"/>
      <c r="K331" s="47"/>
      <c r="L331" s="47"/>
      <c r="X331" s="47"/>
    </row>
    <row r="332" spans="1:24" x14ac:dyDescent="0.2">
      <c r="A332" s="47"/>
      <c r="B332" s="47"/>
      <c r="C332" s="47"/>
      <c r="D332" s="47"/>
      <c r="E332" s="47"/>
      <c r="F332" s="47"/>
      <c r="G332" s="47"/>
      <c r="H332" s="47"/>
      <c r="I332" s="47"/>
      <c r="J332" s="47"/>
      <c r="K332" s="47"/>
      <c r="L332" s="47"/>
      <c r="X332" s="47"/>
    </row>
    <row r="333" spans="1:24" x14ac:dyDescent="0.2">
      <c r="A333" s="47"/>
      <c r="B333" s="47"/>
      <c r="C333" s="47"/>
      <c r="D333" s="47"/>
      <c r="E333" s="47"/>
      <c r="F333" s="47"/>
      <c r="G333" s="47"/>
      <c r="H333" s="47"/>
      <c r="I333" s="47"/>
      <c r="J333" s="47"/>
      <c r="K333" s="47"/>
      <c r="L333" s="47"/>
      <c r="X333" s="47"/>
    </row>
    <row r="334" spans="1:24" x14ac:dyDescent="0.2">
      <c r="A334" s="47"/>
      <c r="B334" s="47"/>
      <c r="C334" s="47"/>
      <c r="D334" s="47"/>
      <c r="E334" s="47"/>
      <c r="F334" s="47"/>
      <c r="G334" s="47"/>
      <c r="H334" s="47"/>
      <c r="I334" s="47"/>
      <c r="J334" s="47"/>
      <c r="K334" s="47"/>
      <c r="L334" s="47"/>
      <c r="X334" s="47"/>
    </row>
    <row r="335" spans="1:24" x14ac:dyDescent="0.2">
      <c r="A335" s="47"/>
      <c r="B335" s="47"/>
      <c r="C335" s="47"/>
      <c r="D335" s="47"/>
      <c r="E335" s="47"/>
      <c r="F335" s="47"/>
      <c r="G335" s="47"/>
      <c r="H335" s="47"/>
      <c r="I335" s="47"/>
      <c r="J335" s="47"/>
      <c r="K335" s="47"/>
      <c r="L335" s="47"/>
      <c r="X335" s="47"/>
    </row>
    <row r="336" spans="1:24" x14ac:dyDescent="0.2">
      <c r="A336" s="47"/>
      <c r="B336" s="47"/>
      <c r="C336" s="47"/>
      <c r="D336" s="47"/>
      <c r="E336" s="47"/>
      <c r="F336" s="47"/>
      <c r="G336" s="47"/>
      <c r="H336" s="47"/>
      <c r="I336" s="47"/>
      <c r="J336" s="47"/>
      <c r="K336" s="47"/>
      <c r="L336" s="47"/>
      <c r="X336" s="47"/>
    </row>
    <row r="337" spans="1:24" x14ac:dyDescent="0.2">
      <c r="A337" s="47"/>
      <c r="B337" s="47"/>
      <c r="C337" s="47"/>
      <c r="D337" s="47"/>
      <c r="E337" s="47"/>
      <c r="F337" s="47"/>
      <c r="G337" s="47"/>
      <c r="H337" s="47"/>
      <c r="I337" s="47"/>
      <c r="J337" s="47"/>
      <c r="K337" s="47"/>
      <c r="L337" s="47"/>
      <c r="X337" s="47"/>
    </row>
    <row r="338" spans="1:24" x14ac:dyDescent="0.2">
      <c r="A338" s="47"/>
      <c r="B338" s="47"/>
      <c r="C338" s="47"/>
      <c r="D338" s="47"/>
      <c r="E338" s="47"/>
      <c r="F338" s="47"/>
      <c r="G338" s="47"/>
      <c r="H338" s="47"/>
      <c r="I338" s="47"/>
      <c r="J338" s="47"/>
      <c r="K338" s="47"/>
      <c r="L338" s="47"/>
      <c r="X338" s="47"/>
    </row>
    <row r="339" spans="1:24" x14ac:dyDescent="0.2">
      <c r="A339" s="47"/>
      <c r="B339" s="47"/>
      <c r="C339" s="47"/>
      <c r="D339" s="47"/>
      <c r="E339" s="47"/>
      <c r="F339" s="47"/>
      <c r="G339" s="47"/>
      <c r="H339" s="47"/>
      <c r="I339" s="47"/>
      <c r="J339" s="47"/>
      <c r="K339" s="47"/>
      <c r="L339" s="47"/>
      <c r="X339" s="47"/>
    </row>
    <row r="340" spans="1:24" x14ac:dyDescent="0.2">
      <c r="A340" s="47"/>
      <c r="B340" s="47"/>
      <c r="C340" s="47"/>
      <c r="D340" s="47"/>
      <c r="E340" s="47"/>
      <c r="F340" s="47"/>
      <c r="G340" s="47"/>
      <c r="H340" s="47"/>
      <c r="I340" s="47"/>
      <c r="J340" s="47"/>
      <c r="K340" s="47"/>
      <c r="L340" s="47"/>
      <c r="X340" s="47"/>
    </row>
    <row r="341" spans="1:24" x14ac:dyDescent="0.2">
      <c r="A341" s="47"/>
      <c r="B341" s="47"/>
      <c r="C341" s="47"/>
      <c r="D341" s="47"/>
      <c r="E341" s="47"/>
      <c r="F341" s="47"/>
      <c r="G341" s="47"/>
      <c r="H341" s="47"/>
      <c r="I341" s="47"/>
      <c r="J341" s="47"/>
      <c r="K341" s="47"/>
      <c r="L341" s="47"/>
      <c r="X341" s="47"/>
    </row>
    <row r="342" spans="1:24" x14ac:dyDescent="0.2">
      <c r="A342" s="47"/>
      <c r="B342" s="47"/>
      <c r="C342" s="47"/>
      <c r="D342" s="47"/>
      <c r="E342" s="47"/>
      <c r="F342" s="47"/>
      <c r="G342" s="47"/>
      <c r="H342" s="47"/>
      <c r="I342" s="47"/>
      <c r="J342" s="47"/>
      <c r="K342" s="47"/>
      <c r="L342" s="47"/>
      <c r="X342" s="47"/>
    </row>
    <row r="343" spans="1:24" x14ac:dyDescent="0.2">
      <c r="A343" s="47"/>
      <c r="B343" s="47"/>
      <c r="C343" s="47"/>
      <c r="D343" s="47"/>
      <c r="E343" s="47"/>
      <c r="F343" s="47"/>
      <c r="G343" s="47"/>
      <c r="H343" s="47"/>
      <c r="I343" s="47"/>
      <c r="J343" s="47"/>
      <c r="K343" s="47"/>
      <c r="L343" s="47"/>
      <c r="X343" s="47"/>
    </row>
    <row r="344" spans="1:24" x14ac:dyDescent="0.2">
      <c r="A344" s="47"/>
      <c r="B344" s="47"/>
      <c r="C344" s="47"/>
      <c r="D344" s="47"/>
      <c r="E344" s="47"/>
      <c r="F344" s="47"/>
      <c r="G344" s="47"/>
      <c r="H344" s="47"/>
      <c r="I344" s="47"/>
      <c r="J344" s="47"/>
      <c r="K344" s="47"/>
      <c r="L344" s="47"/>
      <c r="X344" s="47"/>
    </row>
    <row r="345" spans="1:24" x14ac:dyDescent="0.2">
      <c r="A345" s="47"/>
      <c r="B345" s="47"/>
      <c r="C345" s="47"/>
      <c r="D345" s="47"/>
      <c r="E345" s="47"/>
      <c r="F345" s="47"/>
      <c r="G345" s="47"/>
      <c r="H345" s="47"/>
      <c r="I345" s="47"/>
      <c r="J345" s="47"/>
      <c r="K345" s="47"/>
      <c r="L345" s="47"/>
      <c r="X345" s="47"/>
    </row>
    <row r="346" spans="1:24" x14ac:dyDescent="0.2">
      <c r="A346" s="47"/>
      <c r="B346" s="47"/>
      <c r="C346" s="47"/>
      <c r="D346" s="47"/>
      <c r="E346" s="47"/>
      <c r="F346" s="47"/>
      <c r="G346" s="47"/>
      <c r="H346" s="47"/>
      <c r="I346" s="47"/>
      <c r="J346" s="47"/>
      <c r="K346" s="47"/>
      <c r="L346" s="47"/>
      <c r="X346" s="47"/>
    </row>
    <row r="347" spans="1:24" x14ac:dyDescent="0.2">
      <c r="A347" s="47"/>
      <c r="B347" s="47"/>
      <c r="C347" s="47"/>
      <c r="D347" s="47"/>
      <c r="E347" s="47"/>
      <c r="F347" s="47"/>
      <c r="G347" s="47"/>
      <c r="H347" s="47"/>
      <c r="I347" s="47"/>
      <c r="J347" s="47"/>
      <c r="K347" s="47"/>
      <c r="L347" s="47"/>
      <c r="X347" s="47"/>
    </row>
    <row r="348" spans="1:24" x14ac:dyDescent="0.2">
      <c r="A348" s="47"/>
      <c r="B348" s="47"/>
      <c r="C348" s="47"/>
      <c r="D348" s="47"/>
      <c r="E348" s="47"/>
      <c r="F348" s="47"/>
      <c r="G348" s="47"/>
      <c r="H348" s="47"/>
      <c r="I348" s="47"/>
      <c r="J348" s="47"/>
      <c r="K348" s="47"/>
      <c r="L348" s="47"/>
      <c r="X348" s="47"/>
    </row>
    <row r="349" spans="1:24" x14ac:dyDescent="0.2">
      <c r="A349" s="47"/>
      <c r="B349" s="47"/>
      <c r="C349" s="47"/>
      <c r="D349" s="47"/>
      <c r="E349" s="47"/>
      <c r="F349" s="47"/>
      <c r="G349" s="47"/>
      <c r="H349" s="47"/>
      <c r="I349" s="47"/>
      <c r="J349" s="47"/>
      <c r="K349" s="47"/>
      <c r="L349" s="47"/>
      <c r="X349" s="47"/>
    </row>
    <row r="350" spans="1:24" x14ac:dyDescent="0.2">
      <c r="A350" s="47"/>
      <c r="B350" s="47"/>
      <c r="C350" s="47"/>
      <c r="D350" s="47"/>
      <c r="E350" s="47"/>
      <c r="F350" s="47"/>
      <c r="G350" s="47"/>
      <c r="H350" s="47"/>
      <c r="I350" s="47"/>
      <c r="J350" s="47"/>
      <c r="K350" s="47"/>
      <c r="L350" s="47"/>
      <c r="X350" s="47"/>
    </row>
    <row r="351" spans="1:24" x14ac:dyDescent="0.2">
      <c r="A351" s="47"/>
      <c r="B351" s="47"/>
      <c r="C351" s="47"/>
      <c r="D351" s="47"/>
      <c r="E351" s="47"/>
      <c r="F351" s="47"/>
      <c r="G351" s="47"/>
      <c r="H351" s="47"/>
      <c r="I351" s="47"/>
      <c r="J351" s="47"/>
      <c r="K351" s="47"/>
      <c r="L351" s="47"/>
      <c r="X351" s="47"/>
    </row>
    <row r="352" spans="1:24" x14ac:dyDescent="0.2">
      <c r="A352" s="47"/>
      <c r="B352" s="47"/>
      <c r="C352" s="47"/>
      <c r="D352" s="47"/>
      <c r="E352" s="47"/>
      <c r="F352" s="47"/>
      <c r="G352" s="47"/>
      <c r="H352" s="47"/>
      <c r="I352" s="47"/>
      <c r="J352" s="47"/>
      <c r="K352" s="47"/>
      <c r="L352" s="47"/>
      <c r="X352" s="47"/>
    </row>
    <row r="353" spans="1:24" x14ac:dyDescent="0.2">
      <c r="A353" s="47"/>
      <c r="B353" s="47"/>
      <c r="C353" s="47"/>
      <c r="D353" s="47"/>
      <c r="E353" s="47"/>
      <c r="F353" s="47"/>
      <c r="G353" s="47"/>
      <c r="H353" s="47"/>
      <c r="I353" s="47"/>
      <c r="J353" s="47"/>
      <c r="K353" s="47"/>
      <c r="L353" s="47"/>
      <c r="X353" s="47"/>
    </row>
    <row r="354" spans="1:24" x14ac:dyDescent="0.2">
      <c r="A354" s="47"/>
      <c r="B354" s="47"/>
      <c r="C354" s="47"/>
      <c r="D354" s="47"/>
      <c r="E354" s="47"/>
      <c r="F354" s="47"/>
      <c r="G354" s="47"/>
      <c r="H354" s="47"/>
      <c r="I354" s="47"/>
      <c r="J354" s="47"/>
      <c r="K354" s="47"/>
      <c r="L354" s="47"/>
      <c r="X354" s="47"/>
    </row>
    <row r="355" spans="1:24" x14ac:dyDescent="0.2">
      <c r="A355" s="47"/>
      <c r="B355" s="47"/>
      <c r="C355" s="47"/>
      <c r="D355" s="47"/>
      <c r="E355" s="47"/>
      <c r="F355" s="47"/>
      <c r="G355" s="47"/>
      <c r="H355" s="47"/>
      <c r="I355" s="47"/>
      <c r="J355" s="47"/>
      <c r="K355" s="47"/>
      <c r="L355" s="47"/>
      <c r="X355" s="47"/>
    </row>
    <row r="356" spans="1:24" x14ac:dyDescent="0.2">
      <c r="A356" s="47"/>
      <c r="B356" s="47"/>
      <c r="C356" s="47"/>
      <c r="D356" s="47"/>
      <c r="E356" s="47"/>
      <c r="F356" s="47"/>
      <c r="G356" s="47"/>
      <c r="H356" s="47"/>
      <c r="I356" s="47"/>
      <c r="J356" s="47"/>
      <c r="K356" s="47"/>
      <c r="L356" s="47"/>
      <c r="X356" s="47"/>
    </row>
  </sheetData>
  <dataValidations count="1">
    <dataValidation type="list" allowBlank="1" showInputMessage="1" showErrorMessage="1" sqref="E5:Y5">
      <formula1>index_ahu</formula1>
    </dataValidation>
  </dataValidations>
  <pageMargins left="0.75" right="0.75" top="1" bottom="1" header="0.4921259845" footer="0.4921259845"/>
  <pageSetup paperSize="8" orientation="landscape" horizontalDpi="4294967292" verticalDpi="300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5361" r:id="rId4" name="Button 1">
              <controlPr defaultSize="0" print="0" autoFill="0" autoPict="0" macro="[0]!Template_Show">
                <anchor moveWithCells="1" sizeWithCells="1">
                  <from>
                    <xdr:col>11</xdr:col>
                    <xdr:colOff>447675</xdr:colOff>
                    <xdr:row>0</xdr:row>
                    <xdr:rowOff>38100</xdr:rowOff>
                  </from>
                  <to>
                    <xdr:col>13</xdr:col>
                    <xdr:colOff>323850</xdr:colOff>
                    <xdr:row>1</xdr:row>
                    <xdr:rowOff>57150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List9"/>
  <dimension ref="A1:AI356"/>
  <sheetViews>
    <sheetView zoomScaleNormal="100" workbookViewId="0">
      <selection activeCell="U11" sqref="U11"/>
    </sheetView>
  </sheetViews>
  <sheetFormatPr defaultRowHeight="12.75" x14ac:dyDescent="0.2"/>
  <cols>
    <col min="1" max="1" width="2.42578125" style="12" customWidth="1"/>
    <col min="2" max="2" width="16.7109375" style="12" customWidth="1"/>
    <col min="3" max="3" width="3.7109375" style="12" customWidth="1"/>
    <col min="4" max="4" width="9.140625" style="12"/>
    <col min="5" max="5" width="10.140625" style="12" customWidth="1"/>
    <col min="6" max="6" width="9.42578125" style="12" customWidth="1"/>
    <col min="7" max="7" width="9" style="12" customWidth="1"/>
    <col min="8" max="8" width="7.28515625" style="12" customWidth="1"/>
    <col min="9" max="9" width="7.42578125" style="12" customWidth="1"/>
    <col min="10" max="10" width="10.7109375" style="12" customWidth="1"/>
    <col min="11" max="11" width="9.42578125" style="12" customWidth="1"/>
    <col min="12" max="12" width="7.28515625" style="12" customWidth="1"/>
    <col min="13" max="13" width="7.28515625" style="110" customWidth="1"/>
    <col min="14" max="23" width="9.85546875" style="110" customWidth="1"/>
    <col min="24" max="24" width="9.140625" style="12"/>
    <col min="25" max="25" width="11" style="61" customWidth="1"/>
    <col min="26" max="26" width="12" style="61" customWidth="1"/>
    <col min="27" max="33" width="9.140625" style="56"/>
    <col min="34" max="16384" width="9.140625" style="12"/>
  </cols>
  <sheetData>
    <row r="1" spans="1:35" ht="20.25" x14ac:dyDescent="0.3">
      <c r="A1" s="7"/>
      <c r="B1" s="8"/>
      <c r="C1" s="9" t="s">
        <v>78</v>
      </c>
      <c r="D1" s="7"/>
      <c r="E1" s="7"/>
      <c r="F1" s="7"/>
      <c r="G1" s="7"/>
      <c r="H1" s="7"/>
      <c r="I1" s="7"/>
      <c r="J1" s="10" t="s">
        <v>75</v>
      </c>
      <c r="K1" s="11">
        <v>94.5</v>
      </c>
      <c r="L1" s="7" t="s">
        <v>11</v>
      </c>
      <c r="M1" s="93"/>
      <c r="N1" s="93"/>
      <c r="O1" s="93"/>
      <c r="P1" s="93"/>
      <c r="Q1" s="93"/>
      <c r="R1" s="93"/>
      <c r="S1" s="93"/>
      <c r="T1" s="93"/>
      <c r="U1" s="93"/>
      <c r="V1" s="93"/>
      <c r="W1" s="93"/>
      <c r="X1" s="7"/>
      <c r="Y1" s="90"/>
      <c r="Z1" s="90"/>
      <c r="AA1" s="90"/>
      <c r="AB1" s="90"/>
      <c r="AC1" s="90"/>
      <c r="AD1" s="58"/>
    </row>
    <row r="2" spans="1:35" ht="12.75" customHeight="1" x14ac:dyDescent="0.2">
      <c r="A2" s="7"/>
      <c r="B2" s="13"/>
      <c r="C2" s="52" t="s">
        <v>157</v>
      </c>
      <c r="D2" s="53"/>
      <c r="E2" s="53"/>
      <c r="F2" s="54"/>
      <c r="G2" s="7"/>
      <c r="H2" s="7"/>
      <c r="I2" s="7"/>
      <c r="J2" s="14" t="s">
        <v>76</v>
      </c>
      <c r="K2" s="11">
        <v>100</v>
      </c>
      <c r="L2" s="7" t="s">
        <v>5</v>
      </c>
      <c r="M2" s="94">
        <f>K2/100</f>
        <v>1</v>
      </c>
      <c r="N2" s="93"/>
      <c r="O2" s="93"/>
      <c r="P2" s="93"/>
      <c r="Q2" s="93"/>
      <c r="R2" s="93"/>
      <c r="S2" s="93"/>
      <c r="T2" s="93"/>
      <c r="U2" s="93"/>
      <c r="V2" s="93"/>
      <c r="W2" s="93"/>
      <c r="X2" s="7"/>
      <c r="Y2" s="90"/>
      <c r="Z2" s="90"/>
      <c r="AA2" s="90"/>
      <c r="AB2" s="90"/>
      <c r="AC2" s="90"/>
      <c r="AD2" s="58"/>
    </row>
    <row r="3" spans="1:35" ht="12.75" customHeight="1" x14ac:dyDescent="0.2">
      <c r="A3" s="7"/>
      <c r="B3" s="7"/>
      <c r="C3" s="7"/>
      <c r="D3" s="7"/>
      <c r="E3" s="7"/>
      <c r="F3" s="7"/>
      <c r="G3" s="7"/>
      <c r="H3" s="7"/>
      <c r="I3" s="7"/>
      <c r="J3" s="14" t="s">
        <v>77</v>
      </c>
      <c r="K3" s="11">
        <v>3</v>
      </c>
      <c r="L3" s="15" t="s">
        <v>4</v>
      </c>
      <c r="M3" s="93"/>
      <c r="N3" s="93"/>
      <c r="O3" s="93"/>
      <c r="P3" s="93"/>
      <c r="Q3" s="93"/>
      <c r="R3" s="93"/>
      <c r="S3" s="93"/>
      <c r="T3" s="93"/>
      <c r="U3" s="93"/>
      <c r="V3" s="93"/>
      <c r="W3" s="93"/>
      <c r="X3" s="7"/>
      <c r="Y3" s="90" t="s">
        <v>118</v>
      </c>
      <c r="Z3" s="90">
        <f>IF(Tchladice&lt;-50,#N/A,IF(Tchladice&lt;0,EXP((1738.4+28.74*Tchladice)/(271+Tchladice)),IF(Tchladice&lt;=100,EXP((1500.3+23.5*Tchladice)/(234+Tchladice)),#N/A)))</f>
        <v>755.8538982845879</v>
      </c>
      <c r="AA3" s="90"/>
      <c r="AB3" s="90"/>
      <c r="AC3" s="90"/>
      <c r="AD3" s="58"/>
    </row>
    <row r="4" spans="1:35" ht="12.75" customHeight="1" x14ac:dyDescent="0.2">
      <c r="A4" s="7"/>
      <c r="B4" s="16" t="s">
        <v>69</v>
      </c>
      <c r="C4" s="7"/>
      <c r="D4" s="7"/>
      <c r="E4" s="17">
        <v>1</v>
      </c>
      <c r="F4" s="17">
        <v>2</v>
      </c>
      <c r="G4" s="17">
        <v>3</v>
      </c>
      <c r="H4" s="17">
        <v>4</v>
      </c>
      <c r="I4" s="17">
        <v>5</v>
      </c>
      <c r="J4" s="17">
        <v>6</v>
      </c>
      <c r="K4" s="17">
        <v>7</v>
      </c>
      <c r="L4" s="17">
        <v>8</v>
      </c>
      <c r="M4" s="17">
        <v>9</v>
      </c>
      <c r="N4" s="17">
        <v>10</v>
      </c>
      <c r="O4" s="17">
        <v>11</v>
      </c>
      <c r="P4" s="17">
        <v>12</v>
      </c>
      <c r="Q4" s="17">
        <v>13</v>
      </c>
      <c r="R4" s="17">
        <v>14</v>
      </c>
      <c r="S4" s="17">
        <v>15</v>
      </c>
      <c r="T4" s="17">
        <v>17</v>
      </c>
      <c r="U4" s="17">
        <v>18</v>
      </c>
      <c r="V4" s="17">
        <v>19</v>
      </c>
      <c r="W4" s="17">
        <v>20</v>
      </c>
      <c r="X4" s="7"/>
      <c r="Y4" s="90" t="s">
        <v>119</v>
      </c>
      <c r="Z4" s="90">
        <f>0.6222*Z3/(Tlak_vzduchu-Z3/1000)</f>
        <v>5.0167644068397435</v>
      </c>
      <c r="AA4" s="90"/>
      <c r="AB4" s="91"/>
      <c r="AC4" s="91"/>
      <c r="AD4"/>
      <c r="AE4"/>
      <c r="AF4"/>
      <c r="AG4"/>
      <c r="AH4"/>
      <c r="AI4"/>
    </row>
    <row r="5" spans="1:35" ht="12.75" customHeight="1" x14ac:dyDescent="0.2">
      <c r="A5" s="7"/>
      <c r="B5" s="15" t="s">
        <v>61</v>
      </c>
      <c r="C5" s="7" t="s">
        <v>149</v>
      </c>
      <c r="D5" s="7" t="s">
        <v>150</v>
      </c>
      <c r="E5" s="92" t="s">
        <v>167</v>
      </c>
      <c r="F5" s="92" t="s">
        <v>160</v>
      </c>
      <c r="G5" s="92" t="s">
        <v>161</v>
      </c>
      <c r="H5" s="92" t="s">
        <v>164</v>
      </c>
      <c r="I5" s="92" t="s">
        <v>165</v>
      </c>
      <c r="J5" s="92" t="s">
        <v>166</v>
      </c>
      <c r="K5" s="92" t="s">
        <v>152</v>
      </c>
      <c r="L5" s="92" t="s">
        <v>153</v>
      </c>
      <c r="M5" s="92" t="s">
        <v>143</v>
      </c>
      <c r="N5" s="92" t="s">
        <v>144</v>
      </c>
      <c r="O5" s="92" t="s">
        <v>145</v>
      </c>
      <c r="P5" s="92" t="s">
        <v>146</v>
      </c>
      <c r="Q5" s="92" t="s">
        <v>147</v>
      </c>
      <c r="R5" s="92" t="s">
        <v>148</v>
      </c>
      <c r="S5" s="92" t="s">
        <v>195</v>
      </c>
      <c r="T5" s="92" t="s">
        <v>172</v>
      </c>
      <c r="U5" s="92" t="s">
        <v>170</v>
      </c>
      <c r="V5" s="92"/>
      <c r="W5" s="92"/>
      <c r="X5" s="7"/>
      <c r="Y5" s="90"/>
      <c r="Z5" s="90"/>
      <c r="AA5" s="90"/>
      <c r="AB5" s="91"/>
      <c r="AC5" s="91"/>
      <c r="AD5"/>
      <c r="AE5"/>
      <c r="AF5"/>
      <c r="AG5"/>
      <c r="AH5"/>
      <c r="AI5"/>
    </row>
    <row r="6" spans="1:35" x14ac:dyDescent="0.2">
      <c r="A6" s="7"/>
      <c r="B6" s="7" t="s">
        <v>62</v>
      </c>
      <c r="C6" s="18" t="s">
        <v>0</v>
      </c>
      <c r="D6" s="19" t="s">
        <v>4</v>
      </c>
      <c r="E6" s="2">
        <v>-25</v>
      </c>
      <c r="F6" s="2">
        <v>-25</v>
      </c>
      <c r="G6" s="2">
        <v>-25</v>
      </c>
      <c r="H6" s="2">
        <v>-25</v>
      </c>
      <c r="I6" s="2">
        <v>20</v>
      </c>
      <c r="J6" s="2"/>
      <c r="K6" s="122">
        <f>J16</f>
        <v>5.6834135234056342</v>
      </c>
      <c r="L6" s="122">
        <v>8</v>
      </c>
      <c r="M6" s="123">
        <f>L6</f>
        <v>8</v>
      </c>
      <c r="N6" s="96">
        <v>20</v>
      </c>
      <c r="O6" s="96">
        <v>35</v>
      </c>
      <c r="P6" s="96">
        <v>16</v>
      </c>
      <c r="Q6" s="123">
        <f>P16</f>
        <v>16</v>
      </c>
      <c r="R6" s="2">
        <v>20</v>
      </c>
      <c r="S6" s="122">
        <f>R16</f>
        <v>20</v>
      </c>
      <c r="T6" s="122">
        <f t="shared" ref="T6:U6" si="0">S16</f>
        <v>20</v>
      </c>
      <c r="U6" s="122">
        <f t="shared" si="0"/>
        <v>20</v>
      </c>
      <c r="V6" s="96"/>
      <c r="W6" s="96"/>
      <c r="X6" s="7"/>
      <c r="Y6" s="90"/>
      <c r="Z6" s="90">
        <f>1.01*Tchladice+(2501+1.86*Tchladice)*Z4/1000</f>
        <v>15.604921326896363</v>
      </c>
      <c r="AA6" s="90"/>
      <c r="AB6" s="90"/>
      <c r="AC6" s="90"/>
      <c r="AD6" s="58"/>
    </row>
    <row r="7" spans="1:35" x14ac:dyDescent="0.2">
      <c r="A7" s="7"/>
      <c r="B7" s="7" t="s">
        <v>63</v>
      </c>
      <c r="C7" s="20" t="s">
        <v>1</v>
      </c>
      <c r="D7" s="19" t="s">
        <v>5</v>
      </c>
      <c r="E7" s="2">
        <v>20</v>
      </c>
      <c r="F7" s="2">
        <v>20</v>
      </c>
      <c r="G7" s="2">
        <v>20</v>
      </c>
      <c r="H7" s="2">
        <v>20</v>
      </c>
      <c r="I7" s="2">
        <v>60</v>
      </c>
      <c r="J7" s="2"/>
      <c r="K7" s="55">
        <f>J17</f>
        <v>1</v>
      </c>
      <c r="L7" s="55"/>
      <c r="M7" s="97">
        <f>L17</f>
        <v>8.523966255474991E-3</v>
      </c>
      <c r="N7" s="96"/>
      <c r="O7" s="96">
        <v>40</v>
      </c>
      <c r="P7" s="96"/>
      <c r="Q7" s="97">
        <f>P17</f>
        <v>0.75771330367416145</v>
      </c>
      <c r="R7" s="2"/>
      <c r="S7" s="55">
        <f>R17</f>
        <v>5.8899545819655012E-3</v>
      </c>
      <c r="T7" s="55">
        <f t="shared" ref="T7:U7" si="1">S17</f>
        <v>5.889954581965501E-5</v>
      </c>
      <c r="U7" s="55">
        <f t="shared" si="1"/>
        <v>5.8899545819655022E-7</v>
      </c>
      <c r="V7" s="96"/>
      <c r="W7" s="96"/>
      <c r="X7" s="7"/>
      <c r="Y7" s="90"/>
      <c r="Z7" s="90"/>
      <c r="AA7" s="90"/>
      <c r="AB7" s="90"/>
      <c r="AC7" s="90"/>
      <c r="AD7" s="58"/>
    </row>
    <row r="8" spans="1:35" x14ac:dyDescent="0.2">
      <c r="A8" s="7"/>
      <c r="B8" s="7" t="s">
        <v>67</v>
      </c>
      <c r="C8" s="18" t="s">
        <v>2</v>
      </c>
      <c r="D8" s="19" t="s">
        <v>6</v>
      </c>
      <c r="E8" s="2"/>
      <c r="F8" s="2"/>
      <c r="G8" s="2"/>
      <c r="H8" s="2"/>
      <c r="I8" s="2"/>
      <c r="J8" s="2"/>
      <c r="K8" s="2"/>
      <c r="L8" s="2"/>
      <c r="M8" s="96"/>
      <c r="N8" s="96"/>
      <c r="O8" s="96"/>
      <c r="P8" s="96"/>
      <c r="Q8" s="96"/>
      <c r="R8" s="2"/>
      <c r="S8" s="2"/>
      <c r="T8" s="2"/>
      <c r="U8" s="2"/>
      <c r="V8" s="96"/>
      <c r="W8" s="96"/>
      <c r="X8" s="7"/>
      <c r="Y8" s="90"/>
      <c r="Z8" s="90"/>
      <c r="AA8" s="90"/>
      <c r="AB8" s="90"/>
      <c r="AC8" s="90"/>
      <c r="AD8" s="58"/>
    </row>
    <row r="9" spans="1:35" ht="13.5" thickBot="1" x14ac:dyDescent="0.25">
      <c r="A9" s="7"/>
      <c r="B9" s="7" t="s">
        <v>65</v>
      </c>
      <c r="C9" s="18" t="s">
        <v>3</v>
      </c>
      <c r="D9" s="19" t="s">
        <v>7</v>
      </c>
      <c r="E9" s="3"/>
      <c r="F9" s="3"/>
      <c r="G9" s="3"/>
      <c r="H9" s="3"/>
      <c r="I9" s="3"/>
      <c r="J9" s="3"/>
      <c r="K9" s="3"/>
      <c r="L9" s="49"/>
      <c r="M9" s="98"/>
      <c r="N9" s="98"/>
      <c r="O9" s="98"/>
      <c r="P9" s="98"/>
      <c r="Q9" s="98"/>
      <c r="R9" s="49"/>
      <c r="S9" s="49"/>
      <c r="T9" s="49"/>
      <c r="U9" s="49"/>
      <c r="V9" s="98"/>
      <c r="W9" s="98"/>
      <c r="X9" s="7"/>
      <c r="Y9" s="90"/>
      <c r="Z9" s="90"/>
      <c r="AA9" s="90"/>
      <c r="AB9" s="90"/>
      <c r="AC9" s="90"/>
      <c r="AD9" s="58"/>
    </row>
    <row r="10" spans="1:35" ht="13.5" thickTop="1" x14ac:dyDescent="0.2">
      <c r="A10" s="7"/>
      <c r="B10" s="7" t="s">
        <v>68</v>
      </c>
      <c r="C10" s="22" t="s">
        <v>60</v>
      </c>
      <c r="D10" s="19"/>
      <c r="E10" s="4"/>
      <c r="F10" s="4"/>
      <c r="G10" s="4"/>
      <c r="H10" s="4"/>
      <c r="I10" s="4"/>
      <c r="J10" s="4" t="s">
        <v>142</v>
      </c>
      <c r="K10" s="4"/>
      <c r="L10" s="4" t="s">
        <v>53</v>
      </c>
      <c r="M10" s="99"/>
      <c r="N10" s="99" t="s">
        <v>53</v>
      </c>
      <c r="O10" s="99"/>
      <c r="P10" s="99" t="s">
        <v>58</v>
      </c>
      <c r="Q10" s="99"/>
      <c r="R10" s="4" t="s">
        <v>53</v>
      </c>
      <c r="S10" s="4"/>
      <c r="T10" s="4"/>
      <c r="U10" s="4"/>
      <c r="V10" s="99"/>
      <c r="W10" s="99"/>
      <c r="X10" s="7"/>
      <c r="Y10" s="90"/>
      <c r="Z10" s="90"/>
      <c r="AA10" s="90"/>
      <c r="AB10" s="90"/>
      <c r="AC10" s="90"/>
      <c r="AD10" s="58"/>
    </row>
    <row r="11" spans="1:35" x14ac:dyDescent="0.2">
      <c r="A11" s="7"/>
      <c r="B11" s="7" t="s">
        <v>64</v>
      </c>
      <c r="C11" s="16" t="s">
        <v>21</v>
      </c>
      <c r="D11" s="19" t="s">
        <v>22</v>
      </c>
      <c r="E11" s="6">
        <v>5000</v>
      </c>
      <c r="F11" s="6">
        <v>5000</v>
      </c>
      <c r="G11" s="6">
        <v>5000</v>
      </c>
      <c r="H11" s="6">
        <v>5000</v>
      </c>
      <c r="I11" s="6">
        <v>10000</v>
      </c>
      <c r="J11" s="6"/>
      <c r="K11" s="6">
        <f>H11+I11</f>
        <v>15000</v>
      </c>
      <c r="L11" s="6"/>
      <c r="M11" s="6">
        <f>J11+K11</f>
        <v>15000</v>
      </c>
      <c r="N11" s="100"/>
      <c r="O11" s="100">
        <f>K11</f>
        <v>15000</v>
      </c>
      <c r="P11" s="100"/>
      <c r="Q11" s="100">
        <f>O11</f>
        <v>15000</v>
      </c>
      <c r="R11" s="100"/>
      <c r="S11" s="6">
        <f>Q11</f>
        <v>15000</v>
      </c>
      <c r="T11" s="6">
        <f>S11</f>
        <v>15000</v>
      </c>
      <c r="U11" s="6">
        <f>T11</f>
        <v>15000</v>
      </c>
      <c r="V11" s="100"/>
      <c r="W11" s="100"/>
      <c r="X11" s="7"/>
      <c r="Y11" s="90"/>
      <c r="Z11" s="90"/>
      <c r="AA11" s="90"/>
      <c r="AB11" s="90"/>
      <c r="AC11" s="90"/>
      <c r="AD11" s="58"/>
    </row>
    <row r="12" spans="1:35" x14ac:dyDescent="0.2">
      <c r="A12" s="7"/>
      <c r="B12" s="7"/>
      <c r="C12" s="7"/>
      <c r="D12" s="19" t="s">
        <v>23</v>
      </c>
      <c r="E12" s="2"/>
      <c r="F12" s="2"/>
      <c r="G12" s="2"/>
      <c r="H12" s="2"/>
      <c r="I12" s="2"/>
      <c r="J12" s="2"/>
      <c r="K12" s="2"/>
      <c r="L12" s="2"/>
      <c r="M12" s="96"/>
      <c r="N12" s="96"/>
      <c r="O12" s="96"/>
      <c r="P12" s="96"/>
      <c r="Q12" s="96"/>
      <c r="R12" s="2"/>
      <c r="S12" s="2"/>
      <c r="T12" s="2"/>
      <c r="U12" s="96"/>
      <c r="V12" s="96"/>
      <c r="W12" s="96"/>
      <c r="X12" s="7"/>
      <c r="Y12" s="90"/>
      <c r="Z12" s="90"/>
      <c r="AA12" s="90"/>
      <c r="AB12" s="90"/>
      <c r="AC12" s="90"/>
      <c r="AD12" s="58"/>
    </row>
    <row r="13" spans="1:35" x14ac:dyDescent="0.2">
      <c r="A13" s="7"/>
      <c r="B13" s="7" t="s">
        <v>66</v>
      </c>
      <c r="C13" s="16" t="s">
        <v>27</v>
      </c>
      <c r="D13" s="19" t="s">
        <v>28</v>
      </c>
      <c r="E13" s="2"/>
      <c r="F13" s="2"/>
      <c r="G13" s="2"/>
      <c r="H13" s="2"/>
      <c r="I13" s="2"/>
      <c r="J13" s="2"/>
      <c r="K13" s="2"/>
      <c r="L13" s="2"/>
      <c r="M13" s="96"/>
      <c r="N13" s="96"/>
      <c r="O13" s="96"/>
      <c r="P13" s="96"/>
      <c r="Q13" s="96"/>
      <c r="R13" s="2"/>
      <c r="S13" s="2"/>
      <c r="T13" s="2"/>
      <c r="U13" s="96"/>
      <c r="V13" s="96"/>
      <c r="W13" s="96"/>
      <c r="X13" s="7"/>
      <c r="Y13" s="90"/>
      <c r="Z13" s="90"/>
      <c r="AA13" s="90"/>
      <c r="AB13" s="90"/>
      <c r="AC13" s="90"/>
      <c r="AD13" s="58"/>
    </row>
    <row r="14" spans="1:35" x14ac:dyDescent="0.2">
      <c r="A14" s="7"/>
      <c r="B14" s="16"/>
      <c r="C14" s="7"/>
      <c r="D14" s="7"/>
      <c r="E14" s="23" t="str">
        <f t="shared" ref="E14:W14" si="2">IF(E96,"ERROR",IF(E97,"?",IF(E98,"-","")))</f>
        <v/>
      </c>
      <c r="F14" s="23" t="str">
        <f t="shared" si="2"/>
        <v/>
      </c>
      <c r="G14" s="23" t="str">
        <f t="shared" si="2"/>
        <v/>
      </c>
      <c r="H14" s="23"/>
      <c r="I14" s="23" t="str">
        <f t="shared" si="2"/>
        <v/>
      </c>
      <c r="J14" s="23" t="str">
        <f t="shared" si="2"/>
        <v/>
      </c>
      <c r="K14" s="23" t="str">
        <f t="shared" si="2"/>
        <v/>
      </c>
      <c r="L14" s="23" t="str">
        <f t="shared" si="2"/>
        <v/>
      </c>
      <c r="M14" s="95" t="str">
        <f t="shared" si="2"/>
        <v/>
      </c>
      <c r="N14" s="95" t="str">
        <f t="shared" si="2"/>
        <v/>
      </c>
      <c r="O14" s="95" t="str">
        <f t="shared" si="2"/>
        <v/>
      </c>
      <c r="P14" s="95" t="str">
        <f t="shared" si="2"/>
        <v/>
      </c>
      <c r="Q14" s="95" t="str">
        <f t="shared" si="2"/>
        <v/>
      </c>
      <c r="R14" s="95" t="str">
        <f t="shared" si="2"/>
        <v/>
      </c>
      <c r="S14" s="95" t="str">
        <f t="shared" si="2"/>
        <v/>
      </c>
      <c r="T14" s="95" t="str">
        <f t="shared" si="2"/>
        <v/>
      </c>
      <c r="U14" s="95" t="str">
        <f t="shared" si="2"/>
        <v/>
      </c>
      <c r="V14" s="95" t="str">
        <f t="shared" si="2"/>
        <v>-</v>
      </c>
      <c r="W14" s="95" t="str">
        <f t="shared" si="2"/>
        <v>-</v>
      </c>
      <c r="X14" s="7"/>
      <c r="Y14" s="90"/>
      <c r="Z14" s="90"/>
      <c r="AA14" s="90"/>
      <c r="AB14" s="90"/>
      <c r="AC14" s="90"/>
      <c r="AD14" s="58"/>
    </row>
    <row r="15" spans="1:35" ht="13.5" thickBot="1" x14ac:dyDescent="0.25">
      <c r="A15" s="7"/>
      <c r="B15" s="16" t="s">
        <v>151</v>
      </c>
      <c r="C15" s="7" t="s">
        <v>149</v>
      </c>
      <c r="D15" s="7" t="s">
        <v>150</v>
      </c>
      <c r="E15" s="21" t="str">
        <f>IF(E5&gt;0,E5,"")</f>
        <v>air_in_left</v>
      </c>
      <c r="F15" s="21" t="str">
        <f t="shared" ref="F15:W15" si="3">IF(F5&gt;0,F5,"")</f>
        <v>Filter_G4</v>
      </c>
      <c r="G15" s="21" t="str">
        <f t="shared" si="3"/>
        <v>Filter_F7</v>
      </c>
      <c r="H15" s="21" t="str">
        <f t="shared" si="3"/>
        <v>Mix_up1</v>
      </c>
      <c r="I15" s="21" t="str">
        <f t="shared" si="3"/>
        <v>Mix_up2</v>
      </c>
      <c r="J15" s="21" t="str">
        <f t="shared" si="3"/>
        <v>Mix_up_result</v>
      </c>
      <c r="K15" s="21" t="str">
        <f t="shared" si="3"/>
        <v>RE1_in</v>
      </c>
      <c r="L15" s="21" t="str">
        <f t="shared" si="3"/>
        <v>RE1_out</v>
      </c>
      <c r="M15" s="101" t="str">
        <f t="shared" si="3"/>
        <v>HE1_in</v>
      </c>
      <c r="N15" s="101" t="str">
        <f t="shared" si="3"/>
        <v>HE1_out</v>
      </c>
      <c r="O15" s="101" t="str">
        <f t="shared" si="3"/>
        <v>CE1_in</v>
      </c>
      <c r="P15" s="101" t="str">
        <f t="shared" si="3"/>
        <v>CE1_out</v>
      </c>
      <c r="Q15" s="101" t="str">
        <f t="shared" si="3"/>
        <v>HE2_in</v>
      </c>
      <c r="R15" s="101" t="str">
        <f t="shared" si="3"/>
        <v>HE2_out</v>
      </c>
      <c r="S15" s="101" t="str">
        <f t="shared" si="3"/>
        <v>fan</v>
      </c>
      <c r="T15" s="101" t="str">
        <f t="shared" si="3"/>
        <v>silencer</v>
      </c>
      <c r="U15" s="101" t="str">
        <f t="shared" si="3"/>
        <v>air_out_up</v>
      </c>
      <c r="V15" s="101" t="str">
        <f t="shared" si="3"/>
        <v/>
      </c>
      <c r="W15" s="101" t="str">
        <f t="shared" si="3"/>
        <v/>
      </c>
      <c r="X15" s="7"/>
      <c r="AA15" s="57"/>
      <c r="AB15" s="58"/>
      <c r="AC15" s="58"/>
      <c r="AD15" s="58"/>
    </row>
    <row r="16" spans="1:35" x14ac:dyDescent="0.2">
      <c r="A16" s="7"/>
      <c r="B16" s="7" t="s">
        <v>62</v>
      </c>
      <c r="C16" s="18" t="s">
        <v>0</v>
      </c>
      <c r="D16" s="19" t="s">
        <v>4</v>
      </c>
      <c r="E16" s="24">
        <f t="shared" ref="E16:W16" si="4">IF(E14="",E151,"")</f>
        <v>-25</v>
      </c>
      <c r="F16" s="24">
        <f t="shared" si="4"/>
        <v>-25</v>
      </c>
      <c r="G16" s="24">
        <f t="shared" si="4"/>
        <v>-25</v>
      </c>
      <c r="H16" s="24">
        <f t="shared" si="4"/>
        <v>-25</v>
      </c>
      <c r="I16" s="24">
        <f t="shared" si="4"/>
        <v>20</v>
      </c>
      <c r="J16" s="24">
        <f t="shared" si="4"/>
        <v>5.6834135234056342</v>
      </c>
      <c r="K16" s="24">
        <f t="shared" si="4"/>
        <v>5.6834135234056342</v>
      </c>
      <c r="L16" s="24">
        <f t="shared" si="4"/>
        <v>8</v>
      </c>
      <c r="M16" s="102">
        <f t="shared" si="4"/>
        <v>8</v>
      </c>
      <c r="N16" s="103">
        <f t="shared" si="4"/>
        <v>20</v>
      </c>
      <c r="O16" s="103">
        <f t="shared" si="4"/>
        <v>35</v>
      </c>
      <c r="P16" s="103">
        <f t="shared" si="4"/>
        <v>16</v>
      </c>
      <c r="Q16" s="103">
        <f t="shared" si="4"/>
        <v>16</v>
      </c>
      <c r="R16" s="103">
        <f t="shared" si="4"/>
        <v>20</v>
      </c>
      <c r="S16" s="103">
        <f t="shared" si="4"/>
        <v>20</v>
      </c>
      <c r="T16" s="103">
        <f t="shared" si="4"/>
        <v>20</v>
      </c>
      <c r="U16" s="103">
        <f t="shared" si="4"/>
        <v>20</v>
      </c>
      <c r="V16" s="103" t="str">
        <f t="shared" si="4"/>
        <v/>
      </c>
      <c r="W16" s="103" t="str">
        <f t="shared" si="4"/>
        <v/>
      </c>
      <c r="X16" s="7"/>
      <c r="AA16" s="57"/>
      <c r="AB16" s="58"/>
      <c r="AC16" s="58"/>
      <c r="AD16" s="58"/>
    </row>
    <row r="17" spans="1:30" x14ac:dyDescent="0.2">
      <c r="A17" s="7"/>
      <c r="B17" s="7" t="s">
        <v>94</v>
      </c>
      <c r="C17" s="20" t="s">
        <v>1</v>
      </c>
      <c r="D17" s="19" t="s">
        <v>5</v>
      </c>
      <c r="E17" s="25">
        <f t="shared" ref="E17:N17" si="5">IF(E14="",IF(E18=0,0,Tlak_vzduchu/E154*1000/(0.6222/E18*1000+1)),"")</f>
        <v>0.19999999999999998</v>
      </c>
      <c r="F17" s="25">
        <f t="shared" si="5"/>
        <v>0.19999999999999998</v>
      </c>
      <c r="G17" s="25">
        <f t="shared" si="5"/>
        <v>0.19999999999999998</v>
      </c>
      <c r="H17" s="25">
        <f t="shared" ref="H17" si="6">IF(H14="",IF(H18=0,0,Tlak_vzduchu/H154*1000/(0.6222/H18*1000+1)),"")</f>
        <v>0.19999999999999998</v>
      </c>
      <c r="I17" s="25">
        <f t="shared" si="5"/>
        <v>0.59999999999999987</v>
      </c>
      <c r="J17" s="25">
        <f t="shared" si="5"/>
        <v>1</v>
      </c>
      <c r="K17" s="25">
        <f t="shared" si="5"/>
        <v>9.9999999999999985E-3</v>
      </c>
      <c r="L17" s="25">
        <f t="shared" si="5"/>
        <v>8.523966255474991E-3</v>
      </c>
      <c r="M17" s="104">
        <f t="shared" si="5"/>
        <v>8.5239662554749903E-5</v>
      </c>
      <c r="N17" s="104">
        <f t="shared" si="5"/>
        <v>3.9049361107745639E-5</v>
      </c>
      <c r="O17" s="104">
        <f t="shared" ref="O17:W17" si="7">IF(O14="",IF(O18=0,0,Tlak_vzduchu/O154*1000/(0.6222/O18*1000+1)),"")</f>
        <v>0.4</v>
      </c>
      <c r="P17" s="104">
        <f t="shared" si="7"/>
        <v>0.75771330367416145</v>
      </c>
      <c r="Q17" s="104">
        <f t="shared" si="7"/>
        <v>7.5771330367416147E-3</v>
      </c>
      <c r="R17" s="104">
        <f t="shared" si="7"/>
        <v>5.8899545819655012E-3</v>
      </c>
      <c r="S17" s="104">
        <f t="shared" si="7"/>
        <v>5.889954581965501E-5</v>
      </c>
      <c r="T17" s="104">
        <f t="shared" si="7"/>
        <v>5.8899545819655022E-7</v>
      </c>
      <c r="U17" s="104">
        <f t="shared" si="7"/>
        <v>5.889954581965502E-9</v>
      </c>
      <c r="V17" s="104" t="str">
        <f t="shared" si="7"/>
        <v/>
      </c>
      <c r="W17" s="104" t="str">
        <f t="shared" si="7"/>
        <v/>
      </c>
      <c r="X17" s="7"/>
      <c r="AA17" s="57"/>
      <c r="AB17" s="58"/>
      <c r="AC17" s="58"/>
      <c r="AD17" s="58"/>
    </row>
    <row r="18" spans="1:30" x14ac:dyDescent="0.2">
      <c r="A18" s="7"/>
      <c r="B18" s="7" t="s">
        <v>95</v>
      </c>
      <c r="C18" s="18" t="s">
        <v>2</v>
      </c>
      <c r="D18" s="19" t="s">
        <v>6</v>
      </c>
      <c r="E18" s="21">
        <f t="shared" ref="E18:W18" si="8">IF(E14="",E152,"")</f>
        <v>8.3203757830561539E-2</v>
      </c>
      <c r="F18" s="21">
        <f t="shared" si="8"/>
        <v>8.3203757830561539E-2</v>
      </c>
      <c r="G18" s="21">
        <f t="shared" si="8"/>
        <v>8.3203757830561539E-2</v>
      </c>
      <c r="H18" s="21">
        <f t="shared" si="8"/>
        <v>8.3203757830561539E-2</v>
      </c>
      <c r="I18" s="21">
        <f t="shared" si="8"/>
        <v>9.3757233081908904</v>
      </c>
      <c r="J18" s="21">
        <f t="shared" si="8"/>
        <v>6.0699953128936093</v>
      </c>
      <c r="K18" s="21">
        <f t="shared" si="8"/>
        <v>6.0119312330765867E-2</v>
      </c>
      <c r="L18" s="21">
        <f t="shared" si="8"/>
        <v>6.0119312330765867E-2</v>
      </c>
      <c r="M18" s="101">
        <f t="shared" si="8"/>
        <v>6.0113562015513496E-4</v>
      </c>
      <c r="N18" s="101">
        <f t="shared" si="8"/>
        <v>6.0113562015513496E-4</v>
      </c>
      <c r="O18" s="101">
        <f t="shared" si="8"/>
        <v>15.17511246915182</v>
      </c>
      <c r="P18" s="101">
        <f t="shared" si="8"/>
        <v>9.2012211080269264</v>
      </c>
      <c r="Q18" s="101">
        <f t="shared" si="8"/>
        <v>9.0684559843778378E-2</v>
      </c>
      <c r="R18" s="101">
        <f t="shared" si="8"/>
        <v>9.0684559843778378E-2</v>
      </c>
      <c r="S18" s="101">
        <f t="shared" si="8"/>
        <v>9.0671476786990859E-4</v>
      </c>
      <c r="T18" s="101">
        <f t="shared" si="8"/>
        <v>9.0671345975486622E-6</v>
      </c>
      <c r="U18" s="101">
        <f t="shared" si="8"/>
        <v>9.0671344667373509E-8</v>
      </c>
      <c r="V18" s="101" t="str">
        <f t="shared" si="8"/>
        <v/>
      </c>
      <c r="W18" s="101" t="str">
        <f t="shared" si="8"/>
        <v/>
      </c>
      <c r="X18" s="7"/>
      <c r="AA18" s="57"/>
      <c r="AB18" s="58"/>
      <c r="AC18" s="58"/>
      <c r="AD18" s="58"/>
    </row>
    <row r="19" spans="1:30" x14ac:dyDescent="0.2">
      <c r="A19" s="7"/>
      <c r="B19" s="7" t="s">
        <v>65</v>
      </c>
      <c r="C19" s="18" t="s">
        <v>3</v>
      </c>
      <c r="D19" s="19" t="s">
        <v>7</v>
      </c>
      <c r="E19" s="21">
        <f t="shared" ref="E19:W19" si="9">IF(E14="",E155,"")</f>
        <v>-25.045776376404888</v>
      </c>
      <c r="F19" s="21">
        <f t="shared" si="9"/>
        <v>-25.045776376404888</v>
      </c>
      <c r="G19" s="21">
        <f t="shared" si="9"/>
        <v>-25.045776376404888</v>
      </c>
      <c r="H19" s="21">
        <f t="shared" si="9"/>
        <v>-25.045776376404888</v>
      </c>
      <c r="I19" s="21">
        <f t="shared" si="9"/>
        <v>43.997460900850115</v>
      </c>
      <c r="J19" s="21">
        <f t="shared" si="9"/>
        <v>20.985472762000462</v>
      </c>
      <c r="K19" s="21">
        <f t="shared" si="9"/>
        <v>5.8912415889965919</v>
      </c>
      <c r="L19" s="21">
        <f t="shared" si="9"/>
        <v>8.2312529755067274</v>
      </c>
      <c r="M19" s="101">
        <f t="shared" si="9"/>
        <v>8.0815123850840358</v>
      </c>
      <c r="N19" s="101">
        <f t="shared" si="9"/>
        <v>20.201525802431078</v>
      </c>
      <c r="O19" s="101">
        <f t="shared" si="9"/>
        <v>74.290856107090491</v>
      </c>
      <c r="P19" s="101">
        <f t="shared" si="9"/>
        <v>39.446082331350226</v>
      </c>
      <c r="Q19" s="101">
        <f t="shared" si="9"/>
        <v>16.389500856670242</v>
      </c>
      <c r="R19" s="101">
        <f t="shared" si="9"/>
        <v>20.430175549795479</v>
      </c>
      <c r="S19" s="101">
        <f t="shared" si="9"/>
        <v>20.202301423423808</v>
      </c>
      <c r="T19" s="101">
        <f t="shared" si="9"/>
        <v>20.200023014201033</v>
      </c>
      <c r="U19" s="101">
        <f t="shared" si="9"/>
        <v>20.200000230142006</v>
      </c>
      <c r="V19" s="101" t="str">
        <f t="shared" si="9"/>
        <v/>
      </c>
      <c r="W19" s="101" t="str">
        <f t="shared" si="9"/>
        <v/>
      </c>
      <c r="X19" s="7"/>
      <c r="AA19" s="57"/>
    </row>
    <row r="20" spans="1:30" x14ac:dyDescent="0.2">
      <c r="A20" s="7"/>
      <c r="B20" s="7" t="s">
        <v>72</v>
      </c>
      <c r="C20" s="20" t="s">
        <v>24</v>
      </c>
      <c r="D20" s="19" t="s">
        <v>26</v>
      </c>
      <c r="E20" s="26">
        <f>IF(E14="",Tlak_vzduchu*1000*(E18/1000+1)/461.39/(273.15+E16)/(E18/1000+0.6222),"")</f>
        <v>1.3264699195276246</v>
      </c>
      <c r="F20" s="26">
        <f t="shared" ref="F20:N20" si="10">IF(F14="",Tlak_vzduchu*1000*(F18/1000+1)/461.39/(273.15+F16)/(F18/1000+0.6222),"")</f>
        <v>1.3264699195276246</v>
      </c>
      <c r="G20" s="26">
        <f t="shared" si="10"/>
        <v>1.3264699195276246</v>
      </c>
      <c r="H20" s="26">
        <f t="shared" ref="H20" si="11">IF(H14="",Tlak_vzduchu*1000*(H18/1000+1)/461.39/(273.15+H16)/(H18/1000+0.6222),"")</f>
        <v>1.3264699195276246</v>
      </c>
      <c r="I20" s="26">
        <f t="shared" si="10"/>
        <v>1.1166090914094011</v>
      </c>
      <c r="J20" s="26">
        <f t="shared" si="10"/>
        <v>1.1762528618734707</v>
      </c>
      <c r="K20" s="26">
        <f t="shared" si="10"/>
        <v>1.1805189320303666</v>
      </c>
      <c r="L20" s="26">
        <f t="shared" si="10"/>
        <v>1.1707918319296904</v>
      </c>
      <c r="M20" s="105">
        <f t="shared" si="10"/>
        <v>1.1708341411206624</v>
      </c>
      <c r="N20" s="105">
        <f t="shared" si="10"/>
        <v>1.1229064259801271</v>
      </c>
      <c r="O20" s="105">
        <f t="shared" ref="O20:W20" si="12">IF(O14="",Tlak_vzduchu*1000*(O18/1000+1)/461.39/(273.15+O16)/(O18/1000+0.6222),"")</f>
        <v>1.0586376113064897</v>
      </c>
      <c r="P20" s="105">
        <f t="shared" si="12"/>
        <v>1.1321729753566148</v>
      </c>
      <c r="Q20" s="105">
        <f t="shared" si="12"/>
        <v>1.1383780587890284</v>
      </c>
      <c r="R20" s="105">
        <f t="shared" si="12"/>
        <v>1.1228450134703996</v>
      </c>
      <c r="S20" s="105">
        <f t="shared" si="12"/>
        <v>1.1229062176278097</v>
      </c>
      <c r="T20" s="105">
        <f t="shared" si="12"/>
        <v>1.1229068296693836</v>
      </c>
      <c r="U20" s="105">
        <f t="shared" si="12"/>
        <v>1.1229068357897993</v>
      </c>
      <c r="V20" s="105" t="str">
        <f t="shared" si="12"/>
        <v/>
      </c>
      <c r="W20" s="105" t="str">
        <f t="shared" si="12"/>
        <v/>
      </c>
      <c r="X20" s="7"/>
      <c r="AA20" s="57"/>
    </row>
    <row r="21" spans="1:30" ht="13.5" thickBot="1" x14ac:dyDescent="0.25">
      <c r="A21" s="7"/>
      <c r="B21" s="7" t="s">
        <v>71</v>
      </c>
      <c r="C21" s="18" t="s">
        <v>25</v>
      </c>
      <c r="D21" s="19" t="s">
        <v>4</v>
      </c>
      <c r="E21" s="21">
        <f t="shared" ref="E21:W21" si="13">IF(E14="",E156,"")</f>
        <v>-25.736542713815986</v>
      </c>
      <c r="F21" s="21">
        <f t="shared" si="13"/>
        <v>-25.736542701112796</v>
      </c>
      <c r="G21" s="21">
        <f t="shared" si="13"/>
        <v>-25.736542710631916</v>
      </c>
      <c r="H21" s="21">
        <f t="shared" si="13"/>
        <v>-25.736542713815986</v>
      </c>
      <c r="I21" s="21">
        <f t="shared" si="13"/>
        <v>14.98170477717769</v>
      </c>
      <c r="J21" s="21">
        <f t="shared" si="13"/>
        <v>5.6845687396040816</v>
      </c>
      <c r="K21" s="21">
        <f t="shared" si="13"/>
        <v>-2.372511232653963</v>
      </c>
      <c r="L21" s="21">
        <f t="shared" si="13"/>
        <v>-1.1207509577152117</v>
      </c>
      <c r="M21" s="101">
        <f t="shared" si="13"/>
        <v>-1.1213952521538815</v>
      </c>
      <c r="N21" s="101">
        <f t="shared" si="13"/>
        <v>5.3064115875936508</v>
      </c>
      <c r="O21" s="101">
        <f t="shared" si="13"/>
        <v>-2.6495095945477067</v>
      </c>
      <c r="P21" s="101">
        <f t="shared" si="13"/>
        <v>-2.6495095945477067</v>
      </c>
      <c r="Q21" s="101">
        <f t="shared" si="13"/>
        <v>-2.6495095945477067</v>
      </c>
      <c r="R21" s="101">
        <f t="shared" si="13"/>
        <v>-2.6495095945477067</v>
      </c>
      <c r="S21" s="101">
        <f t="shared" si="13"/>
        <v>-2.6495095945477067</v>
      </c>
      <c r="T21" s="101">
        <f t="shared" si="13"/>
        <v>-2.6495095945477067</v>
      </c>
      <c r="U21" s="101">
        <f t="shared" si="13"/>
        <v>-2.6495095945477067</v>
      </c>
      <c r="V21" s="101" t="str">
        <f t="shared" si="13"/>
        <v/>
      </c>
      <c r="W21" s="101" t="str">
        <f t="shared" si="13"/>
        <v/>
      </c>
      <c r="X21" s="7"/>
      <c r="AA21" s="57"/>
    </row>
    <row r="22" spans="1:30" ht="13.5" thickTop="1" x14ac:dyDescent="0.2">
      <c r="A22" s="7"/>
      <c r="B22" s="7" t="s">
        <v>64</v>
      </c>
      <c r="C22" s="16" t="s">
        <v>57</v>
      </c>
      <c r="D22" s="19" t="s">
        <v>22</v>
      </c>
      <c r="E22" s="27">
        <f>IF(E14="",E35*3600/E20*(1+E18/1000),"")</f>
        <v>4523.6602309714253</v>
      </c>
      <c r="F22" s="27">
        <f t="shared" ref="F22:W22" si="14">IF(F14="",F35*3600/F20*(1+F18/1000),"")</f>
        <v>4523.6602309714253</v>
      </c>
      <c r="G22" s="27">
        <f t="shared" si="14"/>
        <v>4523.6602309714253</v>
      </c>
      <c r="H22" s="27">
        <f t="shared" si="14"/>
        <v>4523.6602309714253</v>
      </c>
      <c r="I22" s="27">
        <f t="shared" si="14"/>
        <v>10847.58199882619</v>
      </c>
      <c r="J22" s="27">
        <f t="shared" si="14"/>
        <v>15395.720174307295</v>
      </c>
      <c r="K22" s="27">
        <f t="shared" si="14"/>
        <v>15248.448507862568</v>
      </c>
      <c r="L22" s="27">
        <f t="shared" si="14"/>
        <v>15375.134722244096</v>
      </c>
      <c r="M22" s="106">
        <f t="shared" si="14"/>
        <v>15373.664115407904</v>
      </c>
      <c r="N22" s="106">
        <f t="shared" si="14"/>
        <v>16029.840424797534</v>
      </c>
      <c r="O22" s="106">
        <f t="shared" si="14"/>
        <v>17261.007760619239</v>
      </c>
      <c r="P22" s="106">
        <f t="shared" si="14"/>
        <v>16044.917495246371</v>
      </c>
      <c r="Q22" s="106">
        <f t="shared" si="14"/>
        <v>15813.404152594765</v>
      </c>
      <c r="R22" s="106">
        <f t="shared" si="14"/>
        <v>16032.161256555954</v>
      </c>
      <c r="S22" s="106">
        <f t="shared" si="14"/>
        <v>16029.848297475521</v>
      </c>
      <c r="T22" s="106">
        <f t="shared" si="14"/>
        <v>16029.825171254988</v>
      </c>
      <c r="U22" s="106">
        <f t="shared" si="14"/>
        <v>16029.824939993117</v>
      </c>
      <c r="V22" s="106" t="str">
        <f t="shared" si="14"/>
        <v/>
      </c>
      <c r="W22" s="106" t="str">
        <f t="shared" si="14"/>
        <v/>
      </c>
      <c r="X22" s="7"/>
      <c r="AA22" s="57"/>
    </row>
    <row r="23" spans="1:30" x14ac:dyDescent="0.2">
      <c r="A23" s="7"/>
      <c r="B23" s="7" t="s">
        <v>73</v>
      </c>
      <c r="C23" s="16" t="s">
        <v>56</v>
      </c>
      <c r="D23" s="19" t="s">
        <v>22</v>
      </c>
      <c r="E23" s="28">
        <f>IF(E14="",E35*3600/1.2,"")</f>
        <v>4999.9999999999991</v>
      </c>
      <c r="F23" s="28">
        <f t="shared" ref="F23:W23" si="15">IF(F14="",F35*3600/1.2,"")</f>
        <v>4999.9999999999991</v>
      </c>
      <c r="G23" s="28">
        <f t="shared" si="15"/>
        <v>4999.9999999999991</v>
      </c>
      <c r="H23" s="28">
        <f t="shared" si="15"/>
        <v>4999.9999999999991</v>
      </c>
      <c r="I23" s="28">
        <f t="shared" si="15"/>
        <v>9999.9999999999982</v>
      </c>
      <c r="J23" s="28">
        <f t="shared" si="15"/>
        <v>15000</v>
      </c>
      <c r="K23" s="28">
        <f t="shared" si="15"/>
        <v>15000</v>
      </c>
      <c r="L23" s="28">
        <f t="shared" si="15"/>
        <v>15000</v>
      </c>
      <c r="M23" s="107">
        <f t="shared" si="15"/>
        <v>15000</v>
      </c>
      <c r="N23" s="108">
        <f t="shared" si="15"/>
        <v>15000</v>
      </c>
      <c r="O23" s="108">
        <f t="shared" si="15"/>
        <v>15000</v>
      </c>
      <c r="P23" s="108">
        <f t="shared" si="15"/>
        <v>15000</v>
      </c>
      <c r="Q23" s="108">
        <f t="shared" si="15"/>
        <v>15000</v>
      </c>
      <c r="R23" s="108">
        <f t="shared" si="15"/>
        <v>15000</v>
      </c>
      <c r="S23" s="108">
        <f t="shared" si="15"/>
        <v>15000</v>
      </c>
      <c r="T23" s="108">
        <f t="shared" si="15"/>
        <v>15000</v>
      </c>
      <c r="U23" s="108">
        <f t="shared" si="15"/>
        <v>15000</v>
      </c>
      <c r="V23" s="108" t="str">
        <f t="shared" si="15"/>
        <v/>
      </c>
      <c r="W23" s="108" t="str">
        <f t="shared" si="15"/>
        <v/>
      </c>
      <c r="X23" s="7"/>
      <c r="AA23" s="57"/>
    </row>
    <row r="24" spans="1:30" x14ac:dyDescent="0.2">
      <c r="A24" s="7"/>
      <c r="B24" s="7" t="s">
        <v>66</v>
      </c>
      <c r="C24" s="16" t="s">
        <v>27</v>
      </c>
      <c r="D24" s="19" t="s">
        <v>28</v>
      </c>
      <c r="E24" s="29" t="str">
        <f>IF(AND(E14="",E28&lt;&gt;5,E28&lt;&gt;0),E35*(E19-D19),"")</f>
        <v/>
      </c>
      <c r="F24" s="29" t="str">
        <f>IF(AND(F14="",F28&lt;&gt;5,F28&lt;&gt;0),F35*(F19-E19),"")</f>
        <v/>
      </c>
      <c r="G24" s="29" t="str">
        <f t="shared" ref="G24:W24" si="16">IF(AND(G14="",G28&lt;&gt;5,G28&lt;&gt;0),G35*(G19-F19),"")</f>
        <v/>
      </c>
      <c r="H24" s="29" t="str">
        <f t="shared" si="16"/>
        <v/>
      </c>
      <c r="I24" s="29" t="str">
        <f t="shared" si="16"/>
        <v/>
      </c>
      <c r="J24" s="29" t="str">
        <f t="shared" si="16"/>
        <v/>
      </c>
      <c r="K24" s="29" t="str">
        <f t="shared" si="16"/>
        <v/>
      </c>
      <c r="L24" s="29">
        <f t="shared" si="16"/>
        <v>11.700056932550677</v>
      </c>
      <c r="M24" s="29" t="str">
        <f t="shared" si="16"/>
        <v/>
      </c>
      <c r="N24" s="29">
        <f t="shared" si="16"/>
        <v>60.600067086735208</v>
      </c>
      <c r="O24" s="29" t="str">
        <f t="shared" si="16"/>
        <v/>
      </c>
      <c r="P24" s="29">
        <f t="shared" si="16"/>
        <v>-174.22386887870132</v>
      </c>
      <c r="Q24" s="29" t="str">
        <f t="shared" si="16"/>
        <v/>
      </c>
      <c r="R24" s="29">
        <f t="shared" si="16"/>
        <v>20.203373465626182</v>
      </c>
      <c r="S24" s="29" t="str">
        <f t="shared" si="16"/>
        <v/>
      </c>
      <c r="T24" s="29" t="str">
        <f>IF(AND(T14="",T28&lt;&gt;5,T28&lt;&gt;0),T35*(T19-#REF!),"")</f>
        <v/>
      </c>
      <c r="U24" s="29" t="str">
        <f t="shared" si="16"/>
        <v/>
      </c>
      <c r="V24" s="29" t="str">
        <f t="shared" si="16"/>
        <v/>
      </c>
      <c r="W24" s="29" t="str">
        <f t="shared" si="16"/>
        <v/>
      </c>
      <c r="X24" s="7"/>
      <c r="AA24" s="57"/>
    </row>
    <row r="25" spans="1:30" x14ac:dyDescent="0.2">
      <c r="A25" s="7"/>
      <c r="B25" s="7" t="s">
        <v>74</v>
      </c>
      <c r="C25" s="16" t="s">
        <v>29</v>
      </c>
      <c r="D25" s="19" t="s">
        <v>30</v>
      </c>
      <c r="E25" s="29" t="str">
        <f>IF(AND(E14="",E28&lt;&gt;0),IF(E28&lt;&gt;5,E35*(E18-D18)*3.6,(E35*E18-D35*D18-C35*C18)*3.6),"")</f>
        <v/>
      </c>
      <c r="F25" s="29" t="str">
        <f t="shared" ref="F25:W25" si="17">IF(AND(F14="",F28&lt;&gt;0),IF(F28&lt;&gt;5,F35*(F18-E18)*3.6,(F35*F18-E35*E18-D35*D18)*3.6),"")</f>
        <v/>
      </c>
      <c r="G25" s="29" t="str">
        <f t="shared" si="17"/>
        <v/>
      </c>
      <c r="H25" s="29" t="str">
        <f t="shared" si="17"/>
        <v/>
      </c>
      <c r="I25" s="29" t="str">
        <f t="shared" si="17"/>
        <v/>
      </c>
      <c r="J25" s="29">
        <f t="shared" si="17"/>
        <v>-3.7479866131890756</v>
      </c>
      <c r="K25" s="29" t="str">
        <f t="shared" si="17"/>
        <v/>
      </c>
      <c r="L25" s="29">
        <f t="shared" si="17"/>
        <v>0</v>
      </c>
      <c r="M25" s="109" t="str">
        <f t="shared" si="17"/>
        <v/>
      </c>
      <c r="N25" s="101">
        <f t="shared" si="17"/>
        <v>0</v>
      </c>
      <c r="O25" s="101" t="str">
        <f t="shared" si="17"/>
        <v/>
      </c>
      <c r="P25" s="101">
        <f t="shared" si="17"/>
        <v>-107.53004450024808</v>
      </c>
      <c r="Q25" s="101" t="str">
        <f t="shared" si="17"/>
        <v/>
      </c>
      <c r="R25" s="101">
        <f t="shared" si="17"/>
        <v>0</v>
      </c>
      <c r="S25" s="101" t="str">
        <f t="shared" si="17"/>
        <v/>
      </c>
      <c r="T25" s="101" t="str">
        <f>IF(AND(T14="",T28&lt;&gt;0),IF(T28&lt;&gt;5,T35*(T18-#REF!)*3.6,(T35*T18-#REF!*#REF!-S35*S18)*3.6),"")</f>
        <v/>
      </c>
      <c r="U25" s="101" t="str">
        <f>IF(AND(U14="",U28&lt;&gt;0),IF(U28&lt;&gt;5,U35*(U18-T18)*3.6,(U35*U18-T35*T18-#REF!*#REF!)*3.6),"")</f>
        <v/>
      </c>
      <c r="V25" s="101" t="str">
        <f t="shared" si="17"/>
        <v/>
      </c>
      <c r="W25" s="101" t="str">
        <f t="shared" si="17"/>
        <v/>
      </c>
      <c r="X25" s="7"/>
      <c r="AA25" s="57"/>
    </row>
    <row r="26" spans="1:30" x14ac:dyDescent="0.2">
      <c r="A26" s="7"/>
      <c r="B26" s="7"/>
      <c r="C26" s="7"/>
      <c r="D26" s="7"/>
      <c r="E26" s="7"/>
      <c r="F26" s="7"/>
      <c r="G26" s="7"/>
      <c r="H26" s="7"/>
      <c r="I26" s="7"/>
      <c r="J26" s="7"/>
      <c r="K26" s="7"/>
      <c r="L26" s="7"/>
      <c r="M26" s="93"/>
      <c r="N26" s="93"/>
      <c r="O26" s="93"/>
      <c r="P26" s="93"/>
      <c r="Q26" s="93"/>
      <c r="R26" s="93"/>
      <c r="S26" s="93"/>
      <c r="T26" s="93"/>
      <c r="U26" s="93"/>
      <c r="V26" s="93"/>
      <c r="W26" s="93"/>
      <c r="X26" s="7"/>
      <c r="AA26" s="57"/>
    </row>
    <row r="27" spans="1:30" s="59" customFormat="1" x14ac:dyDescent="0.2">
      <c r="B27" s="65" t="s">
        <v>89</v>
      </c>
      <c r="Y27" s="61"/>
      <c r="Z27" s="61"/>
      <c r="AA27" s="61"/>
    </row>
    <row r="28" spans="1:30" s="59" customFormat="1" x14ac:dyDescent="0.2">
      <c r="B28" s="60" t="s">
        <v>103</v>
      </c>
      <c r="C28" s="59" t="s">
        <v>44</v>
      </c>
      <c r="E28" s="59">
        <f>IF(OR(E10="-",E10=""),0,IF(OR(E10="o",E10="O"),1,IF(OR(E10="c",E10="C"),2,IF(OR(E10="a",E10="A"),3,IF(OR(E10="p",E10="P"),4,IF(OR(E10="s",E10="S"),5,IF(OR(E10="x",E10="X"),6,10)))))))</f>
        <v>0</v>
      </c>
      <c r="F28" s="59">
        <f t="shared" ref="F28:W28" si="18">IF(OR(F10="-",F10=""),0,IF(OR(F10="o",F10="O"),1,IF(OR(F10="c",F10="C"),2,IF(OR(F10="a",F10="A"),3,IF(OR(F10="p",F10="P"),4,IF(OR(F10="s",F10="S"),5,IF(OR(F10="x",F10="X"),6,10)))))))</f>
        <v>0</v>
      </c>
      <c r="G28" s="59">
        <f t="shared" si="18"/>
        <v>0</v>
      </c>
      <c r="H28" s="59">
        <f t="shared" si="18"/>
        <v>0</v>
      </c>
      <c r="I28" s="59">
        <f t="shared" si="18"/>
        <v>0</v>
      </c>
      <c r="J28" s="59">
        <f t="shared" si="18"/>
        <v>5</v>
      </c>
      <c r="K28" s="59">
        <f t="shared" si="18"/>
        <v>0</v>
      </c>
      <c r="L28" s="59">
        <f t="shared" si="18"/>
        <v>1</v>
      </c>
      <c r="M28" s="59">
        <f t="shared" si="18"/>
        <v>0</v>
      </c>
      <c r="N28" s="59">
        <f t="shared" si="18"/>
        <v>1</v>
      </c>
      <c r="O28" s="59">
        <f t="shared" si="18"/>
        <v>0</v>
      </c>
      <c r="P28" s="59">
        <f t="shared" si="18"/>
        <v>2</v>
      </c>
      <c r="Q28" s="59">
        <f t="shared" si="18"/>
        <v>0</v>
      </c>
      <c r="R28" s="59">
        <f>IF(OR(R10="-",R10=""),0,IF(OR(R10="o",R10="O"),1,IF(OR(R10="c",R10="C"),2,IF(OR(R10="a",R10="A"),3,IF(OR(R10="p",R10="P"),4,IF(OR(R10="s",R10="S"),5,IF(OR(R10="x",R10="X"),6,10)))))))</f>
        <v>1</v>
      </c>
      <c r="S28" s="59">
        <f>IF(OR(S10="-",S10=""),0,IF(OR(S10="o",S10="O"),1,IF(OR(S10="c",S10="C"),2,IF(OR(S10="a",S10="A"),3,IF(OR(S10="p",S10="P"),4,IF(OR(S10="s",S10="S"),5,IF(OR(S10="x",S10="X"),6,10)))))))</f>
        <v>0</v>
      </c>
      <c r="T28" s="59">
        <f t="shared" si="18"/>
        <v>0</v>
      </c>
      <c r="U28" s="59">
        <f>IF(OR(U10="-",U10=""),0,IF(OR(U10="o",U10="O"),1,IF(OR(U10="c",U10="C"),2,IF(OR(U10="a",U10="A"),3,IF(OR(U10="p",U10="P"),4,IF(OR(U10="s",U10="S"),5,IF(OR(U10="x",U10="X"),6,10)))))))</f>
        <v>0</v>
      </c>
      <c r="V28" s="59">
        <f>IF(OR(V10="-",V10=""),0,IF(OR(V10="o",V10="O"),1,IF(OR(V10="c",V10="C"),2,IF(OR(V10="a",V10="A"),3,IF(OR(V10="p",V10="P"),4,IF(OR(V10="s",V10="S"),5,IF(OR(V10="x",V10="X"),6,10)))))))</f>
        <v>0</v>
      </c>
      <c r="W28" s="59">
        <f t="shared" si="18"/>
        <v>0</v>
      </c>
      <c r="Y28" s="61"/>
      <c r="Z28" s="61"/>
      <c r="AA28" s="61"/>
    </row>
    <row r="29" spans="1:30" s="59" customFormat="1" x14ac:dyDescent="0.2">
      <c r="C29" s="62" t="s">
        <v>0</v>
      </c>
      <c r="E29" s="59">
        <f>IF(E6="",0,1)</f>
        <v>1</v>
      </c>
      <c r="F29" s="59">
        <f>IF(F6="",0,1)</f>
        <v>1</v>
      </c>
      <c r="G29" s="59">
        <f t="shared" ref="G29:W32" si="19">IF(G6="",0,1)</f>
        <v>1</v>
      </c>
      <c r="H29" s="59">
        <f t="shared" si="19"/>
        <v>1</v>
      </c>
      <c r="I29" s="59">
        <f t="shared" si="19"/>
        <v>1</v>
      </c>
      <c r="J29" s="59">
        <f t="shared" si="19"/>
        <v>0</v>
      </c>
      <c r="K29" s="59">
        <f t="shared" si="19"/>
        <v>1</v>
      </c>
      <c r="L29" s="59">
        <f t="shared" si="19"/>
        <v>1</v>
      </c>
      <c r="M29" s="59">
        <f t="shared" si="19"/>
        <v>1</v>
      </c>
      <c r="N29" s="59">
        <f t="shared" si="19"/>
        <v>1</v>
      </c>
      <c r="O29" s="59">
        <f t="shared" si="19"/>
        <v>1</v>
      </c>
      <c r="P29" s="59">
        <f t="shared" si="19"/>
        <v>1</v>
      </c>
      <c r="Q29" s="59">
        <f t="shared" si="19"/>
        <v>1</v>
      </c>
      <c r="R29" s="59">
        <f t="shared" si="19"/>
        <v>1</v>
      </c>
      <c r="S29" s="59">
        <f t="shared" si="19"/>
        <v>1</v>
      </c>
      <c r="T29" s="59">
        <f t="shared" si="19"/>
        <v>1</v>
      </c>
      <c r="U29" s="59">
        <f t="shared" si="19"/>
        <v>1</v>
      </c>
      <c r="V29" s="59">
        <f t="shared" si="19"/>
        <v>0</v>
      </c>
      <c r="W29" s="59">
        <f t="shared" si="19"/>
        <v>0</v>
      </c>
      <c r="Y29" s="61"/>
      <c r="Z29" s="61"/>
      <c r="AA29" s="61"/>
    </row>
    <row r="30" spans="1:30" s="59" customFormat="1" x14ac:dyDescent="0.2">
      <c r="C30" s="63" t="s">
        <v>1</v>
      </c>
      <c r="E30" s="59">
        <f t="shared" ref="E30:F32" si="20">IF(E7="",0,1)</f>
        <v>1</v>
      </c>
      <c r="F30" s="59">
        <f t="shared" si="20"/>
        <v>1</v>
      </c>
      <c r="G30" s="59">
        <f t="shared" si="19"/>
        <v>1</v>
      </c>
      <c r="H30" s="59">
        <f t="shared" si="19"/>
        <v>1</v>
      </c>
      <c r="I30" s="59">
        <f t="shared" si="19"/>
        <v>1</v>
      </c>
      <c r="J30" s="59">
        <f t="shared" si="19"/>
        <v>0</v>
      </c>
      <c r="K30" s="59">
        <f t="shared" si="19"/>
        <v>1</v>
      </c>
      <c r="L30" s="59">
        <f t="shared" si="19"/>
        <v>0</v>
      </c>
      <c r="M30" s="59">
        <f t="shared" si="19"/>
        <v>1</v>
      </c>
      <c r="N30" s="59">
        <f t="shared" si="19"/>
        <v>0</v>
      </c>
      <c r="O30" s="59">
        <f t="shared" si="19"/>
        <v>1</v>
      </c>
      <c r="P30" s="59">
        <f t="shared" si="19"/>
        <v>0</v>
      </c>
      <c r="Q30" s="59">
        <f t="shared" si="19"/>
        <v>1</v>
      </c>
      <c r="R30" s="59">
        <f t="shared" si="19"/>
        <v>0</v>
      </c>
      <c r="S30" s="59">
        <f t="shared" si="19"/>
        <v>1</v>
      </c>
      <c r="T30" s="59">
        <f t="shared" si="19"/>
        <v>1</v>
      </c>
      <c r="U30" s="59">
        <f t="shared" si="19"/>
        <v>1</v>
      </c>
      <c r="V30" s="59">
        <f t="shared" si="19"/>
        <v>0</v>
      </c>
      <c r="W30" s="59">
        <f t="shared" si="19"/>
        <v>0</v>
      </c>
      <c r="Y30" s="61"/>
      <c r="Z30" s="61"/>
      <c r="AA30" s="61"/>
    </row>
    <row r="31" spans="1:30" s="59" customFormat="1" x14ac:dyDescent="0.2">
      <c r="C31" s="62" t="s">
        <v>2</v>
      </c>
      <c r="E31" s="59">
        <f t="shared" si="20"/>
        <v>0</v>
      </c>
      <c r="F31" s="59">
        <f t="shared" si="20"/>
        <v>0</v>
      </c>
      <c r="G31" s="59">
        <f t="shared" si="19"/>
        <v>0</v>
      </c>
      <c r="H31" s="59">
        <f t="shared" si="19"/>
        <v>0</v>
      </c>
      <c r="I31" s="59">
        <f t="shared" si="19"/>
        <v>0</v>
      </c>
      <c r="J31" s="59">
        <f t="shared" si="19"/>
        <v>0</v>
      </c>
      <c r="K31" s="59">
        <f t="shared" si="19"/>
        <v>0</v>
      </c>
      <c r="L31" s="59">
        <f t="shared" si="19"/>
        <v>0</v>
      </c>
      <c r="M31" s="59">
        <f t="shared" si="19"/>
        <v>0</v>
      </c>
      <c r="N31" s="59">
        <f t="shared" si="19"/>
        <v>0</v>
      </c>
      <c r="O31" s="59">
        <f t="shared" si="19"/>
        <v>0</v>
      </c>
      <c r="P31" s="59">
        <f t="shared" si="19"/>
        <v>0</v>
      </c>
      <c r="Q31" s="59">
        <f t="shared" si="19"/>
        <v>0</v>
      </c>
      <c r="R31" s="59">
        <f t="shared" si="19"/>
        <v>0</v>
      </c>
      <c r="S31" s="59">
        <f t="shared" si="19"/>
        <v>0</v>
      </c>
      <c r="T31" s="59">
        <f t="shared" si="19"/>
        <v>0</v>
      </c>
      <c r="U31" s="59">
        <f t="shared" si="19"/>
        <v>0</v>
      </c>
      <c r="V31" s="59">
        <f t="shared" si="19"/>
        <v>0</v>
      </c>
      <c r="W31" s="59">
        <f t="shared" si="19"/>
        <v>0</v>
      </c>
      <c r="Y31" s="61"/>
      <c r="Z31" s="61"/>
      <c r="AA31" s="61"/>
    </row>
    <row r="32" spans="1:30" s="59" customFormat="1" x14ac:dyDescent="0.2">
      <c r="C32" s="62" t="s">
        <v>3</v>
      </c>
      <c r="E32" s="59">
        <f t="shared" si="20"/>
        <v>0</v>
      </c>
      <c r="F32" s="59">
        <f t="shared" si="20"/>
        <v>0</v>
      </c>
      <c r="G32" s="59">
        <f t="shared" si="19"/>
        <v>0</v>
      </c>
      <c r="H32" s="59">
        <f t="shared" si="19"/>
        <v>0</v>
      </c>
      <c r="I32" s="59">
        <f t="shared" si="19"/>
        <v>0</v>
      </c>
      <c r="J32" s="59">
        <f t="shared" si="19"/>
        <v>0</v>
      </c>
      <c r="K32" s="59">
        <f t="shared" si="19"/>
        <v>0</v>
      </c>
      <c r="L32" s="59">
        <f t="shared" si="19"/>
        <v>0</v>
      </c>
      <c r="M32" s="59">
        <f t="shared" si="19"/>
        <v>0</v>
      </c>
      <c r="N32" s="59">
        <f t="shared" si="19"/>
        <v>0</v>
      </c>
      <c r="O32" s="59">
        <f t="shared" si="19"/>
        <v>0</v>
      </c>
      <c r="P32" s="59">
        <f t="shared" si="19"/>
        <v>0</v>
      </c>
      <c r="Q32" s="59">
        <f t="shared" si="19"/>
        <v>0</v>
      </c>
      <c r="R32" s="59">
        <f t="shared" si="19"/>
        <v>0</v>
      </c>
      <c r="S32" s="59">
        <f t="shared" si="19"/>
        <v>0</v>
      </c>
      <c r="T32" s="59">
        <f t="shared" si="19"/>
        <v>0</v>
      </c>
      <c r="U32" s="59">
        <f t="shared" si="19"/>
        <v>0</v>
      </c>
      <c r="V32" s="59">
        <f t="shared" si="19"/>
        <v>0</v>
      </c>
      <c r="W32" s="59">
        <f t="shared" si="19"/>
        <v>0</v>
      </c>
      <c r="Y32" s="61"/>
      <c r="Z32" s="61"/>
      <c r="AA32" s="61"/>
    </row>
    <row r="33" spans="2:27" s="59" customFormat="1" x14ac:dyDescent="0.2">
      <c r="C33" s="62" t="s">
        <v>27</v>
      </c>
      <c r="E33" s="59">
        <f>IF(E13="",0,1)</f>
        <v>0</v>
      </c>
      <c r="F33" s="59">
        <f t="shared" ref="F33:W33" si="21">IF(F13="",0,1)</f>
        <v>0</v>
      </c>
      <c r="G33" s="59">
        <f t="shared" si="21"/>
        <v>0</v>
      </c>
      <c r="H33" s="59">
        <f t="shared" si="21"/>
        <v>0</v>
      </c>
      <c r="I33" s="59">
        <f t="shared" si="21"/>
        <v>0</v>
      </c>
      <c r="J33" s="59">
        <f t="shared" si="21"/>
        <v>0</v>
      </c>
      <c r="K33" s="59">
        <f t="shared" si="21"/>
        <v>0</v>
      </c>
      <c r="L33" s="59">
        <f t="shared" si="21"/>
        <v>0</v>
      </c>
      <c r="M33" s="59">
        <f t="shared" si="21"/>
        <v>0</v>
      </c>
      <c r="N33" s="59">
        <f t="shared" si="21"/>
        <v>0</v>
      </c>
      <c r="O33" s="59">
        <f t="shared" si="21"/>
        <v>0</v>
      </c>
      <c r="P33" s="59">
        <f t="shared" si="21"/>
        <v>0</v>
      </c>
      <c r="Q33" s="59">
        <f t="shared" si="21"/>
        <v>0</v>
      </c>
      <c r="R33" s="59">
        <f>IF(R13="",0,1)</f>
        <v>0</v>
      </c>
      <c r="S33" s="59">
        <f>IF(S13="",0,1)</f>
        <v>0</v>
      </c>
      <c r="T33" s="59">
        <f t="shared" si="21"/>
        <v>0</v>
      </c>
      <c r="U33" s="59">
        <f>IF(U13="",0,1)</f>
        <v>0</v>
      </c>
      <c r="V33" s="59">
        <f>IF(V13="",0,1)</f>
        <v>0</v>
      </c>
      <c r="W33" s="59">
        <f t="shared" si="21"/>
        <v>0</v>
      </c>
      <c r="Y33" s="61"/>
      <c r="Z33" s="61"/>
      <c r="AA33" s="61"/>
    </row>
    <row r="34" spans="2:27" s="59" customFormat="1" ht="25.5" x14ac:dyDescent="0.2">
      <c r="B34" s="64" t="s">
        <v>104</v>
      </c>
      <c r="C34" s="65"/>
      <c r="E34" s="59">
        <f>E29+E30+E31+E32</f>
        <v>2</v>
      </c>
      <c r="F34" s="59">
        <f t="shared" ref="F34:W34" si="22">F29+F30+F31+F32</f>
        <v>2</v>
      </c>
      <c r="G34" s="59">
        <f t="shared" si="22"/>
        <v>2</v>
      </c>
      <c r="H34" s="59">
        <f t="shared" si="22"/>
        <v>2</v>
      </c>
      <c r="I34" s="59">
        <f t="shared" si="22"/>
        <v>2</v>
      </c>
      <c r="J34" s="59">
        <f t="shared" si="22"/>
        <v>0</v>
      </c>
      <c r="K34" s="59">
        <f t="shared" si="22"/>
        <v>2</v>
      </c>
      <c r="L34" s="59">
        <f t="shared" si="22"/>
        <v>1</v>
      </c>
      <c r="M34" s="59">
        <f t="shared" si="22"/>
        <v>2</v>
      </c>
      <c r="N34" s="59">
        <f t="shared" si="22"/>
        <v>1</v>
      </c>
      <c r="O34" s="59">
        <f t="shared" si="22"/>
        <v>2</v>
      </c>
      <c r="P34" s="59">
        <f t="shared" si="22"/>
        <v>1</v>
      </c>
      <c r="Q34" s="59">
        <f t="shared" si="22"/>
        <v>2</v>
      </c>
      <c r="R34" s="59">
        <f t="shared" si="22"/>
        <v>1</v>
      </c>
      <c r="S34" s="59">
        <f t="shared" si="22"/>
        <v>2</v>
      </c>
      <c r="T34" s="59">
        <f t="shared" si="22"/>
        <v>2</v>
      </c>
      <c r="U34" s="59">
        <f t="shared" si="22"/>
        <v>2</v>
      </c>
      <c r="V34" s="59">
        <f t="shared" si="22"/>
        <v>0</v>
      </c>
      <c r="W34" s="59">
        <f t="shared" si="22"/>
        <v>0</v>
      </c>
      <c r="Y34" s="61"/>
      <c r="Z34" s="61"/>
      <c r="AA34" s="61"/>
    </row>
    <row r="35" spans="2:27" s="59" customFormat="1" x14ac:dyDescent="0.2">
      <c r="B35" s="59" t="s">
        <v>90</v>
      </c>
      <c r="C35" s="65" t="s">
        <v>91</v>
      </c>
      <c r="E35" s="59">
        <f>IF(E11&lt;&gt;"",E11/3600*1.2,IF(E12&lt;&gt;"",E12*1.2,0))</f>
        <v>1.6666666666666665</v>
      </c>
      <c r="F35" s="59">
        <f>IF(OR(F11&lt;&gt;"",F12&lt;&gt;"",F28=0),IF(F11&lt;&gt;"",F11/3600*1.2,IF(F12&lt;&gt;"",F12*1.2,0)),IF(OR(F28&lt;=4,F28=6),E35,#N/A))</f>
        <v>1.6666666666666665</v>
      </c>
      <c r="G35" s="59">
        <f>IF(OR(G11&lt;&gt;"",G12&lt;&gt;"",G28=0),IF(G11&lt;&gt;"",G11/3600*1.2,IF(G12&lt;&gt;"",G12*1.2,0)),IF(OR(G28&lt;=4,G28=6),F35,IF(G28=5,F35+E35,#N/A)))</f>
        <v>1.6666666666666665</v>
      </c>
      <c r="H35" s="59">
        <f t="shared" ref="H35:Q35" si="23">IF(OR(H11&lt;&gt;"",H12&lt;&gt;"",H28=0),IF(H11&lt;&gt;"",H11/3600*1.2,IF(H12&lt;&gt;"",H12*1.2,0)),IF(OR(H28&lt;=4,H28=6),G35,IF(H28=5,G35+F35,#N/A)))</f>
        <v>1.6666666666666665</v>
      </c>
      <c r="I35" s="59">
        <f t="shared" si="23"/>
        <v>3.333333333333333</v>
      </c>
      <c r="J35" s="59">
        <f t="shared" si="23"/>
        <v>5</v>
      </c>
      <c r="K35" s="59">
        <f t="shared" si="23"/>
        <v>5</v>
      </c>
      <c r="L35" s="59">
        <f t="shared" si="23"/>
        <v>5</v>
      </c>
      <c r="M35" s="59">
        <f t="shared" si="23"/>
        <v>5</v>
      </c>
      <c r="N35" s="59">
        <f t="shared" si="23"/>
        <v>5</v>
      </c>
      <c r="O35" s="59">
        <f t="shared" si="23"/>
        <v>5</v>
      </c>
      <c r="P35" s="59">
        <f t="shared" si="23"/>
        <v>5</v>
      </c>
      <c r="Q35" s="59">
        <f t="shared" si="23"/>
        <v>5</v>
      </c>
      <c r="R35" s="59">
        <f>IF(OR(R11&lt;&gt;"",R12&lt;&gt;"",R28=0),IF(R11&lt;&gt;"",R11/3600*1.2,IF(R12&lt;&gt;"",R12*1.2,0)),IF(OR(R28&lt;=4,R28=6),Q35,IF(R28=5,Q35+P35,#N/A)))</f>
        <v>5</v>
      </c>
      <c r="S35" s="59">
        <f>IF(OR(S11&lt;&gt;"",S12&lt;&gt;"",S28=0),IF(S11&lt;&gt;"",S11/3600*1.2,IF(S12&lt;&gt;"",S12*1.2,0)),IF(OR(S28&lt;=4,S28=6),R35,IF(S28=5,R35+Q35,#N/A)))</f>
        <v>5</v>
      </c>
      <c r="T35" s="59">
        <f>IF(OR(T11&lt;&gt;"",T12&lt;&gt;"",T28=0),IF(T11&lt;&gt;"",T11/3600*1.2,IF(T12&lt;&gt;"",T12*1.2,0)),IF(OR(T28&lt;=4,T28=6),#REF!,IF(T28=5,#REF!+S35,#N/A)))</f>
        <v>5</v>
      </c>
      <c r="U35" s="59">
        <f>IF(OR(U11&lt;&gt;"",U12&lt;&gt;"",U28=0),IF(U11&lt;&gt;"",U11/3600*1.2,IF(U12&lt;&gt;"",U12*1.2,0)),IF(OR(U28&lt;=4,U28=6),T35,IF(U28=5,T35+#REF!,#N/A)))</f>
        <v>5</v>
      </c>
      <c r="V35" s="59">
        <f>IF(OR(V11&lt;&gt;"",V12&lt;&gt;"",V28=0),IF(V11&lt;&gt;"",V11/3600*1.2,IF(V12&lt;&gt;"",V12*1.2,0)),IF(OR(V28&lt;=4,V28=6),U35,IF(V28=5,U35+T35,#N/A)))</f>
        <v>0</v>
      </c>
      <c r="W35" s="59">
        <f t="shared" ref="W35" si="24">IF(OR(W11&lt;&gt;"",W12&lt;&gt;"",W28=0),IF(W11&lt;&gt;"",W11/3600*1.2,IF(W12&lt;&gt;"",W12*1.2,0)),IF(OR(W28&lt;=4,W28=6),V35,IF(W28=5,V35+U35,#N/A)))</f>
        <v>0</v>
      </c>
      <c r="Y35" s="61"/>
      <c r="Z35" s="61"/>
      <c r="AA35" s="61"/>
    </row>
    <row r="36" spans="2:27" s="59" customFormat="1" ht="25.5" x14ac:dyDescent="0.2">
      <c r="B36" s="66" t="s">
        <v>132</v>
      </c>
      <c r="C36" s="62" t="s">
        <v>0</v>
      </c>
      <c r="E36" s="59">
        <f>IF(E29=1,E6,"")</f>
        <v>-25</v>
      </c>
      <c r="F36" s="59">
        <f t="shared" ref="F36:W36" si="25">IF(F29=1,F6,"")</f>
        <v>-25</v>
      </c>
      <c r="G36" s="59">
        <f t="shared" si="25"/>
        <v>-25</v>
      </c>
      <c r="H36" s="59">
        <f t="shared" si="25"/>
        <v>-25</v>
      </c>
      <c r="I36" s="59">
        <f t="shared" si="25"/>
        <v>20</v>
      </c>
      <c r="J36" s="59" t="str">
        <f t="shared" si="25"/>
        <v/>
      </c>
      <c r="K36" s="59">
        <f t="shared" si="25"/>
        <v>5.6834135234056342</v>
      </c>
      <c r="L36" s="59">
        <f t="shared" si="25"/>
        <v>8</v>
      </c>
      <c r="M36" s="59">
        <f t="shared" si="25"/>
        <v>8</v>
      </c>
      <c r="N36" s="59">
        <f t="shared" si="25"/>
        <v>20</v>
      </c>
      <c r="O36" s="59">
        <f t="shared" si="25"/>
        <v>35</v>
      </c>
      <c r="P36" s="59">
        <f t="shared" si="25"/>
        <v>16</v>
      </c>
      <c r="Q36" s="59">
        <f t="shared" si="25"/>
        <v>16</v>
      </c>
      <c r="R36" s="59">
        <f>IF(R29=1,R6,"")</f>
        <v>20</v>
      </c>
      <c r="S36" s="59">
        <f>IF(S29=1,S6,"")</f>
        <v>20</v>
      </c>
      <c r="T36" s="59">
        <f t="shared" si="25"/>
        <v>20</v>
      </c>
      <c r="U36" s="59">
        <f>IF(U29=1,U6,"")</f>
        <v>20</v>
      </c>
      <c r="V36" s="59" t="str">
        <f>IF(V29=1,V6,"")</f>
        <v/>
      </c>
      <c r="W36" s="59" t="str">
        <f t="shared" si="25"/>
        <v/>
      </c>
      <c r="Y36" s="61"/>
      <c r="Z36" s="61"/>
      <c r="AA36" s="61"/>
    </row>
    <row r="37" spans="2:27" s="59" customFormat="1" x14ac:dyDescent="0.2">
      <c r="C37" s="63" t="s">
        <v>1</v>
      </c>
      <c r="E37" s="59">
        <f>IF(E30=1,E7/100,"")</f>
        <v>0.2</v>
      </c>
      <c r="F37" s="59">
        <f t="shared" ref="F37:W37" si="26">IF(F30=1,F7/100,"")</f>
        <v>0.2</v>
      </c>
      <c r="G37" s="59">
        <f t="shared" si="26"/>
        <v>0.2</v>
      </c>
      <c r="H37" s="59">
        <f t="shared" si="26"/>
        <v>0.2</v>
      </c>
      <c r="I37" s="59">
        <f t="shared" si="26"/>
        <v>0.6</v>
      </c>
      <c r="J37" s="59" t="str">
        <f t="shared" si="26"/>
        <v/>
      </c>
      <c r="K37" s="59">
        <f t="shared" si="26"/>
        <v>0.01</v>
      </c>
      <c r="L37" s="59" t="str">
        <f t="shared" si="26"/>
        <v/>
      </c>
      <c r="M37" s="59">
        <f t="shared" si="26"/>
        <v>8.5239662554749916E-5</v>
      </c>
      <c r="N37" s="59" t="str">
        <f t="shared" si="26"/>
        <v/>
      </c>
      <c r="O37" s="59">
        <f t="shared" si="26"/>
        <v>0.4</v>
      </c>
      <c r="P37" s="59" t="str">
        <f t="shared" si="26"/>
        <v/>
      </c>
      <c r="Q37" s="59">
        <f t="shared" si="26"/>
        <v>7.5771330367416147E-3</v>
      </c>
      <c r="R37" s="59" t="str">
        <f>IF(R30=1,R7/100,"")</f>
        <v/>
      </c>
      <c r="S37" s="59">
        <f>IF(S30=1,S7/100,"")</f>
        <v>5.889954581965501E-5</v>
      </c>
      <c r="T37" s="59">
        <f t="shared" si="26"/>
        <v>5.8899545819655011E-7</v>
      </c>
      <c r="U37" s="59">
        <f>IF(U30=1,U7/100,"")</f>
        <v>5.889954581965502E-9</v>
      </c>
      <c r="V37" s="59" t="str">
        <f>IF(V30=1,V7/100,"")</f>
        <v/>
      </c>
      <c r="W37" s="59" t="str">
        <f t="shared" si="26"/>
        <v/>
      </c>
      <c r="Y37" s="61"/>
      <c r="Z37" s="61"/>
      <c r="AA37" s="61"/>
    </row>
    <row r="38" spans="2:27" s="59" customFormat="1" x14ac:dyDescent="0.2">
      <c r="C38" s="62" t="s">
        <v>2</v>
      </c>
      <c r="E38" s="59" t="str">
        <f>IF(E31=1,E8,"")</f>
        <v/>
      </c>
      <c r="F38" s="59" t="str">
        <f t="shared" ref="F38:W39" si="27">IF(F31=1,F8,"")</f>
        <v/>
      </c>
      <c r="G38" s="59" t="str">
        <f t="shared" si="27"/>
        <v/>
      </c>
      <c r="H38" s="59" t="str">
        <f t="shared" si="27"/>
        <v/>
      </c>
      <c r="I38" s="59" t="str">
        <f t="shared" si="27"/>
        <v/>
      </c>
      <c r="J38" s="59" t="str">
        <f t="shared" si="27"/>
        <v/>
      </c>
      <c r="K38" s="59" t="str">
        <f t="shared" si="27"/>
        <v/>
      </c>
      <c r="L38" s="59" t="str">
        <f t="shared" si="27"/>
        <v/>
      </c>
      <c r="M38" s="59" t="str">
        <f t="shared" si="27"/>
        <v/>
      </c>
      <c r="N38" s="59" t="str">
        <f t="shared" si="27"/>
        <v/>
      </c>
      <c r="O38" s="59" t="str">
        <f t="shared" si="27"/>
        <v/>
      </c>
      <c r="P38" s="59" t="str">
        <f t="shared" si="27"/>
        <v/>
      </c>
      <c r="Q38" s="59" t="str">
        <f t="shared" si="27"/>
        <v/>
      </c>
      <c r="R38" s="59" t="str">
        <f>IF(R31=1,R8,"")</f>
        <v/>
      </c>
      <c r="S38" s="59" t="str">
        <f>IF(S31=1,S8,"")</f>
        <v/>
      </c>
      <c r="T38" s="59" t="str">
        <f t="shared" si="27"/>
        <v/>
      </c>
      <c r="U38" s="59" t="str">
        <f>IF(U31=1,U8,"")</f>
        <v/>
      </c>
      <c r="V38" s="59" t="str">
        <f>IF(V31=1,V8,"")</f>
        <v/>
      </c>
      <c r="W38" s="59" t="str">
        <f t="shared" si="27"/>
        <v/>
      </c>
      <c r="Y38" s="61"/>
      <c r="Z38" s="61"/>
      <c r="AA38" s="61"/>
    </row>
    <row r="39" spans="2:27" s="59" customFormat="1" x14ac:dyDescent="0.2">
      <c r="C39" s="62" t="s">
        <v>3</v>
      </c>
      <c r="E39" s="59" t="str">
        <f>IF(E32=1,E9,"")</f>
        <v/>
      </c>
      <c r="F39" s="59" t="str">
        <f t="shared" si="27"/>
        <v/>
      </c>
      <c r="G39" s="59" t="str">
        <f t="shared" si="27"/>
        <v/>
      </c>
      <c r="H39" s="59" t="str">
        <f t="shared" si="27"/>
        <v/>
      </c>
      <c r="I39" s="59" t="str">
        <f t="shared" si="27"/>
        <v/>
      </c>
      <c r="J39" s="59" t="str">
        <f t="shared" si="27"/>
        <v/>
      </c>
      <c r="K39" s="59" t="str">
        <f t="shared" si="27"/>
        <v/>
      </c>
      <c r="L39" s="59" t="str">
        <f t="shared" si="27"/>
        <v/>
      </c>
      <c r="M39" s="59" t="str">
        <f t="shared" si="27"/>
        <v/>
      </c>
      <c r="N39" s="59" t="str">
        <f t="shared" si="27"/>
        <v/>
      </c>
      <c r="O39" s="59" t="str">
        <f t="shared" si="27"/>
        <v/>
      </c>
      <c r="P39" s="59" t="str">
        <f t="shared" si="27"/>
        <v/>
      </c>
      <c r="Q39" s="59" t="str">
        <f t="shared" si="27"/>
        <v/>
      </c>
      <c r="R39" s="59" t="str">
        <f>IF(R32=1,R9,"")</f>
        <v/>
      </c>
      <c r="S39" s="59" t="str">
        <f>IF(S32=1,S9,"")</f>
        <v/>
      </c>
      <c r="T39" s="59" t="str">
        <f t="shared" si="27"/>
        <v/>
      </c>
      <c r="U39" s="59" t="str">
        <f>IF(U32=1,U9,"")</f>
        <v/>
      </c>
      <c r="V39" s="59" t="str">
        <f>IF(V32=1,V9,"")</f>
        <v/>
      </c>
      <c r="W39" s="59" t="str">
        <f t="shared" si="27"/>
        <v/>
      </c>
      <c r="Y39" s="61"/>
      <c r="Z39" s="61"/>
      <c r="AA39" s="61"/>
    </row>
    <row r="40" spans="2:27" s="59" customFormat="1" x14ac:dyDescent="0.2">
      <c r="B40" s="59" t="s">
        <v>105</v>
      </c>
      <c r="C40" s="59" t="s">
        <v>36</v>
      </c>
      <c r="E40" s="67" t="b">
        <f>OR(E34&gt;2,E33=1)</f>
        <v>0</v>
      </c>
      <c r="F40" s="67" t="b">
        <f t="shared" ref="F40:W40" si="28">OR(F34&gt;2,F33=1)</f>
        <v>0</v>
      </c>
      <c r="G40" s="67" t="b">
        <f t="shared" si="28"/>
        <v>0</v>
      </c>
      <c r="H40" s="67" t="b">
        <f t="shared" si="28"/>
        <v>0</v>
      </c>
      <c r="I40" s="67" t="b">
        <f t="shared" si="28"/>
        <v>0</v>
      </c>
      <c r="J40" s="67" t="b">
        <f t="shared" si="28"/>
        <v>0</v>
      </c>
      <c r="K40" s="67" t="b">
        <f t="shared" si="28"/>
        <v>0</v>
      </c>
      <c r="L40" s="67" t="b">
        <f t="shared" si="28"/>
        <v>0</v>
      </c>
      <c r="M40" s="111" t="b">
        <f t="shared" si="28"/>
        <v>0</v>
      </c>
      <c r="N40" s="111" t="b">
        <f t="shared" si="28"/>
        <v>0</v>
      </c>
      <c r="O40" s="111" t="b">
        <f t="shared" si="28"/>
        <v>0</v>
      </c>
      <c r="P40" s="111" t="b">
        <f t="shared" si="28"/>
        <v>0</v>
      </c>
      <c r="Q40" s="111" t="b">
        <f t="shared" si="28"/>
        <v>0</v>
      </c>
      <c r="R40" s="111" t="b">
        <f t="shared" si="28"/>
        <v>0</v>
      </c>
      <c r="S40" s="111" t="b">
        <f t="shared" si="28"/>
        <v>0</v>
      </c>
      <c r="T40" s="111" t="b">
        <f t="shared" si="28"/>
        <v>0</v>
      </c>
      <c r="U40" s="111" t="b">
        <f t="shared" si="28"/>
        <v>0</v>
      </c>
      <c r="V40" s="111" t="b">
        <f t="shared" si="28"/>
        <v>0</v>
      </c>
      <c r="W40" s="111" t="b">
        <f t="shared" si="28"/>
        <v>0</v>
      </c>
      <c r="Y40" s="61"/>
      <c r="Z40" s="61"/>
      <c r="AA40" s="61"/>
    </row>
    <row r="41" spans="2:27" s="59" customFormat="1" x14ac:dyDescent="0.2">
      <c r="B41" s="59" t="s">
        <v>47</v>
      </c>
      <c r="C41" s="59" t="s">
        <v>36</v>
      </c>
      <c r="E41" s="67" t="b">
        <f>E34=1</f>
        <v>0</v>
      </c>
      <c r="F41" s="67" t="b">
        <f t="shared" ref="F41:W41" si="29">F34=1</f>
        <v>0</v>
      </c>
      <c r="G41" s="67" t="b">
        <f t="shared" si="29"/>
        <v>0</v>
      </c>
      <c r="H41" s="67" t="b">
        <f t="shared" si="29"/>
        <v>0</v>
      </c>
      <c r="I41" s="67" t="b">
        <f t="shared" si="29"/>
        <v>0</v>
      </c>
      <c r="J41" s="67" t="b">
        <f t="shared" si="29"/>
        <v>0</v>
      </c>
      <c r="K41" s="67" t="b">
        <f t="shared" si="29"/>
        <v>0</v>
      </c>
      <c r="L41" s="67" t="b">
        <f t="shared" si="29"/>
        <v>1</v>
      </c>
      <c r="M41" s="111" t="b">
        <f t="shared" si="29"/>
        <v>0</v>
      </c>
      <c r="N41" s="111" t="b">
        <f t="shared" si="29"/>
        <v>1</v>
      </c>
      <c r="O41" s="111" t="b">
        <f t="shared" si="29"/>
        <v>0</v>
      </c>
      <c r="P41" s="111" t="b">
        <f t="shared" si="29"/>
        <v>1</v>
      </c>
      <c r="Q41" s="111" t="b">
        <f t="shared" si="29"/>
        <v>0</v>
      </c>
      <c r="R41" s="111" t="b">
        <f t="shared" si="29"/>
        <v>1</v>
      </c>
      <c r="S41" s="111" t="b">
        <f t="shared" si="29"/>
        <v>0</v>
      </c>
      <c r="T41" s="111" t="b">
        <f t="shared" si="29"/>
        <v>0</v>
      </c>
      <c r="U41" s="111" t="b">
        <f t="shared" si="29"/>
        <v>0</v>
      </c>
      <c r="V41" s="111" t="b">
        <f t="shared" si="29"/>
        <v>0</v>
      </c>
      <c r="W41" s="111" t="b">
        <f t="shared" si="29"/>
        <v>0</v>
      </c>
      <c r="Y41" s="61"/>
      <c r="Z41" s="61"/>
      <c r="AA41" s="61"/>
    </row>
    <row r="42" spans="2:27" s="59" customFormat="1" x14ac:dyDescent="0.2">
      <c r="B42" s="59" t="s">
        <v>36</v>
      </c>
      <c r="C42" s="59" t="s">
        <v>36</v>
      </c>
      <c r="E42" s="67" t="b">
        <f>E34=0</f>
        <v>0</v>
      </c>
      <c r="F42" s="67" t="b">
        <f t="shared" ref="F42:W42" si="30">F34=0</f>
        <v>0</v>
      </c>
      <c r="G42" s="67" t="b">
        <f t="shared" si="30"/>
        <v>0</v>
      </c>
      <c r="H42" s="67" t="b">
        <f t="shared" si="30"/>
        <v>0</v>
      </c>
      <c r="I42" s="67" t="b">
        <f t="shared" si="30"/>
        <v>0</v>
      </c>
      <c r="J42" s="67" t="b">
        <f t="shared" si="30"/>
        <v>1</v>
      </c>
      <c r="K42" s="67" t="b">
        <f t="shared" si="30"/>
        <v>0</v>
      </c>
      <c r="L42" s="67" t="b">
        <f t="shared" si="30"/>
        <v>0</v>
      </c>
      <c r="M42" s="111" t="b">
        <f t="shared" si="30"/>
        <v>0</v>
      </c>
      <c r="N42" s="111" t="b">
        <f t="shared" si="30"/>
        <v>0</v>
      </c>
      <c r="O42" s="111" t="b">
        <f t="shared" si="30"/>
        <v>0</v>
      </c>
      <c r="P42" s="111" t="b">
        <f t="shared" si="30"/>
        <v>0</v>
      </c>
      <c r="Q42" s="111" t="b">
        <f t="shared" si="30"/>
        <v>0</v>
      </c>
      <c r="R42" s="111" t="b">
        <f t="shared" si="30"/>
        <v>0</v>
      </c>
      <c r="S42" s="111" t="b">
        <f t="shared" si="30"/>
        <v>0</v>
      </c>
      <c r="T42" s="111" t="b">
        <f t="shared" si="30"/>
        <v>0</v>
      </c>
      <c r="U42" s="111" t="b">
        <f t="shared" si="30"/>
        <v>0</v>
      </c>
      <c r="V42" s="111" t="b">
        <f t="shared" si="30"/>
        <v>1</v>
      </c>
      <c r="W42" s="111" t="b">
        <f t="shared" si="30"/>
        <v>1</v>
      </c>
      <c r="Y42" s="61"/>
      <c r="Z42" s="61"/>
      <c r="AA42" s="61"/>
    </row>
    <row r="43" spans="2:27" s="59" customFormat="1" x14ac:dyDescent="0.2">
      <c r="B43" s="65"/>
      <c r="Y43" s="61"/>
      <c r="Z43" s="61"/>
      <c r="AA43" s="61"/>
    </row>
    <row r="44" spans="2:27" s="59" customFormat="1" ht="25.5" x14ac:dyDescent="0.2">
      <c r="B44" s="66" t="s">
        <v>96</v>
      </c>
      <c r="C44" s="62" t="s">
        <v>0</v>
      </c>
      <c r="E44" s="68" t="str">
        <f>""</f>
        <v/>
      </c>
      <c r="F44" s="59">
        <f t="shared" ref="F44:W44" si="31">IF(F29=1,F6,"")</f>
        <v>-25</v>
      </c>
      <c r="G44" s="59">
        <f t="shared" si="31"/>
        <v>-25</v>
      </c>
      <c r="H44" s="59">
        <f t="shared" si="31"/>
        <v>-25</v>
      </c>
      <c r="I44" s="59">
        <f t="shared" si="31"/>
        <v>20</v>
      </c>
      <c r="J44" s="59" t="str">
        <f t="shared" si="31"/>
        <v/>
      </c>
      <c r="K44" s="59">
        <f t="shared" si="31"/>
        <v>5.6834135234056342</v>
      </c>
      <c r="L44" s="59">
        <f t="shared" si="31"/>
        <v>8</v>
      </c>
      <c r="M44" s="59">
        <f t="shared" si="31"/>
        <v>8</v>
      </c>
      <c r="N44" s="59">
        <f t="shared" si="31"/>
        <v>20</v>
      </c>
      <c r="O44" s="59">
        <f t="shared" si="31"/>
        <v>35</v>
      </c>
      <c r="P44" s="59">
        <f t="shared" si="31"/>
        <v>16</v>
      </c>
      <c r="Q44" s="59">
        <f t="shared" si="31"/>
        <v>16</v>
      </c>
      <c r="R44" s="59">
        <f>IF(R29=1,R6,"")</f>
        <v>20</v>
      </c>
      <c r="S44" s="59">
        <f>IF(S29=1,S6,"")</f>
        <v>20</v>
      </c>
      <c r="T44" s="59">
        <f t="shared" si="31"/>
        <v>20</v>
      </c>
      <c r="U44" s="59">
        <f>IF(U29=1,U6,"")</f>
        <v>20</v>
      </c>
      <c r="V44" s="59" t="str">
        <f>IF(V29=1,V6,"")</f>
        <v/>
      </c>
      <c r="W44" s="59" t="str">
        <f t="shared" si="31"/>
        <v/>
      </c>
      <c r="Y44" s="61"/>
      <c r="Z44" s="61"/>
      <c r="AA44" s="61"/>
    </row>
    <row r="45" spans="2:27" s="59" customFormat="1" x14ac:dyDescent="0.2">
      <c r="C45" s="63" t="s">
        <v>1</v>
      </c>
      <c r="E45" s="68" t="str">
        <f>""</f>
        <v/>
      </c>
      <c r="F45" s="68" t="str">
        <f>""</f>
        <v/>
      </c>
      <c r="G45" s="68" t="str">
        <f>""</f>
        <v/>
      </c>
      <c r="H45" s="68" t="str">
        <f>""</f>
        <v/>
      </c>
      <c r="I45" s="68" t="str">
        <f>""</f>
        <v/>
      </c>
      <c r="J45" s="68" t="str">
        <f>""</f>
        <v/>
      </c>
      <c r="K45" s="68" t="str">
        <f>""</f>
        <v/>
      </c>
      <c r="L45" s="68" t="str">
        <f>""</f>
        <v/>
      </c>
      <c r="M45" s="68" t="str">
        <f>""</f>
        <v/>
      </c>
      <c r="N45" s="68" t="str">
        <f>""</f>
        <v/>
      </c>
      <c r="O45" s="68" t="str">
        <f>""</f>
        <v/>
      </c>
      <c r="P45" s="68" t="str">
        <f>""</f>
        <v/>
      </c>
      <c r="Q45" s="68" t="str">
        <f>""</f>
        <v/>
      </c>
      <c r="R45" s="68" t="str">
        <f>""</f>
        <v/>
      </c>
      <c r="S45" s="68" t="str">
        <f>""</f>
        <v/>
      </c>
      <c r="T45" s="68" t="str">
        <f>""</f>
        <v/>
      </c>
      <c r="U45" s="68" t="str">
        <f>""</f>
        <v/>
      </c>
      <c r="V45" s="68" t="str">
        <f>""</f>
        <v/>
      </c>
      <c r="W45" s="68" t="str">
        <f>""</f>
        <v/>
      </c>
      <c r="Y45" s="61"/>
      <c r="Z45" s="61"/>
      <c r="AA45" s="61"/>
    </row>
    <row r="46" spans="2:27" s="59" customFormat="1" x14ac:dyDescent="0.2">
      <c r="C46" s="62" t="s">
        <v>2</v>
      </c>
      <c r="E46" s="68" t="str">
        <f>""</f>
        <v/>
      </c>
      <c r="F46" s="69">
        <f>E18</f>
        <v>8.3203757830561539E-2</v>
      </c>
      <c r="G46" s="69">
        <f t="shared" ref="G46:W46" si="32">F18</f>
        <v>8.3203757830561539E-2</v>
      </c>
      <c r="H46" s="69">
        <f t="shared" si="32"/>
        <v>8.3203757830561539E-2</v>
      </c>
      <c r="I46" s="69">
        <f t="shared" si="32"/>
        <v>8.3203757830561539E-2</v>
      </c>
      <c r="J46" s="69">
        <f t="shared" si="32"/>
        <v>9.3757233081908904</v>
      </c>
      <c r="K46" s="69">
        <f t="shared" si="32"/>
        <v>6.0699953128936093</v>
      </c>
      <c r="L46" s="69">
        <f t="shared" si="32"/>
        <v>6.0119312330765867E-2</v>
      </c>
      <c r="M46" s="69">
        <f t="shared" si="32"/>
        <v>6.0119312330765867E-2</v>
      </c>
      <c r="N46" s="69">
        <f t="shared" si="32"/>
        <v>6.0113562015513496E-4</v>
      </c>
      <c r="O46" s="69">
        <f t="shared" si="32"/>
        <v>6.0113562015513496E-4</v>
      </c>
      <c r="P46" s="69">
        <f t="shared" si="32"/>
        <v>15.17511246915182</v>
      </c>
      <c r="Q46" s="69">
        <f t="shared" si="32"/>
        <v>9.2012211080269264</v>
      </c>
      <c r="R46" s="69">
        <f t="shared" si="32"/>
        <v>9.0684559843778378E-2</v>
      </c>
      <c r="S46" s="69">
        <f t="shared" si="32"/>
        <v>9.0684559843778378E-2</v>
      </c>
      <c r="T46" s="69" t="e">
        <f>#REF!</f>
        <v>#REF!</v>
      </c>
      <c r="U46" s="69">
        <f t="shared" si="32"/>
        <v>9.0671345975486622E-6</v>
      </c>
      <c r="V46" s="69">
        <f t="shared" si="32"/>
        <v>9.0671344667373509E-8</v>
      </c>
      <c r="W46" s="69" t="str">
        <f t="shared" si="32"/>
        <v/>
      </c>
      <c r="Y46" s="61"/>
      <c r="Z46" s="61"/>
      <c r="AA46" s="61"/>
    </row>
    <row r="47" spans="2:27" s="59" customFormat="1" x14ac:dyDescent="0.2">
      <c r="C47" s="62" t="s">
        <v>3</v>
      </c>
      <c r="E47" s="68" t="str">
        <f>IF(E29=1,"",D47+ABS(E13/E35))</f>
        <v/>
      </c>
      <c r="F47" s="68" t="str">
        <f>IF(F29=1,"",E19+ABS(F13/F35))</f>
        <v/>
      </c>
      <c r="G47" s="68" t="str">
        <f t="shared" ref="G47:Q47" si="33">IF(G29=1,"",F19+ABS(G13/G35))</f>
        <v/>
      </c>
      <c r="H47" s="68" t="str">
        <f t="shared" si="33"/>
        <v/>
      </c>
      <c r="I47" s="68" t="str">
        <f t="shared" si="33"/>
        <v/>
      </c>
      <c r="J47" s="68">
        <f t="shared" si="33"/>
        <v>43.997460900850115</v>
      </c>
      <c r="K47" s="68" t="str">
        <f t="shared" si="33"/>
        <v/>
      </c>
      <c r="L47" s="68" t="str">
        <f t="shared" si="33"/>
        <v/>
      </c>
      <c r="M47" s="68" t="str">
        <f t="shared" si="33"/>
        <v/>
      </c>
      <c r="N47" s="68" t="str">
        <f t="shared" si="33"/>
        <v/>
      </c>
      <c r="O47" s="68" t="str">
        <f t="shared" si="33"/>
        <v/>
      </c>
      <c r="P47" s="68" t="str">
        <f t="shared" si="33"/>
        <v/>
      </c>
      <c r="Q47" s="68" t="str">
        <f t="shared" si="33"/>
        <v/>
      </c>
      <c r="R47" s="68" t="str">
        <f>IF(R29=1,"",Q19+ABS(R13/R35))</f>
        <v/>
      </c>
      <c r="S47" s="68" t="str">
        <f>IF(S29=1,"",R19+ABS(S13/S35))</f>
        <v/>
      </c>
      <c r="T47" s="68" t="str">
        <f>IF(T29=1,"",#REF!+ABS(T13/T35))</f>
        <v/>
      </c>
      <c r="U47" s="68" t="str">
        <f>IF(U29=1,"",T19+ABS(U13/U35))</f>
        <v/>
      </c>
      <c r="V47" s="68" t="e">
        <f>IF(V29=1,"",U19+ABS(V13/V35))</f>
        <v>#DIV/0!</v>
      </c>
      <c r="W47" s="68" t="e">
        <f t="shared" ref="W47" si="34">IF(W29=1,"",V19+ABS(W13/W35))</f>
        <v>#VALUE!</v>
      </c>
      <c r="Y47" s="61"/>
      <c r="Z47" s="61"/>
      <c r="AA47" s="61"/>
    </row>
    <row r="48" spans="2:27" s="59" customFormat="1" x14ac:dyDescent="0.2">
      <c r="B48" s="59" t="s">
        <v>105</v>
      </c>
      <c r="C48" s="59" t="s">
        <v>36</v>
      </c>
      <c r="E48" s="67" t="b">
        <f>TRUE</f>
        <v>1</v>
      </c>
      <c r="F48" s="67" t="b">
        <f>OR(F30=1,F31=1,F32=1,(F29+F33)=2)</f>
        <v>1</v>
      </c>
      <c r="G48" s="67" t="b">
        <f t="shared" ref="G48:W48" si="35">OR(G30=1,G31=1,G32=1,(G29+G33)=2)</f>
        <v>1</v>
      </c>
      <c r="H48" s="67" t="b">
        <f t="shared" si="35"/>
        <v>1</v>
      </c>
      <c r="I48" s="67" t="b">
        <f t="shared" si="35"/>
        <v>1</v>
      </c>
      <c r="J48" s="67" t="b">
        <f t="shared" si="35"/>
        <v>0</v>
      </c>
      <c r="K48" s="67" t="b">
        <f t="shared" si="35"/>
        <v>1</v>
      </c>
      <c r="L48" s="67" t="b">
        <f t="shared" si="35"/>
        <v>0</v>
      </c>
      <c r="M48" s="111" t="b">
        <f t="shared" si="35"/>
        <v>1</v>
      </c>
      <c r="N48" s="111" t="b">
        <f t="shared" si="35"/>
        <v>0</v>
      </c>
      <c r="O48" s="111" t="b">
        <f t="shared" si="35"/>
        <v>1</v>
      </c>
      <c r="P48" s="111" t="b">
        <f t="shared" si="35"/>
        <v>0</v>
      </c>
      <c r="Q48" s="111" t="b">
        <f t="shared" si="35"/>
        <v>1</v>
      </c>
      <c r="R48" s="111" t="b">
        <f t="shared" si="35"/>
        <v>0</v>
      </c>
      <c r="S48" s="111" t="b">
        <f t="shared" si="35"/>
        <v>1</v>
      </c>
      <c r="T48" s="111" t="b">
        <f t="shared" si="35"/>
        <v>1</v>
      </c>
      <c r="U48" s="111" t="b">
        <f t="shared" si="35"/>
        <v>1</v>
      </c>
      <c r="V48" s="111" t="b">
        <f t="shared" si="35"/>
        <v>0</v>
      </c>
      <c r="W48" s="111" t="b">
        <f t="shared" si="35"/>
        <v>0</v>
      </c>
      <c r="Y48" s="61"/>
      <c r="Z48" s="61"/>
      <c r="AA48" s="61"/>
    </row>
    <row r="49" spans="2:27" s="59" customFormat="1" x14ac:dyDescent="0.2">
      <c r="B49" s="59" t="s">
        <v>47</v>
      </c>
      <c r="C49" s="59" t="s">
        <v>36</v>
      </c>
      <c r="E49" s="67" t="b">
        <f>FALSE</f>
        <v>0</v>
      </c>
      <c r="F49" s="67" t="b">
        <f>(F29+F33)=0</f>
        <v>0</v>
      </c>
      <c r="G49" s="67" t="b">
        <f t="shared" ref="G49:W49" si="36">(G29+G33)=0</f>
        <v>0</v>
      </c>
      <c r="H49" s="67" t="b">
        <f t="shared" si="36"/>
        <v>0</v>
      </c>
      <c r="I49" s="67" t="b">
        <f t="shared" si="36"/>
        <v>0</v>
      </c>
      <c r="J49" s="67" t="b">
        <f t="shared" si="36"/>
        <v>1</v>
      </c>
      <c r="K49" s="67" t="b">
        <f t="shared" si="36"/>
        <v>0</v>
      </c>
      <c r="L49" s="67" t="b">
        <f t="shared" si="36"/>
        <v>0</v>
      </c>
      <c r="M49" s="111" t="b">
        <f t="shared" si="36"/>
        <v>0</v>
      </c>
      <c r="N49" s="111" t="b">
        <f t="shared" si="36"/>
        <v>0</v>
      </c>
      <c r="O49" s="111" t="b">
        <f t="shared" si="36"/>
        <v>0</v>
      </c>
      <c r="P49" s="111" t="b">
        <f t="shared" si="36"/>
        <v>0</v>
      </c>
      <c r="Q49" s="111" t="b">
        <f t="shared" si="36"/>
        <v>0</v>
      </c>
      <c r="R49" s="111" t="b">
        <f t="shared" si="36"/>
        <v>0</v>
      </c>
      <c r="S49" s="111" t="b">
        <f t="shared" si="36"/>
        <v>0</v>
      </c>
      <c r="T49" s="111" t="b">
        <f t="shared" si="36"/>
        <v>0</v>
      </c>
      <c r="U49" s="111" t="b">
        <f t="shared" si="36"/>
        <v>0</v>
      </c>
      <c r="V49" s="111" t="b">
        <f t="shared" si="36"/>
        <v>1</v>
      </c>
      <c r="W49" s="111" t="b">
        <f t="shared" si="36"/>
        <v>1</v>
      </c>
      <c r="Y49" s="61"/>
      <c r="Z49" s="61"/>
      <c r="AA49" s="61"/>
    </row>
    <row r="50" spans="2:27" s="59" customFormat="1" x14ac:dyDescent="0.2">
      <c r="B50" s="59" t="s">
        <v>36</v>
      </c>
      <c r="C50" s="59" t="s">
        <v>36</v>
      </c>
      <c r="E50" s="67" t="b">
        <f>FALSE</f>
        <v>0</v>
      </c>
      <c r="F50" s="67" t="b">
        <f>FALSE</f>
        <v>0</v>
      </c>
      <c r="G50" s="67" t="b">
        <f>FALSE</f>
        <v>0</v>
      </c>
      <c r="H50" s="67" t="b">
        <f>FALSE</f>
        <v>0</v>
      </c>
      <c r="I50" s="67" t="b">
        <f>FALSE</f>
        <v>0</v>
      </c>
      <c r="J50" s="67" t="b">
        <f>FALSE</f>
        <v>0</v>
      </c>
      <c r="K50" s="67" t="b">
        <f>FALSE</f>
        <v>0</v>
      </c>
      <c r="L50" s="67" t="b">
        <f>FALSE</f>
        <v>0</v>
      </c>
      <c r="M50" s="111" t="b">
        <f>FALSE</f>
        <v>0</v>
      </c>
      <c r="N50" s="111" t="b">
        <f>FALSE</f>
        <v>0</v>
      </c>
      <c r="O50" s="111" t="b">
        <f>FALSE</f>
        <v>0</v>
      </c>
      <c r="P50" s="111" t="b">
        <f>FALSE</f>
        <v>0</v>
      </c>
      <c r="Q50" s="111" t="b">
        <f>FALSE</f>
        <v>0</v>
      </c>
      <c r="R50" s="111" t="b">
        <f>FALSE</f>
        <v>0</v>
      </c>
      <c r="S50" s="111" t="b">
        <f>FALSE</f>
        <v>0</v>
      </c>
      <c r="T50" s="111" t="b">
        <f>FALSE</f>
        <v>0</v>
      </c>
      <c r="U50" s="111" t="b">
        <f>FALSE</f>
        <v>0</v>
      </c>
      <c r="V50" s="111" t="b">
        <f>FALSE</f>
        <v>0</v>
      </c>
      <c r="W50" s="111" t="b">
        <f>FALSE</f>
        <v>0</v>
      </c>
      <c r="Y50" s="61"/>
      <c r="Z50" s="61"/>
      <c r="AA50" s="61"/>
    </row>
    <row r="51" spans="2:27" s="59" customFormat="1" x14ac:dyDescent="0.2">
      <c r="B51" s="65"/>
      <c r="E51" s="68"/>
      <c r="Y51" s="61"/>
      <c r="Z51" s="61"/>
      <c r="AA51" s="61"/>
    </row>
    <row r="52" spans="2:27" s="59" customFormat="1" ht="25.5" x14ac:dyDescent="0.2">
      <c r="B52" s="66" t="s">
        <v>97</v>
      </c>
      <c r="C52" s="62" t="s">
        <v>0</v>
      </c>
      <c r="E52" s="68" t="str">
        <f>""</f>
        <v/>
      </c>
      <c r="F52" s="59">
        <f>IF(F29=1,F6,"")</f>
        <v>-25</v>
      </c>
      <c r="G52" s="59">
        <f t="shared" ref="G52:W52" si="37">IF(G29=1,G6,"")</f>
        <v>-25</v>
      </c>
      <c r="H52" s="59">
        <f t="shared" si="37"/>
        <v>-25</v>
      </c>
      <c r="I52" s="59">
        <f t="shared" si="37"/>
        <v>20</v>
      </c>
      <c r="J52" s="59" t="str">
        <f t="shared" si="37"/>
        <v/>
      </c>
      <c r="K52" s="59">
        <f t="shared" si="37"/>
        <v>5.6834135234056342</v>
      </c>
      <c r="L52" s="59">
        <f t="shared" si="37"/>
        <v>8</v>
      </c>
      <c r="M52" s="59">
        <f t="shared" si="37"/>
        <v>8</v>
      </c>
      <c r="N52" s="59">
        <f t="shared" si="37"/>
        <v>20</v>
      </c>
      <c r="O52" s="59">
        <f t="shared" si="37"/>
        <v>35</v>
      </c>
      <c r="P52" s="59">
        <f t="shared" si="37"/>
        <v>16</v>
      </c>
      <c r="Q52" s="59">
        <f t="shared" si="37"/>
        <v>16</v>
      </c>
      <c r="R52" s="59">
        <f>IF(R29=1,R6,"")</f>
        <v>20</v>
      </c>
      <c r="S52" s="59">
        <f>IF(S29=1,S6,"")</f>
        <v>20</v>
      </c>
      <c r="T52" s="59">
        <f t="shared" si="37"/>
        <v>20</v>
      </c>
      <c r="U52" s="59">
        <f>IF(U29=1,U6,"")</f>
        <v>20</v>
      </c>
      <c r="V52" s="59" t="str">
        <f>IF(V29=1,V6,"")</f>
        <v/>
      </c>
      <c r="W52" s="59" t="str">
        <f t="shared" si="37"/>
        <v/>
      </c>
      <c r="Y52" s="61"/>
      <c r="Z52" s="61"/>
      <c r="AA52" s="61"/>
    </row>
    <row r="53" spans="2:27" s="59" customFormat="1" x14ac:dyDescent="0.2">
      <c r="C53" s="63" t="s">
        <v>1</v>
      </c>
      <c r="E53" s="68" t="str">
        <f>""</f>
        <v/>
      </c>
      <c r="F53" s="59" t="str">
        <f>""</f>
        <v/>
      </c>
      <c r="G53" s="59" t="str">
        <f>""</f>
        <v/>
      </c>
      <c r="H53" s="59" t="str">
        <f>""</f>
        <v/>
      </c>
      <c r="I53" s="59" t="str">
        <f>""</f>
        <v/>
      </c>
      <c r="J53" s="59" t="str">
        <f>""</f>
        <v/>
      </c>
      <c r="K53" s="59" t="str">
        <f>""</f>
        <v/>
      </c>
      <c r="L53" s="59" t="str">
        <f>""</f>
        <v/>
      </c>
      <c r="M53" s="59" t="str">
        <f>""</f>
        <v/>
      </c>
      <c r="N53" s="59" t="str">
        <f>""</f>
        <v/>
      </c>
      <c r="O53" s="59" t="str">
        <f>""</f>
        <v/>
      </c>
      <c r="P53" s="59" t="str">
        <f>""</f>
        <v/>
      </c>
      <c r="Q53" s="59" t="str">
        <f>""</f>
        <v/>
      </c>
      <c r="R53" s="59" t="str">
        <f>""</f>
        <v/>
      </c>
      <c r="S53" s="59" t="str">
        <f>""</f>
        <v/>
      </c>
      <c r="T53" s="59" t="str">
        <f>""</f>
        <v/>
      </c>
      <c r="U53" s="59" t="str">
        <f>""</f>
        <v/>
      </c>
      <c r="V53" s="59" t="str">
        <f>""</f>
        <v/>
      </c>
      <c r="W53" s="59" t="str">
        <f>""</f>
        <v/>
      </c>
      <c r="Y53" s="61"/>
      <c r="Z53" s="61"/>
      <c r="AA53" s="61"/>
    </row>
    <row r="54" spans="2:27" s="59" customFormat="1" x14ac:dyDescent="0.2">
      <c r="C54" s="62" t="s">
        <v>2</v>
      </c>
      <c r="E54" s="68" t="str">
        <f>""</f>
        <v/>
      </c>
      <c r="F54" s="59">
        <f>IF(F33=1,MIN(E18,E18+(xchladice-E18)*(E19-F55)/(E19-Hchladice)),IF(AND(F29=1,xchladice&gt;=E18),E18,""))</f>
        <v>8.3203757830561539E-2</v>
      </c>
      <c r="G54" s="59">
        <f t="shared" ref="G54:N54" si="38">IF(G33=1,MIN(F18,F18+(xchladice-F18)*(F19-G55)/(F19-Hchladice)),IF(AND(G29=1,xchladice&gt;=F18),F18,""))</f>
        <v>8.3203757830561539E-2</v>
      </c>
      <c r="H54" s="59">
        <f t="shared" si="38"/>
        <v>8.3203757830561539E-2</v>
      </c>
      <c r="I54" s="59">
        <f t="shared" si="38"/>
        <v>8.3203757830561539E-2</v>
      </c>
      <c r="J54" s="59" t="str">
        <f t="shared" si="38"/>
        <v/>
      </c>
      <c r="K54" s="59" t="str">
        <f t="shared" si="38"/>
        <v/>
      </c>
      <c r="L54" s="59">
        <f t="shared" si="38"/>
        <v>6.0119312330765867E-2</v>
      </c>
      <c r="M54" s="59">
        <f t="shared" si="38"/>
        <v>6.0119312330765867E-2</v>
      </c>
      <c r="N54" s="59">
        <f t="shared" si="38"/>
        <v>6.0113562015513496E-4</v>
      </c>
      <c r="O54" s="59">
        <f t="shared" ref="O54" si="39">IF(O33=1,MIN(N18,N18+(xchladice-N18)*(N19-O55)/(N19-Hchladice)),IF(AND(O29=1,xchladice&gt;=N18),N18,""))</f>
        <v>6.0113562015513496E-4</v>
      </c>
      <c r="P54" s="59" t="str">
        <f t="shared" ref="P54" si="40">IF(P33=1,MIN(O18,O18+(xchladice-O18)*(O19-P55)/(O19-Hchladice)),IF(AND(P29=1,xchladice&gt;=O18),O18,""))</f>
        <v/>
      </c>
      <c r="Q54" s="59" t="str">
        <f t="shared" ref="Q54" si="41">IF(Q33=1,MIN(P18,P18+(xchladice-P18)*(P19-Q55)/(P19-Hchladice)),IF(AND(Q29=1,xchladice&gt;=P18),P18,""))</f>
        <v/>
      </c>
      <c r="R54" s="59">
        <f t="shared" ref="R54" si="42">IF(R33=1,MIN(Q18,Q18+(xchladice-Q18)*(Q19-R55)/(Q19-Hchladice)),IF(AND(R29=1,xchladice&gt;=Q18),Q18,""))</f>
        <v>9.0684559843778378E-2</v>
      </c>
      <c r="S54" s="59">
        <f t="shared" ref="S54" si="43">IF(S33=1,MIN(R18,R18+(xchladice-R18)*(R19-S55)/(R19-Hchladice)),IF(AND(S29=1,xchladice&gt;=R18),R18,""))</f>
        <v>9.0684559843778378E-2</v>
      </c>
      <c r="T54" s="59" t="e">
        <f>IF(T33=1,MIN(#REF!,#REF!+(xchladice-#REF!)*(#REF!-T55)/(#REF!-Hchladice)),IF(AND(T29=1,xchladice&gt;=#REF!),#REF!,""))</f>
        <v>#REF!</v>
      </c>
      <c r="U54" s="59">
        <f t="shared" ref="U54" si="44">IF(U33=1,MIN(T18,T18+(xchladice-T18)*(T19-U55)/(T19-Hchladice)),IF(AND(U29=1,xchladice&gt;=T18),T18,""))</f>
        <v>9.0671345975486622E-6</v>
      </c>
      <c r="V54" s="59" t="str">
        <f t="shared" ref="V54" si="45">IF(V33=1,MIN(U18,U18+(xchladice-U18)*(U19-V55)/(U19-Hchladice)),IF(AND(V29=1,xchladice&gt;=U18),U18,""))</f>
        <v/>
      </c>
      <c r="W54" s="59" t="str">
        <f t="shared" ref="W54" si="46">IF(W33=1,MIN(V18,V18+(xchladice-V18)*(V19-W55)/(V19-Hchladice)),IF(AND(W29=1,xchladice&gt;=V18),V18,""))</f>
        <v/>
      </c>
      <c r="Y54" s="61"/>
      <c r="Z54" s="61"/>
      <c r="AA54" s="61"/>
    </row>
    <row r="55" spans="2:27" s="59" customFormat="1" x14ac:dyDescent="0.2">
      <c r="C55" s="62" t="s">
        <v>3</v>
      </c>
      <c r="E55" s="68" t="str">
        <f>""</f>
        <v/>
      </c>
      <c r="F55" s="59" t="str">
        <f>IF(F33=1,E19-ABS(F13/F35),IF(xchladice&lt;E18,E19-(E19-Hchladice)*(F6-E16)/(Tchladice-E16),""))</f>
        <v/>
      </c>
      <c r="G55" s="59" t="str">
        <f t="shared" ref="G55:N55" si="47">IF(G33=1,F19-ABS(G13/G35),IF(xchladice&lt;F18,F19-(F19-Hchladice)*(G6-F16)/(Tchladice-F16),""))</f>
        <v/>
      </c>
      <c r="H55" s="59" t="str">
        <f t="shared" si="47"/>
        <v/>
      </c>
      <c r="I55" s="59" t="str">
        <f t="shared" si="47"/>
        <v/>
      </c>
      <c r="J55" s="59">
        <f t="shared" si="47"/>
        <v>10.594473166786877</v>
      </c>
      <c r="K55" s="59">
        <f t="shared" si="47"/>
        <v>20.985472762000462</v>
      </c>
      <c r="L55" s="59" t="str">
        <f t="shared" si="47"/>
        <v/>
      </c>
      <c r="M55" s="59" t="str">
        <f t="shared" si="47"/>
        <v/>
      </c>
      <c r="N55" s="59" t="str">
        <f t="shared" si="47"/>
        <v/>
      </c>
      <c r="O55" s="59" t="str">
        <f t="shared" ref="O55" si="48">IF(O33=1,N19-ABS(O13/O35),IF(xchladice&lt;N18,N19-(N19-Hchladice)*(O6-N16)/(Tchladice-N16),""))</f>
        <v/>
      </c>
      <c r="P55" s="59">
        <f t="shared" ref="P55" si="49">IF(P33=1,O19-ABS(P13/P35),IF(xchladice&lt;O18,O19-(O19-Hchladice)*(P6-O16)/(Tchladice-O16),""))</f>
        <v>39.446082331350226</v>
      </c>
      <c r="Q55" s="59">
        <f t="shared" ref="Q55" si="50">IF(Q33=1,P19-ABS(Q13/Q35),IF(xchladice&lt;P18,P19-(P19-Hchladice)*(Q6-P16)/(Tchladice-P16),""))</f>
        <v>39.446082331350226</v>
      </c>
      <c r="R55" s="59" t="str">
        <f>IF(R33=1,Q19-ABS(R13/R35),IF(xchladice&lt;Q18,Q19-(Q19-Hchladice)*(R6-Q16)/(Tchladice-Q16),""))</f>
        <v/>
      </c>
      <c r="S55" s="59" t="str">
        <f>IF(S33=1,R19-ABS(S13/S35),IF(xchladice&lt;R18,R19-(R19-Hchladice)*(S6-R16)/(Tchladice-R16),""))</f>
        <v/>
      </c>
      <c r="T55" s="59" t="e">
        <f>IF(T33=1,#REF!-ABS(T13/T35),IF(xchladice&lt;#REF!,#REF!-(#REF!-Hchladice)*(T6-#REF!)/(Tchladice-#REF!),""))</f>
        <v>#REF!</v>
      </c>
      <c r="U55" s="59" t="str">
        <f>IF(U33=1,T19-ABS(U13/U35),IF(xchladice&lt;T18,T19-(T19-Hchladice)*(U6-T16)/(Tchladice-T16),""))</f>
        <v/>
      </c>
      <c r="V55" s="59" t="str">
        <f>IF(V33=1,U19-ABS(V13/V35),IF(xchladice&lt;U18,U19-(U19-Hchladice)*(V6-U16)/(Tchladice-U16),""))</f>
        <v/>
      </c>
      <c r="W55" s="59" t="e">
        <f t="shared" ref="W55" si="51">IF(W33=1,V19-ABS(W13/W35),IF(xchladice&lt;V18,V19-(V19-Hchladice)*(W6-V16)/(Tchladice-V16),""))</f>
        <v>#VALUE!</v>
      </c>
      <c r="Y55" s="61"/>
      <c r="Z55" s="61"/>
      <c r="AA55" s="61"/>
    </row>
    <row r="56" spans="2:27" s="59" customFormat="1" x14ac:dyDescent="0.2">
      <c r="B56" s="59" t="s">
        <v>105</v>
      </c>
      <c r="C56" s="59" t="s">
        <v>36</v>
      </c>
      <c r="E56" s="67" t="b">
        <f>TRUE</f>
        <v>1</v>
      </c>
      <c r="F56" s="67" t="b">
        <f>OR(F30=1,F31=1,F32=1,(F29+F33)=2)</f>
        <v>1</v>
      </c>
      <c r="G56" s="67" t="b">
        <f t="shared" ref="G56:W56" si="52">OR(G30=1,G31=1,G32=1,(G29+G33)=2)</f>
        <v>1</v>
      </c>
      <c r="H56" s="67" t="b">
        <f t="shared" si="52"/>
        <v>1</v>
      </c>
      <c r="I56" s="67" t="b">
        <f t="shared" si="52"/>
        <v>1</v>
      </c>
      <c r="J56" s="67" t="b">
        <f t="shared" si="52"/>
        <v>0</v>
      </c>
      <c r="K56" s="67" t="b">
        <f t="shared" si="52"/>
        <v>1</v>
      </c>
      <c r="L56" s="67" t="b">
        <f t="shared" si="52"/>
        <v>0</v>
      </c>
      <c r="M56" s="111" t="b">
        <f t="shared" si="52"/>
        <v>1</v>
      </c>
      <c r="N56" s="111" t="b">
        <f t="shared" si="52"/>
        <v>0</v>
      </c>
      <c r="O56" s="111" t="b">
        <f t="shared" si="52"/>
        <v>1</v>
      </c>
      <c r="P56" s="111" t="b">
        <f t="shared" si="52"/>
        <v>0</v>
      </c>
      <c r="Q56" s="111" t="b">
        <f t="shared" si="52"/>
        <v>1</v>
      </c>
      <c r="R56" s="111" t="b">
        <f t="shared" si="52"/>
        <v>0</v>
      </c>
      <c r="S56" s="111" t="b">
        <f t="shared" si="52"/>
        <v>1</v>
      </c>
      <c r="T56" s="111" t="b">
        <f t="shared" si="52"/>
        <v>1</v>
      </c>
      <c r="U56" s="111" t="b">
        <f t="shared" si="52"/>
        <v>1</v>
      </c>
      <c r="V56" s="111" t="b">
        <f t="shared" si="52"/>
        <v>0</v>
      </c>
      <c r="W56" s="111" t="b">
        <f t="shared" si="52"/>
        <v>0</v>
      </c>
      <c r="Y56" s="61"/>
      <c r="Z56" s="61"/>
      <c r="AA56" s="61"/>
    </row>
    <row r="57" spans="2:27" s="59" customFormat="1" x14ac:dyDescent="0.2">
      <c r="B57" s="59" t="s">
        <v>47</v>
      </c>
      <c r="C57" s="59" t="s">
        <v>36</v>
      </c>
      <c r="E57" s="67" t="b">
        <f>FALSE</f>
        <v>0</v>
      </c>
      <c r="F57" s="67" t="b">
        <f>(F29+F33)=0</f>
        <v>0</v>
      </c>
      <c r="G57" s="67" t="b">
        <f t="shared" ref="G57:W57" si="53">(G29+G33)=0</f>
        <v>0</v>
      </c>
      <c r="H57" s="67" t="b">
        <f t="shared" si="53"/>
        <v>0</v>
      </c>
      <c r="I57" s="67" t="b">
        <f t="shared" si="53"/>
        <v>0</v>
      </c>
      <c r="J57" s="67" t="b">
        <f t="shared" si="53"/>
        <v>1</v>
      </c>
      <c r="K57" s="67" t="b">
        <f t="shared" si="53"/>
        <v>0</v>
      </c>
      <c r="L57" s="67" t="b">
        <f t="shared" si="53"/>
        <v>0</v>
      </c>
      <c r="M57" s="111" t="b">
        <f t="shared" si="53"/>
        <v>0</v>
      </c>
      <c r="N57" s="111" t="b">
        <f t="shared" si="53"/>
        <v>0</v>
      </c>
      <c r="O57" s="111" t="b">
        <f t="shared" si="53"/>
        <v>0</v>
      </c>
      <c r="P57" s="111" t="b">
        <f t="shared" si="53"/>
        <v>0</v>
      </c>
      <c r="Q57" s="111" t="b">
        <f t="shared" si="53"/>
        <v>0</v>
      </c>
      <c r="R57" s="111" t="b">
        <f t="shared" si="53"/>
        <v>0</v>
      </c>
      <c r="S57" s="111" t="b">
        <f t="shared" si="53"/>
        <v>0</v>
      </c>
      <c r="T57" s="111" t="b">
        <f t="shared" si="53"/>
        <v>0</v>
      </c>
      <c r="U57" s="111" t="b">
        <f t="shared" si="53"/>
        <v>0</v>
      </c>
      <c r="V57" s="111" t="b">
        <f t="shared" si="53"/>
        <v>1</v>
      </c>
      <c r="W57" s="111" t="b">
        <f t="shared" si="53"/>
        <v>1</v>
      </c>
      <c r="Y57" s="61"/>
      <c r="Z57" s="61"/>
      <c r="AA57" s="61"/>
    </row>
    <row r="58" spans="2:27" s="59" customFormat="1" x14ac:dyDescent="0.2">
      <c r="B58" s="59" t="s">
        <v>36</v>
      </c>
      <c r="C58" s="59" t="s">
        <v>36</v>
      </c>
      <c r="E58" s="67" t="b">
        <f>FALSE</f>
        <v>0</v>
      </c>
      <c r="F58" s="67" t="b">
        <f>FALSE</f>
        <v>0</v>
      </c>
      <c r="G58" s="67" t="b">
        <f>FALSE</f>
        <v>0</v>
      </c>
      <c r="H58" s="67" t="b">
        <f>FALSE</f>
        <v>0</v>
      </c>
      <c r="I58" s="67" t="b">
        <f>FALSE</f>
        <v>0</v>
      </c>
      <c r="J58" s="67" t="b">
        <f>FALSE</f>
        <v>0</v>
      </c>
      <c r="K58" s="67" t="b">
        <f>FALSE</f>
        <v>0</v>
      </c>
      <c r="L58" s="67" t="b">
        <f>FALSE</f>
        <v>0</v>
      </c>
      <c r="M58" s="111" t="b">
        <f>FALSE</f>
        <v>0</v>
      </c>
      <c r="N58" s="111" t="b">
        <f>FALSE</f>
        <v>0</v>
      </c>
      <c r="O58" s="111" t="b">
        <f>FALSE</f>
        <v>0</v>
      </c>
      <c r="P58" s="111" t="b">
        <f>FALSE</f>
        <v>0</v>
      </c>
      <c r="Q58" s="111" t="b">
        <f>FALSE</f>
        <v>0</v>
      </c>
      <c r="R58" s="111" t="b">
        <f>FALSE</f>
        <v>0</v>
      </c>
      <c r="S58" s="111" t="b">
        <f>FALSE</f>
        <v>0</v>
      </c>
      <c r="T58" s="111" t="b">
        <f>FALSE</f>
        <v>0</v>
      </c>
      <c r="U58" s="111" t="b">
        <f>FALSE</f>
        <v>0</v>
      </c>
      <c r="V58" s="111" t="b">
        <f>FALSE</f>
        <v>0</v>
      </c>
      <c r="W58" s="111" t="b">
        <f>FALSE</f>
        <v>0</v>
      </c>
      <c r="Y58" s="61"/>
      <c r="Z58" s="61"/>
      <c r="AA58" s="61"/>
    </row>
    <row r="59" spans="2:27" s="59" customFormat="1" x14ac:dyDescent="0.2">
      <c r="B59" s="65"/>
      <c r="E59" s="68"/>
      <c r="Y59" s="61"/>
      <c r="Z59" s="61"/>
      <c r="AA59" s="61"/>
    </row>
    <row r="60" spans="2:27" s="59" customFormat="1" ht="38.25" x14ac:dyDescent="0.2">
      <c r="B60" s="66" t="s">
        <v>102</v>
      </c>
      <c r="C60" s="62" t="s">
        <v>0</v>
      </c>
      <c r="E60" s="68" t="str">
        <f>""</f>
        <v/>
      </c>
      <c r="F60" s="59">
        <f>IF(F29=1,MAX(F6,E21),"")</f>
        <v>-25</v>
      </c>
      <c r="G60" s="59">
        <f t="shared" ref="G60:W60" si="54">IF(G29=1,G6,"")</f>
        <v>-25</v>
      </c>
      <c r="H60" s="59">
        <f t="shared" si="54"/>
        <v>-25</v>
      </c>
      <c r="I60" s="59">
        <f t="shared" si="54"/>
        <v>20</v>
      </c>
      <c r="J60" s="59" t="str">
        <f t="shared" si="54"/>
        <v/>
      </c>
      <c r="K60" s="59">
        <f t="shared" si="54"/>
        <v>5.6834135234056342</v>
      </c>
      <c r="L60" s="59">
        <f t="shared" si="54"/>
        <v>8</v>
      </c>
      <c r="M60" s="59">
        <f t="shared" si="54"/>
        <v>8</v>
      </c>
      <c r="N60" s="59">
        <f t="shared" si="54"/>
        <v>20</v>
      </c>
      <c r="O60" s="59">
        <f t="shared" si="54"/>
        <v>35</v>
      </c>
      <c r="P60" s="59">
        <f t="shared" si="54"/>
        <v>16</v>
      </c>
      <c r="Q60" s="59">
        <f t="shared" si="54"/>
        <v>16</v>
      </c>
      <c r="R60" s="59">
        <f>IF(R29=1,R6,"")</f>
        <v>20</v>
      </c>
      <c r="S60" s="59">
        <f>IF(S29=1,S6,"")</f>
        <v>20</v>
      </c>
      <c r="T60" s="59">
        <f t="shared" si="54"/>
        <v>20</v>
      </c>
      <c r="U60" s="59">
        <f>IF(U29=1,U6,"")</f>
        <v>20</v>
      </c>
      <c r="V60" s="59" t="str">
        <f>IF(V29=1,V6,"")</f>
        <v/>
      </c>
      <c r="W60" s="59" t="str">
        <f t="shared" si="54"/>
        <v/>
      </c>
      <c r="Y60" s="61"/>
      <c r="Z60" s="61"/>
      <c r="AA60" s="61"/>
    </row>
    <row r="61" spans="2:27" s="59" customFormat="1" x14ac:dyDescent="0.2">
      <c r="C61" s="63" t="s">
        <v>1</v>
      </c>
      <c r="E61" s="68" t="str">
        <f>""</f>
        <v/>
      </c>
      <c r="F61" s="59">
        <f>IF(F30=1,F7/100,"")</f>
        <v>0.2</v>
      </c>
      <c r="G61" s="59">
        <f t="shared" ref="G61:W61" si="55">IF(G30=1,G7/100,"")</f>
        <v>0.2</v>
      </c>
      <c r="H61" s="59">
        <f t="shared" si="55"/>
        <v>0.2</v>
      </c>
      <c r="I61" s="59">
        <f t="shared" si="55"/>
        <v>0.6</v>
      </c>
      <c r="J61" s="59" t="str">
        <f t="shared" si="55"/>
        <v/>
      </c>
      <c r="K61" s="59">
        <f t="shared" si="55"/>
        <v>0.01</v>
      </c>
      <c r="L61" s="59" t="str">
        <f t="shared" si="55"/>
        <v/>
      </c>
      <c r="M61" s="59">
        <f t="shared" si="55"/>
        <v>8.5239662554749916E-5</v>
      </c>
      <c r="N61" s="59" t="str">
        <f t="shared" si="55"/>
        <v/>
      </c>
      <c r="O61" s="59">
        <f t="shared" si="55"/>
        <v>0.4</v>
      </c>
      <c r="P61" s="59" t="str">
        <f t="shared" si="55"/>
        <v/>
      </c>
      <c r="Q61" s="59">
        <f t="shared" si="55"/>
        <v>7.5771330367416147E-3</v>
      </c>
      <c r="R61" s="59" t="str">
        <f>IF(R30=1,R7/100,"")</f>
        <v/>
      </c>
      <c r="S61" s="59">
        <f>IF(S30=1,S7/100,"")</f>
        <v>5.889954581965501E-5</v>
      </c>
      <c r="T61" s="59">
        <f t="shared" si="55"/>
        <v>5.8899545819655011E-7</v>
      </c>
      <c r="U61" s="59">
        <f>IF(U30=1,U7/100,"")</f>
        <v>5.889954581965502E-9</v>
      </c>
      <c r="V61" s="59" t="str">
        <f>IF(V30=1,V7/100,"")</f>
        <v/>
      </c>
      <c r="W61" s="59" t="str">
        <f t="shared" si="55"/>
        <v/>
      </c>
      <c r="Y61" s="61"/>
      <c r="Z61" s="61"/>
      <c r="AA61" s="61"/>
    </row>
    <row r="62" spans="2:27" s="59" customFormat="1" x14ac:dyDescent="0.2">
      <c r="C62" s="62" t="s">
        <v>2</v>
      </c>
      <c r="E62" s="68" t="str">
        <f>""</f>
        <v/>
      </c>
      <c r="F62" s="59" t="str">
        <f>IF(F31=1,F8,"")</f>
        <v/>
      </c>
      <c r="G62" s="59" t="str">
        <f t="shared" ref="G62:W62" si="56">IF(G31=1,G8,"")</f>
        <v/>
      </c>
      <c r="H62" s="59" t="str">
        <f t="shared" si="56"/>
        <v/>
      </c>
      <c r="I62" s="59" t="str">
        <f t="shared" si="56"/>
        <v/>
      </c>
      <c r="J62" s="59" t="str">
        <f t="shared" si="56"/>
        <v/>
      </c>
      <c r="K62" s="59" t="str">
        <f t="shared" si="56"/>
        <v/>
      </c>
      <c r="L62" s="59" t="str">
        <f t="shared" si="56"/>
        <v/>
      </c>
      <c r="M62" s="59" t="str">
        <f t="shared" si="56"/>
        <v/>
      </c>
      <c r="N62" s="59" t="str">
        <f t="shared" si="56"/>
        <v/>
      </c>
      <c r="O62" s="59" t="str">
        <f t="shared" si="56"/>
        <v/>
      </c>
      <c r="P62" s="59" t="str">
        <f t="shared" si="56"/>
        <v/>
      </c>
      <c r="Q62" s="59" t="str">
        <f t="shared" si="56"/>
        <v/>
      </c>
      <c r="R62" s="59" t="str">
        <f>IF(R31=1,R8,"")</f>
        <v/>
      </c>
      <c r="S62" s="59" t="str">
        <f>IF(S31=1,S8,"")</f>
        <v/>
      </c>
      <c r="T62" s="59" t="str">
        <f t="shared" si="56"/>
        <v/>
      </c>
      <c r="U62" s="59" t="str">
        <f>IF(U31=1,U8,"")</f>
        <v/>
      </c>
      <c r="V62" s="59" t="str">
        <f>IF(V31=1,V8,"")</f>
        <v/>
      </c>
      <c r="W62" s="59" t="str">
        <f t="shared" si="56"/>
        <v/>
      </c>
      <c r="Y62" s="61"/>
      <c r="Z62" s="61"/>
      <c r="AA62" s="61"/>
    </row>
    <row r="63" spans="2:27" s="59" customFormat="1" x14ac:dyDescent="0.2">
      <c r="C63" s="62" t="s">
        <v>3</v>
      </c>
      <c r="E63" s="68" t="str">
        <f>""</f>
        <v/>
      </c>
      <c r="F63" s="70">
        <f>E19</f>
        <v>-25.045776376404888</v>
      </c>
      <c r="G63" s="70">
        <f t="shared" ref="G63:W63" si="57">F19</f>
        <v>-25.045776376404888</v>
      </c>
      <c r="H63" s="70">
        <f t="shared" si="57"/>
        <v>-25.045776376404888</v>
      </c>
      <c r="I63" s="70">
        <f t="shared" si="57"/>
        <v>-25.045776376404888</v>
      </c>
      <c r="J63" s="70">
        <f t="shared" si="57"/>
        <v>43.997460900850115</v>
      </c>
      <c r="K63" s="70">
        <f t="shared" si="57"/>
        <v>20.985472762000462</v>
      </c>
      <c r="L63" s="70">
        <f t="shared" si="57"/>
        <v>5.8912415889965919</v>
      </c>
      <c r="M63" s="70">
        <f t="shared" si="57"/>
        <v>8.2312529755067274</v>
      </c>
      <c r="N63" s="70">
        <f t="shared" si="57"/>
        <v>8.0815123850840358</v>
      </c>
      <c r="O63" s="70">
        <f t="shared" si="57"/>
        <v>20.201525802431078</v>
      </c>
      <c r="P63" s="70">
        <f t="shared" si="57"/>
        <v>74.290856107090491</v>
      </c>
      <c r="Q63" s="70">
        <f t="shared" si="57"/>
        <v>39.446082331350226</v>
      </c>
      <c r="R63" s="70">
        <f t="shared" si="57"/>
        <v>16.389500856670242</v>
      </c>
      <c r="S63" s="70">
        <f t="shared" si="57"/>
        <v>20.430175549795479</v>
      </c>
      <c r="T63" s="70" t="e">
        <f>#REF!</f>
        <v>#REF!</v>
      </c>
      <c r="U63" s="70">
        <f t="shared" si="57"/>
        <v>20.200023014201033</v>
      </c>
      <c r="V63" s="70">
        <f t="shared" si="57"/>
        <v>20.200000230142006</v>
      </c>
      <c r="W63" s="70" t="str">
        <f t="shared" si="57"/>
        <v/>
      </c>
      <c r="Y63" s="61"/>
      <c r="Z63" s="61"/>
      <c r="AA63" s="61"/>
    </row>
    <row r="64" spans="2:27" s="59" customFormat="1" x14ac:dyDescent="0.2">
      <c r="B64" s="59" t="s">
        <v>105</v>
      </c>
      <c r="C64" s="59" t="s">
        <v>36</v>
      </c>
      <c r="E64" s="67" t="b">
        <f>TRUE</f>
        <v>1</v>
      </c>
      <c r="F64" s="67" t="b">
        <f>OR(F33=1,F32=1,(F29+F30+F31)&gt;=2)</f>
        <v>1</v>
      </c>
      <c r="G64" s="67" t="b">
        <f t="shared" ref="G64:W64" si="58">OR(G33=1,G32=1,(G29+G30+G31)&gt;=2)</f>
        <v>1</v>
      </c>
      <c r="H64" s="67" t="b">
        <f t="shared" si="58"/>
        <v>1</v>
      </c>
      <c r="I64" s="67" t="b">
        <f t="shared" si="58"/>
        <v>1</v>
      </c>
      <c r="J64" s="67" t="b">
        <f t="shared" si="58"/>
        <v>0</v>
      </c>
      <c r="K64" s="67" t="b">
        <f t="shared" si="58"/>
        <v>1</v>
      </c>
      <c r="L64" s="67" t="b">
        <f t="shared" si="58"/>
        <v>0</v>
      </c>
      <c r="M64" s="111" t="b">
        <f t="shared" si="58"/>
        <v>1</v>
      </c>
      <c r="N64" s="111" t="b">
        <f t="shared" si="58"/>
        <v>0</v>
      </c>
      <c r="O64" s="111" t="b">
        <f t="shared" si="58"/>
        <v>1</v>
      </c>
      <c r="P64" s="111" t="b">
        <f t="shared" si="58"/>
        <v>0</v>
      </c>
      <c r="Q64" s="111" t="b">
        <f t="shared" si="58"/>
        <v>1</v>
      </c>
      <c r="R64" s="111" t="b">
        <f t="shared" si="58"/>
        <v>0</v>
      </c>
      <c r="S64" s="111" t="b">
        <f t="shared" si="58"/>
        <v>1</v>
      </c>
      <c r="T64" s="111" t="b">
        <f t="shared" si="58"/>
        <v>1</v>
      </c>
      <c r="U64" s="111" t="b">
        <f t="shared" si="58"/>
        <v>1</v>
      </c>
      <c r="V64" s="111" t="b">
        <f t="shared" si="58"/>
        <v>0</v>
      </c>
      <c r="W64" s="111" t="b">
        <f t="shared" si="58"/>
        <v>0</v>
      </c>
      <c r="Y64" s="61"/>
      <c r="Z64" s="61"/>
      <c r="AA64" s="61"/>
    </row>
    <row r="65" spans="2:27" s="59" customFormat="1" x14ac:dyDescent="0.2">
      <c r="B65" s="59" t="s">
        <v>47</v>
      </c>
      <c r="C65" s="59" t="s">
        <v>36</v>
      </c>
      <c r="E65" s="67" t="b">
        <f>FALSE</f>
        <v>0</v>
      </c>
      <c r="F65" s="67" t="b">
        <f>F30+F31+F29=0</f>
        <v>0</v>
      </c>
      <c r="G65" s="67" t="b">
        <f t="shared" ref="G65:W65" si="59">G30+G31+G29=0</f>
        <v>0</v>
      </c>
      <c r="H65" s="67" t="b">
        <f t="shared" si="59"/>
        <v>0</v>
      </c>
      <c r="I65" s="67" t="b">
        <f t="shared" si="59"/>
        <v>0</v>
      </c>
      <c r="J65" s="67" t="b">
        <f t="shared" si="59"/>
        <v>1</v>
      </c>
      <c r="K65" s="67" t="b">
        <f t="shared" si="59"/>
        <v>0</v>
      </c>
      <c r="L65" s="67" t="b">
        <f t="shared" si="59"/>
        <v>0</v>
      </c>
      <c r="M65" s="111" t="b">
        <f t="shared" si="59"/>
        <v>0</v>
      </c>
      <c r="N65" s="111" t="b">
        <f t="shared" si="59"/>
        <v>0</v>
      </c>
      <c r="O65" s="111" t="b">
        <f t="shared" si="59"/>
        <v>0</v>
      </c>
      <c r="P65" s="111" t="b">
        <f t="shared" si="59"/>
        <v>0</v>
      </c>
      <c r="Q65" s="111" t="b">
        <f t="shared" si="59"/>
        <v>0</v>
      </c>
      <c r="R65" s="111" t="b">
        <f t="shared" si="59"/>
        <v>0</v>
      </c>
      <c r="S65" s="111" t="b">
        <f t="shared" si="59"/>
        <v>0</v>
      </c>
      <c r="T65" s="111" t="b">
        <f t="shared" si="59"/>
        <v>0</v>
      </c>
      <c r="U65" s="111" t="b">
        <f t="shared" si="59"/>
        <v>0</v>
      </c>
      <c r="V65" s="111" t="b">
        <f t="shared" si="59"/>
        <v>1</v>
      </c>
      <c r="W65" s="111" t="b">
        <f t="shared" si="59"/>
        <v>1</v>
      </c>
      <c r="Y65" s="61"/>
      <c r="Z65" s="61"/>
      <c r="AA65" s="61"/>
    </row>
    <row r="66" spans="2:27" s="59" customFormat="1" x14ac:dyDescent="0.2">
      <c r="B66" s="59" t="s">
        <v>36</v>
      </c>
      <c r="C66" s="59" t="s">
        <v>36</v>
      </c>
      <c r="E66" s="67" t="b">
        <f>FALSE</f>
        <v>0</v>
      </c>
      <c r="F66" s="67" t="b">
        <f>FALSE</f>
        <v>0</v>
      </c>
      <c r="G66" s="67" t="b">
        <f>FALSE</f>
        <v>0</v>
      </c>
      <c r="H66" s="67" t="b">
        <f>FALSE</f>
        <v>0</v>
      </c>
      <c r="I66" s="67" t="b">
        <f>FALSE</f>
        <v>0</v>
      </c>
      <c r="J66" s="67" t="b">
        <f>FALSE</f>
        <v>0</v>
      </c>
      <c r="K66" s="67" t="b">
        <f>FALSE</f>
        <v>0</v>
      </c>
      <c r="L66" s="67" t="b">
        <f>FALSE</f>
        <v>0</v>
      </c>
      <c r="M66" s="111" t="b">
        <f>FALSE</f>
        <v>0</v>
      </c>
      <c r="N66" s="111" t="b">
        <f>FALSE</f>
        <v>0</v>
      </c>
      <c r="O66" s="111" t="b">
        <f>FALSE</f>
        <v>0</v>
      </c>
      <c r="P66" s="111" t="b">
        <f>FALSE</f>
        <v>0</v>
      </c>
      <c r="Q66" s="111" t="b">
        <f>FALSE</f>
        <v>0</v>
      </c>
      <c r="R66" s="111" t="b">
        <f>FALSE</f>
        <v>0</v>
      </c>
      <c r="S66" s="111" t="b">
        <f>FALSE</f>
        <v>0</v>
      </c>
      <c r="T66" s="111" t="b">
        <f>FALSE</f>
        <v>0</v>
      </c>
      <c r="U66" s="111" t="b">
        <f>FALSE</f>
        <v>0</v>
      </c>
      <c r="V66" s="111" t="b">
        <f>FALSE</f>
        <v>0</v>
      </c>
      <c r="W66" s="111" t="b">
        <f>FALSE</f>
        <v>0</v>
      </c>
      <c r="Y66" s="61"/>
      <c r="Z66" s="61"/>
      <c r="AA66" s="61"/>
    </row>
    <row r="67" spans="2:27" s="59" customFormat="1" x14ac:dyDescent="0.2">
      <c r="B67" s="65"/>
      <c r="E67" s="68"/>
      <c r="Y67" s="61"/>
      <c r="Z67" s="61"/>
      <c r="AA67" s="61"/>
    </row>
    <row r="68" spans="2:27" s="59" customFormat="1" ht="25.5" x14ac:dyDescent="0.2">
      <c r="B68" s="66" t="s">
        <v>98</v>
      </c>
      <c r="C68" s="62" t="s">
        <v>0</v>
      </c>
      <c r="E68" s="68" t="str">
        <f>""</f>
        <v/>
      </c>
      <c r="F68" s="70">
        <f>E16</f>
        <v>-25</v>
      </c>
      <c r="G68" s="70">
        <f t="shared" ref="G68:W68" si="60">F16</f>
        <v>-25</v>
      </c>
      <c r="H68" s="70">
        <f t="shared" si="60"/>
        <v>-25</v>
      </c>
      <c r="I68" s="70">
        <f t="shared" si="60"/>
        <v>-25</v>
      </c>
      <c r="J68" s="70">
        <f t="shared" si="60"/>
        <v>20</v>
      </c>
      <c r="K68" s="70">
        <f t="shared" si="60"/>
        <v>5.6834135234056342</v>
      </c>
      <c r="L68" s="70">
        <f t="shared" si="60"/>
        <v>5.6834135234056342</v>
      </c>
      <c r="M68" s="70">
        <f t="shared" si="60"/>
        <v>8</v>
      </c>
      <c r="N68" s="70">
        <f t="shared" si="60"/>
        <v>8</v>
      </c>
      <c r="O68" s="70">
        <f t="shared" si="60"/>
        <v>20</v>
      </c>
      <c r="P68" s="70">
        <f t="shared" si="60"/>
        <v>35</v>
      </c>
      <c r="Q68" s="70">
        <f t="shared" si="60"/>
        <v>16</v>
      </c>
      <c r="R68" s="70">
        <f t="shared" si="60"/>
        <v>16</v>
      </c>
      <c r="S68" s="70">
        <f t="shared" si="60"/>
        <v>20</v>
      </c>
      <c r="T68" s="70" t="e">
        <f>#REF!</f>
        <v>#REF!</v>
      </c>
      <c r="U68" s="70">
        <f t="shared" si="60"/>
        <v>20</v>
      </c>
      <c r="V68" s="70">
        <f t="shared" si="60"/>
        <v>20</v>
      </c>
      <c r="W68" s="70" t="str">
        <f t="shared" si="60"/>
        <v/>
      </c>
      <c r="Y68" s="61"/>
      <c r="Z68" s="61"/>
      <c r="AA68" s="61"/>
    </row>
    <row r="69" spans="2:27" s="59" customFormat="1" x14ac:dyDescent="0.2">
      <c r="C69" s="63" t="s">
        <v>1</v>
      </c>
      <c r="E69" s="68" t="str">
        <f>""</f>
        <v/>
      </c>
      <c r="F69" s="59">
        <f>IF(F30=1,F7/100,"")</f>
        <v>0.2</v>
      </c>
      <c r="G69" s="59">
        <f t="shared" ref="G69:W69" si="61">IF(G30=1,G7/100,"")</f>
        <v>0.2</v>
      </c>
      <c r="H69" s="59">
        <f t="shared" si="61"/>
        <v>0.2</v>
      </c>
      <c r="I69" s="59">
        <f t="shared" si="61"/>
        <v>0.6</v>
      </c>
      <c r="J69" s="59" t="str">
        <f t="shared" si="61"/>
        <v/>
      </c>
      <c r="K69" s="59">
        <f t="shared" si="61"/>
        <v>0.01</v>
      </c>
      <c r="L69" s="59" t="str">
        <f t="shared" si="61"/>
        <v/>
      </c>
      <c r="M69" s="59">
        <f t="shared" si="61"/>
        <v>8.5239662554749916E-5</v>
      </c>
      <c r="N69" s="59" t="str">
        <f t="shared" si="61"/>
        <v/>
      </c>
      <c r="O69" s="59">
        <f t="shared" si="61"/>
        <v>0.4</v>
      </c>
      <c r="P69" s="59" t="str">
        <f t="shared" si="61"/>
        <v/>
      </c>
      <c r="Q69" s="59">
        <f t="shared" si="61"/>
        <v>7.5771330367416147E-3</v>
      </c>
      <c r="R69" s="59" t="str">
        <f>IF(R30=1,R7/100,"")</f>
        <v/>
      </c>
      <c r="S69" s="59">
        <f>IF(S30=1,S7/100,"")</f>
        <v>5.889954581965501E-5</v>
      </c>
      <c r="T69" s="59">
        <f t="shared" si="61"/>
        <v>5.8899545819655011E-7</v>
      </c>
      <c r="U69" s="59">
        <f>IF(U30=1,U7/100,"")</f>
        <v>5.889954581965502E-9</v>
      </c>
      <c r="V69" s="59" t="str">
        <f>IF(V30=1,V7/100,"")</f>
        <v/>
      </c>
      <c r="W69" s="59" t="str">
        <f t="shared" si="61"/>
        <v/>
      </c>
      <c r="Y69" s="61"/>
      <c r="Z69" s="61"/>
      <c r="AA69" s="61"/>
    </row>
    <row r="70" spans="2:27" s="59" customFormat="1" x14ac:dyDescent="0.2">
      <c r="C70" s="62" t="s">
        <v>2</v>
      </c>
      <c r="E70" s="68" t="str">
        <f>""</f>
        <v/>
      </c>
      <c r="F70" s="59" t="str">
        <f>IF(F31=1,F8,"")</f>
        <v/>
      </c>
      <c r="G70" s="59" t="str">
        <f t="shared" ref="G70:W70" si="62">IF(G31=1,G8,"")</f>
        <v/>
      </c>
      <c r="H70" s="59" t="str">
        <f t="shared" si="62"/>
        <v/>
      </c>
      <c r="I70" s="59" t="str">
        <f t="shared" si="62"/>
        <v/>
      </c>
      <c r="J70" s="59" t="str">
        <f t="shared" si="62"/>
        <v/>
      </c>
      <c r="K70" s="59" t="str">
        <f t="shared" si="62"/>
        <v/>
      </c>
      <c r="L70" s="59" t="str">
        <f t="shared" si="62"/>
        <v/>
      </c>
      <c r="M70" s="59" t="str">
        <f t="shared" si="62"/>
        <v/>
      </c>
      <c r="N70" s="59" t="str">
        <f t="shared" si="62"/>
        <v/>
      </c>
      <c r="O70" s="59" t="str">
        <f t="shared" si="62"/>
        <v/>
      </c>
      <c r="P70" s="59" t="str">
        <f t="shared" si="62"/>
        <v/>
      </c>
      <c r="Q70" s="59" t="str">
        <f t="shared" si="62"/>
        <v/>
      </c>
      <c r="R70" s="59" t="str">
        <f>IF(R31=1,R8,"")</f>
        <v/>
      </c>
      <c r="S70" s="59" t="str">
        <f>IF(S31=1,S8,"")</f>
        <v/>
      </c>
      <c r="T70" s="59" t="str">
        <f t="shared" si="62"/>
        <v/>
      </c>
      <c r="U70" s="59" t="str">
        <f>IF(U31=1,U8,"")</f>
        <v/>
      </c>
      <c r="V70" s="59" t="str">
        <f>IF(V31=1,V8,"")</f>
        <v/>
      </c>
      <c r="W70" s="59" t="str">
        <f t="shared" si="62"/>
        <v/>
      </c>
      <c r="Y70" s="61"/>
      <c r="Z70" s="61"/>
      <c r="AA70" s="61"/>
    </row>
    <row r="71" spans="2:27" s="59" customFormat="1" x14ac:dyDescent="0.2">
      <c r="C71" s="62" t="s">
        <v>3</v>
      </c>
      <c r="E71" s="68" t="str">
        <f>""</f>
        <v/>
      </c>
      <c r="F71" s="59" t="str">
        <f>""</f>
        <v/>
      </c>
      <c r="G71" s="59" t="str">
        <f>""</f>
        <v/>
      </c>
      <c r="H71" s="59" t="str">
        <f>""</f>
        <v/>
      </c>
      <c r="I71" s="59" t="str">
        <f>""</f>
        <v/>
      </c>
      <c r="J71" s="59" t="str">
        <f>""</f>
        <v/>
      </c>
      <c r="K71" s="59" t="str">
        <f>""</f>
        <v/>
      </c>
      <c r="L71" s="59" t="str">
        <f>""</f>
        <v/>
      </c>
      <c r="M71" s="59" t="str">
        <f>""</f>
        <v/>
      </c>
      <c r="N71" s="59" t="str">
        <f>""</f>
        <v/>
      </c>
      <c r="O71" s="59" t="str">
        <f>""</f>
        <v/>
      </c>
      <c r="P71" s="59" t="str">
        <f>""</f>
        <v/>
      </c>
      <c r="Q71" s="59" t="str">
        <f>""</f>
        <v/>
      </c>
      <c r="R71" s="59" t="str">
        <f>""</f>
        <v/>
      </c>
      <c r="S71" s="59" t="str">
        <f>""</f>
        <v/>
      </c>
      <c r="T71" s="59" t="str">
        <f>""</f>
        <v/>
      </c>
      <c r="U71" s="59" t="str">
        <f>""</f>
        <v/>
      </c>
      <c r="V71" s="59" t="str">
        <f>""</f>
        <v/>
      </c>
      <c r="W71" s="59" t="str">
        <f>""</f>
        <v/>
      </c>
      <c r="Y71" s="61"/>
      <c r="Z71" s="61"/>
      <c r="AA71" s="61"/>
    </row>
    <row r="72" spans="2:27" s="59" customFormat="1" x14ac:dyDescent="0.2">
      <c r="B72" s="59" t="s">
        <v>105</v>
      </c>
      <c r="C72" s="59" t="s">
        <v>36</v>
      </c>
      <c r="E72" s="67" t="b">
        <f>TRUE</f>
        <v>1</v>
      </c>
      <c r="F72" s="67" t="b">
        <f>OR(F29=1,(F30+F31)=2,F32=1,F33=1)</f>
        <v>1</v>
      </c>
      <c r="G72" s="67" t="b">
        <f t="shared" ref="G72:W72" si="63">OR(G29=1,(G30+G31)=2,G32=1,G33=1)</f>
        <v>1</v>
      </c>
      <c r="H72" s="67" t="b">
        <f t="shared" si="63"/>
        <v>1</v>
      </c>
      <c r="I72" s="67" t="b">
        <f t="shared" si="63"/>
        <v>1</v>
      </c>
      <c r="J72" s="67" t="b">
        <f t="shared" si="63"/>
        <v>0</v>
      </c>
      <c r="K72" s="67" t="b">
        <f t="shared" si="63"/>
        <v>1</v>
      </c>
      <c r="L72" s="67" t="b">
        <f t="shared" si="63"/>
        <v>1</v>
      </c>
      <c r="M72" s="111" t="b">
        <f t="shared" si="63"/>
        <v>1</v>
      </c>
      <c r="N72" s="111" t="b">
        <f t="shared" si="63"/>
        <v>1</v>
      </c>
      <c r="O72" s="111" t="b">
        <f t="shared" si="63"/>
        <v>1</v>
      </c>
      <c r="P72" s="111" t="b">
        <f t="shared" si="63"/>
        <v>1</v>
      </c>
      <c r="Q72" s="111" t="b">
        <f t="shared" si="63"/>
        <v>1</v>
      </c>
      <c r="R72" s="111" t="b">
        <f t="shared" si="63"/>
        <v>1</v>
      </c>
      <c r="S72" s="111" t="b">
        <f t="shared" si="63"/>
        <v>1</v>
      </c>
      <c r="T72" s="111" t="b">
        <f t="shared" si="63"/>
        <v>1</v>
      </c>
      <c r="U72" s="111" t="b">
        <f t="shared" si="63"/>
        <v>1</v>
      </c>
      <c r="V72" s="111" t="b">
        <f t="shared" si="63"/>
        <v>0</v>
      </c>
      <c r="W72" s="111" t="b">
        <f t="shared" si="63"/>
        <v>0</v>
      </c>
      <c r="Y72" s="61"/>
      <c r="Z72" s="61"/>
      <c r="AA72" s="61"/>
    </row>
    <row r="73" spans="2:27" s="59" customFormat="1" x14ac:dyDescent="0.2">
      <c r="B73" s="59" t="s">
        <v>47</v>
      </c>
      <c r="C73" s="59" t="s">
        <v>36</v>
      </c>
      <c r="E73" s="67" t="b">
        <f>FALSE</f>
        <v>0</v>
      </c>
      <c r="F73" s="67" t="b">
        <f>(F30+F31)=0</f>
        <v>0</v>
      </c>
      <c r="G73" s="67" t="b">
        <f t="shared" ref="G73:W73" si="64">(G30+G31)=0</f>
        <v>0</v>
      </c>
      <c r="H73" s="67" t="b">
        <f t="shared" si="64"/>
        <v>0</v>
      </c>
      <c r="I73" s="67" t="b">
        <f t="shared" si="64"/>
        <v>0</v>
      </c>
      <c r="J73" s="67" t="b">
        <f t="shared" si="64"/>
        <v>1</v>
      </c>
      <c r="K73" s="67" t="b">
        <f t="shared" si="64"/>
        <v>0</v>
      </c>
      <c r="L73" s="67" t="b">
        <f t="shared" si="64"/>
        <v>1</v>
      </c>
      <c r="M73" s="111" t="b">
        <f t="shared" si="64"/>
        <v>0</v>
      </c>
      <c r="N73" s="111" t="b">
        <f t="shared" si="64"/>
        <v>1</v>
      </c>
      <c r="O73" s="111" t="b">
        <f t="shared" si="64"/>
        <v>0</v>
      </c>
      <c r="P73" s="111" t="b">
        <f t="shared" si="64"/>
        <v>1</v>
      </c>
      <c r="Q73" s="111" t="b">
        <f t="shared" si="64"/>
        <v>0</v>
      </c>
      <c r="R73" s="111" t="b">
        <f t="shared" si="64"/>
        <v>1</v>
      </c>
      <c r="S73" s="111" t="b">
        <f t="shared" si="64"/>
        <v>0</v>
      </c>
      <c r="T73" s="111" t="b">
        <f t="shared" si="64"/>
        <v>0</v>
      </c>
      <c r="U73" s="111" t="b">
        <f t="shared" si="64"/>
        <v>0</v>
      </c>
      <c r="V73" s="111" t="b">
        <f t="shared" si="64"/>
        <v>1</v>
      </c>
      <c r="W73" s="111" t="b">
        <f t="shared" si="64"/>
        <v>1</v>
      </c>
      <c r="Y73" s="61"/>
      <c r="Z73" s="61"/>
      <c r="AA73" s="61"/>
    </row>
    <row r="74" spans="2:27" s="59" customFormat="1" x14ac:dyDescent="0.2">
      <c r="B74" s="59" t="s">
        <v>36</v>
      </c>
      <c r="C74" s="59" t="s">
        <v>36</v>
      </c>
      <c r="E74" s="67" t="b">
        <f>FALSE</f>
        <v>0</v>
      </c>
      <c r="F74" s="67" t="b">
        <f>FALSE</f>
        <v>0</v>
      </c>
      <c r="G74" s="67" t="b">
        <f>FALSE</f>
        <v>0</v>
      </c>
      <c r="H74" s="67" t="b">
        <f>FALSE</f>
        <v>0</v>
      </c>
      <c r="I74" s="67" t="b">
        <f>FALSE</f>
        <v>0</v>
      </c>
      <c r="J74" s="67" t="b">
        <f>FALSE</f>
        <v>0</v>
      </c>
      <c r="K74" s="67" t="b">
        <f>FALSE</f>
        <v>0</v>
      </c>
      <c r="L74" s="67" t="b">
        <f>FALSE</f>
        <v>0</v>
      </c>
      <c r="M74" s="111" t="b">
        <f>FALSE</f>
        <v>0</v>
      </c>
      <c r="N74" s="111" t="b">
        <f>FALSE</f>
        <v>0</v>
      </c>
      <c r="O74" s="111" t="b">
        <f>FALSE</f>
        <v>0</v>
      </c>
      <c r="P74" s="111" t="b">
        <f>FALSE</f>
        <v>0</v>
      </c>
      <c r="Q74" s="111" t="b">
        <f>FALSE</f>
        <v>0</v>
      </c>
      <c r="R74" s="111" t="b">
        <f>FALSE</f>
        <v>0</v>
      </c>
      <c r="S74" s="111" t="b">
        <f>FALSE</f>
        <v>0</v>
      </c>
      <c r="T74" s="111" t="b">
        <f>FALSE</f>
        <v>0</v>
      </c>
      <c r="U74" s="111" t="b">
        <f>FALSE</f>
        <v>0</v>
      </c>
      <c r="V74" s="111" t="b">
        <f>FALSE</f>
        <v>0</v>
      </c>
      <c r="W74" s="111" t="b">
        <f>FALSE</f>
        <v>0</v>
      </c>
      <c r="Y74" s="61"/>
      <c r="Z74" s="61"/>
      <c r="AA74" s="61"/>
    </row>
    <row r="75" spans="2:27" s="59" customFormat="1" x14ac:dyDescent="0.2">
      <c r="E75" s="68"/>
      <c r="Y75" s="61"/>
      <c r="Z75" s="61"/>
      <c r="AA75" s="61"/>
    </row>
    <row r="76" spans="2:27" s="59" customFormat="1" ht="25.5" x14ac:dyDescent="0.2">
      <c r="B76" s="66" t="s">
        <v>99</v>
      </c>
      <c r="C76" s="62" t="s">
        <v>0</v>
      </c>
      <c r="E76" s="68" t="str">
        <f>""</f>
        <v/>
      </c>
      <c r="F76" s="68" t="str">
        <f>""</f>
        <v/>
      </c>
      <c r="G76" s="59" t="str">
        <f>""</f>
        <v/>
      </c>
      <c r="H76" s="59" t="str">
        <f>""</f>
        <v/>
      </c>
      <c r="I76" s="59" t="str">
        <f>""</f>
        <v/>
      </c>
      <c r="J76" s="59" t="str">
        <f>""</f>
        <v/>
      </c>
      <c r="K76" s="59" t="str">
        <f>""</f>
        <v/>
      </c>
      <c r="L76" s="59" t="str">
        <f>""</f>
        <v/>
      </c>
      <c r="M76" s="59" t="str">
        <f>""</f>
        <v/>
      </c>
      <c r="N76" s="59" t="str">
        <f>""</f>
        <v/>
      </c>
      <c r="O76" s="59" t="str">
        <f>""</f>
        <v/>
      </c>
      <c r="P76" s="59" t="str">
        <f>""</f>
        <v/>
      </c>
      <c r="Q76" s="59" t="str">
        <f>""</f>
        <v/>
      </c>
      <c r="R76" s="59" t="str">
        <f>""</f>
        <v/>
      </c>
      <c r="S76" s="59" t="str">
        <f>""</f>
        <v/>
      </c>
      <c r="T76" s="59" t="str">
        <f>""</f>
        <v/>
      </c>
      <c r="U76" s="59" t="str">
        <f>""</f>
        <v/>
      </c>
      <c r="V76" s="59" t="str">
        <f>""</f>
        <v/>
      </c>
      <c r="W76" s="59" t="str">
        <f>""</f>
        <v/>
      </c>
      <c r="Y76" s="61"/>
      <c r="Z76" s="61"/>
      <c r="AA76" s="61"/>
    </row>
    <row r="77" spans="2:27" s="59" customFormat="1" x14ac:dyDescent="0.2">
      <c r="C77" s="63" t="s">
        <v>1</v>
      </c>
      <c r="E77" s="68" t="str">
        <f>""</f>
        <v/>
      </c>
      <c r="F77" s="68" t="str">
        <f>""</f>
        <v/>
      </c>
      <c r="G77" s="59" t="str">
        <f>""</f>
        <v/>
      </c>
      <c r="H77" s="59" t="str">
        <f>""</f>
        <v/>
      </c>
      <c r="I77" s="59" t="str">
        <f>""</f>
        <v/>
      </c>
      <c r="J77" s="59" t="str">
        <f>""</f>
        <v/>
      </c>
      <c r="K77" s="59" t="str">
        <f>""</f>
        <v/>
      </c>
      <c r="L77" s="59" t="str">
        <f>""</f>
        <v/>
      </c>
      <c r="M77" s="59" t="str">
        <f>""</f>
        <v/>
      </c>
      <c r="N77" s="59" t="str">
        <f>""</f>
        <v/>
      </c>
      <c r="O77" s="59" t="str">
        <f>""</f>
        <v/>
      </c>
      <c r="P77" s="59" t="str">
        <f>""</f>
        <v/>
      </c>
      <c r="Q77" s="59" t="str">
        <f>""</f>
        <v/>
      </c>
      <c r="R77" s="59" t="str">
        <f>""</f>
        <v/>
      </c>
      <c r="S77" s="59" t="str">
        <f>""</f>
        <v/>
      </c>
      <c r="T77" s="59" t="str">
        <f>""</f>
        <v/>
      </c>
      <c r="U77" s="59" t="str">
        <f>""</f>
        <v/>
      </c>
      <c r="V77" s="59" t="str">
        <f>""</f>
        <v/>
      </c>
      <c r="W77" s="59" t="str">
        <f>""</f>
        <v/>
      </c>
      <c r="Y77" s="61"/>
      <c r="Z77" s="61"/>
      <c r="AA77" s="61"/>
    </row>
    <row r="78" spans="2:27" s="59" customFormat="1" x14ac:dyDescent="0.2">
      <c r="C78" s="62" t="s">
        <v>2</v>
      </c>
      <c r="E78" s="68" t="str">
        <f>""</f>
        <v/>
      </c>
      <c r="F78" s="68" t="str">
        <f>""</f>
        <v/>
      </c>
      <c r="G78" s="67">
        <f>(E18*E35+F35*F18)/(E35+F35)</f>
        <v>8.3203757830561539E-2</v>
      </c>
      <c r="H78" s="67">
        <f t="shared" ref="H78:W78" si="65">(F18*F35+G35*G18)/(F35+G35)</f>
        <v>8.3203757830561539E-2</v>
      </c>
      <c r="I78" s="67">
        <f t="shared" si="65"/>
        <v>8.3203757830561539E-2</v>
      </c>
      <c r="J78" s="67">
        <f t="shared" si="65"/>
        <v>6.2782167914041143</v>
      </c>
      <c r="K78" s="67">
        <f t="shared" si="65"/>
        <v>7.3922865110125224</v>
      </c>
      <c r="L78" s="67">
        <f t="shared" si="65"/>
        <v>3.0650573126121876</v>
      </c>
      <c r="M78" s="111">
        <f t="shared" si="65"/>
        <v>6.011931233076586E-2</v>
      </c>
      <c r="N78" s="111">
        <f t="shared" si="65"/>
        <v>3.0360223975460499E-2</v>
      </c>
      <c r="O78" s="111">
        <f t="shared" si="65"/>
        <v>6.0113562015513496E-4</v>
      </c>
      <c r="P78" s="111">
        <f t="shared" si="65"/>
        <v>7.5878568023859883</v>
      </c>
      <c r="Q78" s="111">
        <f t="shared" si="65"/>
        <v>12.188166788589374</v>
      </c>
      <c r="R78" s="111">
        <f t="shared" si="65"/>
        <v>4.6459528339353522</v>
      </c>
      <c r="S78" s="111">
        <f t="shared" si="65"/>
        <v>9.0684559843778378E-2</v>
      </c>
      <c r="T78" s="111" t="e">
        <f>(S18*S35+#REF!*#REF!)/(S35+#REF!)</f>
        <v>#REF!</v>
      </c>
      <c r="U78" s="111" t="e">
        <f>(#REF!*#REF!+T35*T18)/(#REF!+T35)</f>
        <v>#REF!</v>
      </c>
      <c r="V78" s="111">
        <f t="shared" si="65"/>
        <v>4.5789029711080181E-6</v>
      </c>
      <c r="W78" s="111" t="e">
        <f t="shared" si="65"/>
        <v>#VALUE!</v>
      </c>
      <c r="Y78" s="61"/>
      <c r="Z78" s="61"/>
      <c r="AA78" s="61"/>
    </row>
    <row r="79" spans="2:27" s="59" customFormat="1" x14ac:dyDescent="0.2">
      <c r="C79" s="62" t="s">
        <v>3</v>
      </c>
      <c r="E79" s="68" t="str">
        <f>""</f>
        <v/>
      </c>
      <c r="F79" s="68" t="str">
        <f>""</f>
        <v/>
      </c>
      <c r="G79" s="67">
        <f>(E19*E35+F35*F19)/(E35+F35)</f>
        <v>-25.045776376404888</v>
      </c>
      <c r="H79" s="67">
        <f t="shared" ref="H79:W79" si="66">(F19*F35+G35*G19)/(F35+G35)</f>
        <v>-25.045776376404888</v>
      </c>
      <c r="I79" s="67">
        <f t="shared" si="66"/>
        <v>-25.045776376404888</v>
      </c>
      <c r="J79" s="67">
        <f t="shared" si="66"/>
        <v>20.98304847509845</v>
      </c>
      <c r="K79" s="67">
        <f t="shared" si="66"/>
        <v>30.190268017540326</v>
      </c>
      <c r="L79" s="67">
        <f t="shared" si="66"/>
        <v>13.438357175498528</v>
      </c>
      <c r="M79" s="111">
        <f t="shared" si="66"/>
        <v>7.0612472822516592</v>
      </c>
      <c r="N79" s="111">
        <f t="shared" si="66"/>
        <v>8.1563826802953834</v>
      </c>
      <c r="O79" s="111">
        <f t="shared" si="66"/>
        <v>14.141519093757557</v>
      </c>
      <c r="P79" s="111">
        <f t="shared" si="66"/>
        <v>47.246190954760785</v>
      </c>
      <c r="Q79" s="111">
        <f t="shared" si="66"/>
        <v>56.868469219220358</v>
      </c>
      <c r="R79" s="111">
        <f t="shared" si="66"/>
        <v>27.917791594010236</v>
      </c>
      <c r="S79" s="111">
        <f t="shared" si="66"/>
        <v>18.409838203232859</v>
      </c>
      <c r="T79" s="111" t="e">
        <f>(S19*S35+#REF!*#REF!)/(S35+#REF!)</f>
        <v>#REF!</v>
      </c>
      <c r="U79" s="111" t="e">
        <f>(#REF!*#REF!+T35*T19)/(#REF!+T35)</f>
        <v>#REF!</v>
      </c>
      <c r="V79" s="111">
        <f t="shared" si="66"/>
        <v>20.20001162217152</v>
      </c>
      <c r="W79" s="111" t="e">
        <f t="shared" si="66"/>
        <v>#VALUE!</v>
      </c>
      <c r="Y79" s="61"/>
      <c r="Z79" s="61"/>
      <c r="AA79" s="61"/>
    </row>
    <row r="80" spans="2:27" s="59" customFormat="1" x14ac:dyDescent="0.2">
      <c r="B80" s="59" t="s">
        <v>105</v>
      </c>
      <c r="C80" s="59" t="s">
        <v>36</v>
      </c>
      <c r="E80" s="67" t="b">
        <f>TRUE</f>
        <v>1</v>
      </c>
      <c r="F80" s="67" t="b">
        <f>TRUE</f>
        <v>1</v>
      </c>
      <c r="G80" s="67" t="b">
        <f>(G34+G33)&gt;=1</f>
        <v>1</v>
      </c>
      <c r="H80" s="67" t="b">
        <f t="shared" ref="H80:W80" si="67">(H34+H33)&gt;=1</f>
        <v>1</v>
      </c>
      <c r="I80" s="67" t="b">
        <f t="shared" si="67"/>
        <v>1</v>
      </c>
      <c r="J80" s="67" t="b">
        <f t="shared" si="67"/>
        <v>0</v>
      </c>
      <c r="K80" s="67" t="b">
        <f t="shared" si="67"/>
        <v>1</v>
      </c>
      <c r="L80" s="67" t="b">
        <f t="shared" si="67"/>
        <v>1</v>
      </c>
      <c r="M80" s="111" t="b">
        <f t="shared" si="67"/>
        <v>1</v>
      </c>
      <c r="N80" s="111" t="b">
        <f t="shared" si="67"/>
        <v>1</v>
      </c>
      <c r="O80" s="111" t="b">
        <f t="shared" si="67"/>
        <v>1</v>
      </c>
      <c r="P80" s="111" t="b">
        <f t="shared" si="67"/>
        <v>1</v>
      </c>
      <c r="Q80" s="111" t="b">
        <f t="shared" si="67"/>
        <v>1</v>
      </c>
      <c r="R80" s="111" t="b">
        <f t="shared" si="67"/>
        <v>1</v>
      </c>
      <c r="S80" s="111" t="b">
        <f t="shared" si="67"/>
        <v>1</v>
      </c>
      <c r="T80" s="111" t="b">
        <f t="shared" si="67"/>
        <v>1</v>
      </c>
      <c r="U80" s="111" t="b">
        <f t="shared" si="67"/>
        <v>1</v>
      </c>
      <c r="V80" s="111" t="b">
        <f t="shared" si="67"/>
        <v>0</v>
      </c>
      <c r="W80" s="111" t="b">
        <f t="shared" si="67"/>
        <v>0</v>
      </c>
      <c r="Y80" s="61"/>
      <c r="Z80" s="61"/>
      <c r="AA80" s="61"/>
    </row>
    <row r="81" spans="2:27" s="59" customFormat="1" x14ac:dyDescent="0.2">
      <c r="B81" s="59" t="s">
        <v>47</v>
      </c>
      <c r="C81" s="59" t="s">
        <v>36</v>
      </c>
      <c r="E81" s="67" t="b">
        <f>FALSE</f>
        <v>0</v>
      </c>
      <c r="F81" s="67" t="b">
        <f>FALSE</f>
        <v>0</v>
      </c>
      <c r="G81" s="67" t="b">
        <f>FALSE</f>
        <v>0</v>
      </c>
      <c r="H81" s="67" t="b">
        <f>FALSE</f>
        <v>0</v>
      </c>
      <c r="I81" s="67" t="b">
        <f>FALSE</f>
        <v>0</v>
      </c>
      <c r="J81" s="67" t="b">
        <f>FALSE</f>
        <v>0</v>
      </c>
      <c r="K81" s="67" t="b">
        <f>FALSE</f>
        <v>0</v>
      </c>
      <c r="L81" s="67" t="b">
        <f>FALSE</f>
        <v>0</v>
      </c>
      <c r="M81" s="111" t="b">
        <f>FALSE</f>
        <v>0</v>
      </c>
      <c r="N81" s="111" t="b">
        <f>FALSE</f>
        <v>0</v>
      </c>
      <c r="O81" s="111" t="b">
        <f>FALSE</f>
        <v>0</v>
      </c>
      <c r="P81" s="111" t="b">
        <f>FALSE</f>
        <v>0</v>
      </c>
      <c r="Q81" s="111" t="b">
        <f>FALSE</f>
        <v>0</v>
      </c>
      <c r="R81" s="111" t="b">
        <f>FALSE</f>
        <v>0</v>
      </c>
      <c r="S81" s="111" t="b">
        <f>FALSE</f>
        <v>0</v>
      </c>
      <c r="T81" s="111" t="b">
        <f>FALSE</f>
        <v>0</v>
      </c>
      <c r="U81" s="111" t="b">
        <f>FALSE</f>
        <v>0</v>
      </c>
      <c r="V81" s="111" t="b">
        <f>FALSE</f>
        <v>0</v>
      </c>
      <c r="W81" s="111" t="b">
        <f>FALSE</f>
        <v>0</v>
      </c>
      <c r="Y81" s="61"/>
      <c r="Z81" s="61"/>
      <c r="AA81" s="61"/>
    </row>
    <row r="82" spans="2:27" s="59" customFormat="1" x14ac:dyDescent="0.2">
      <c r="B82" s="59" t="s">
        <v>36</v>
      </c>
      <c r="C82" s="59" t="s">
        <v>36</v>
      </c>
      <c r="E82" s="67" t="b">
        <f>FALSE</f>
        <v>0</v>
      </c>
      <c r="F82" s="67" t="b">
        <f>FALSE</f>
        <v>0</v>
      </c>
      <c r="G82" s="67" t="b">
        <f>FALSE</f>
        <v>0</v>
      </c>
      <c r="H82" s="67" t="b">
        <f>FALSE</f>
        <v>0</v>
      </c>
      <c r="I82" s="67" t="b">
        <f>FALSE</f>
        <v>0</v>
      </c>
      <c r="J82" s="67" t="b">
        <f>FALSE</f>
        <v>0</v>
      </c>
      <c r="K82" s="67" t="b">
        <f>FALSE</f>
        <v>0</v>
      </c>
      <c r="L82" s="67" t="b">
        <f>FALSE</f>
        <v>0</v>
      </c>
      <c r="M82" s="111" t="b">
        <f>FALSE</f>
        <v>0</v>
      </c>
      <c r="N82" s="111" t="b">
        <f>FALSE</f>
        <v>0</v>
      </c>
      <c r="O82" s="111" t="b">
        <f>FALSE</f>
        <v>0</v>
      </c>
      <c r="P82" s="111" t="b">
        <f>FALSE</f>
        <v>0</v>
      </c>
      <c r="Q82" s="111" t="b">
        <f>FALSE</f>
        <v>0</v>
      </c>
      <c r="R82" s="111" t="b">
        <f>FALSE</f>
        <v>0</v>
      </c>
      <c r="S82" s="111" t="b">
        <f>FALSE</f>
        <v>0</v>
      </c>
      <c r="T82" s="111" t="b">
        <f>FALSE</f>
        <v>0</v>
      </c>
      <c r="U82" s="111" t="b">
        <f>FALSE</f>
        <v>0</v>
      </c>
      <c r="V82" s="111" t="b">
        <f>FALSE</f>
        <v>0</v>
      </c>
      <c r="W82" s="111" t="b">
        <f>FALSE</f>
        <v>0</v>
      </c>
      <c r="Y82" s="61"/>
      <c r="Z82" s="61"/>
      <c r="AA82" s="61"/>
    </row>
    <row r="83" spans="2:27" s="59" customFormat="1" x14ac:dyDescent="0.2">
      <c r="E83" s="68"/>
      <c r="Y83" s="61"/>
      <c r="Z83" s="61"/>
      <c r="AA83" s="61"/>
    </row>
    <row r="84" spans="2:27" s="59" customFormat="1" ht="25.5" x14ac:dyDescent="0.2">
      <c r="B84" s="66" t="s">
        <v>100</v>
      </c>
      <c r="C84" s="62" t="s">
        <v>0</v>
      </c>
      <c r="E84" s="59">
        <f>IF(E29=1,E6,"")</f>
        <v>-25</v>
      </c>
      <c r="F84" s="59">
        <f t="shared" ref="F84:W84" si="68">IF(F29=1,F6,"")</f>
        <v>-25</v>
      </c>
      <c r="G84" s="59">
        <f t="shared" si="68"/>
        <v>-25</v>
      </c>
      <c r="H84" s="59">
        <f t="shared" si="68"/>
        <v>-25</v>
      </c>
      <c r="I84" s="59">
        <f t="shared" si="68"/>
        <v>20</v>
      </c>
      <c r="J84" s="59" t="str">
        <f t="shared" si="68"/>
        <v/>
      </c>
      <c r="K84" s="59">
        <f t="shared" si="68"/>
        <v>5.6834135234056342</v>
      </c>
      <c r="L84" s="59">
        <f t="shared" si="68"/>
        <v>8</v>
      </c>
      <c r="M84" s="59">
        <f t="shared" si="68"/>
        <v>8</v>
      </c>
      <c r="N84" s="59">
        <f t="shared" si="68"/>
        <v>20</v>
      </c>
      <c r="O84" s="59">
        <f t="shared" si="68"/>
        <v>35</v>
      </c>
      <c r="P84" s="59">
        <f t="shared" si="68"/>
        <v>16</v>
      </c>
      <c r="Q84" s="59">
        <f t="shared" si="68"/>
        <v>16</v>
      </c>
      <c r="R84" s="59">
        <f>IF(R29=1,R6,"")</f>
        <v>20</v>
      </c>
      <c r="S84" s="59">
        <f>IF(S29=1,S6,"")</f>
        <v>20</v>
      </c>
      <c r="T84" s="59">
        <f t="shared" si="68"/>
        <v>20</v>
      </c>
      <c r="U84" s="59">
        <f>IF(U29=1,U6,"")</f>
        <v>20</v>
      </c>
      <c r="V84" s="59" t="str">
        <f>IF(V29=1,V6,"")</f>
        <v/>
      </c>
      <c r="W84" s="59" t="str">
        <f t="shared" si="68"/>
        <v/>
      </c>
      <c r="Y84" s="61"/>
      <c r="Z84" s="61"/>
      <c r="AA84" s="61"/>
    </row>
    <row r="85" spans="2:27" s="59" customFormat="1" x14ac:dyDescent="0.2">
      <c r="C85" s="63" t="s">
        <v>1</v>
      </c>
      <c r="E85" s="59">
        <f>IF(E30=1,E7/100,"")</f>
        <v>0.2</v>
      </c>
      <c r="F85" s="59">
        <f t="shared" ref="F85:W85" si="69">IF(F30=1,F7/100,"")</f>
        <v>0.2</v>
      </c>
      <c r="G85" s="59">
        <f t="shared" si="69"/>
        <v>0.2</v>
      </c>
      <c r="H85" s="59">
        <f t="shared" si="69"/>
        <v>0.2</v>
      </c>
      <c r="I85" s="59">
        <f t="shared" si="69"/>
        <v>0.6</v>
      </c>
      <c r="J85" s="59" t="str">
        <f t="shared" si="69"/>
        <v/>
      </c>
      <c r="K85" s="59">
        <f t="shared" si="69"/>
        <v>0.01</v>
      </c>
      <c r="L85" s="59" t="str">
        <f t="shared" si="69"/>
        <v/>
      </c>
      <c r="M85" s="59">
        <f t="shared" si="69"/>
        <v>8.5239662554749916E-5</v>
      </c>
      <c r="N85" s="59" t="str">
        <f t="shared" si="69"/>
        <v/>
      </c>
      <c r="O85" s="59">
        <f t="shared" si="69"/>
        <v>0.4</v>
      </c>
      <c r="P85" s="59" t="str">
        <f t="shared" si="69"/>
        <v/>
      </c>
      <c r="Q85" s="59">
        <f t="shared" si="69"/>
        <v>7.5771330367416147E-3</v>
      </c>
      <c r="R85" s="59" t="str">
        <f>IF(R30=1,R7/100,"")</f>
        <v/>
      </c>
      <c r="S85" s="59">
        <f>IF(S30=1,S7/100,"")</f>
        <v>5.889954581965501E-5</v>
      </c>
      <c r="T85" s="59">
        <f t="shared" si="69"/>
        <v>5.8899545819655011E-7</v>
      </c>
      <c r="U85" s="59">
        <f>IF(U30=1,U7/100,"")</f>
        <v>5.889954581965502E-9</v>
      </c>
      <c r="V85" s="59" t="str">
        <f>IF(V30=1,V7/100,"")</f>
        <v/>
      </c>
      <c r="W85" s="59" t="str">
        <f t="shared" si="69"/>
        <v/>
      </c>
      <c r="Y85" s="61"/>
      <c r="Z85" s="61"/>
      <c r="AA85" s="61"/>
    </row>
    <row r="86" spans="2:27" s="59" customFormat="1" x14ac:dyDescent="0.2">
      <c r="C86" s="62" t="s">
        <v>2</v>
      </c>
      <c r="E86" s="59" t="str">
        <f>IF(E31=1,E8,"")</f>
        <v/>
      </c>
      <c r="F86" s="59" t="str">
        <f t="shared" ref="F86:W87" si="70">IF(F31=1,F8,"")</f>
        <v/>
      </c>
      <c r="G86" s="59" t="str">
        <f t="shared" si="70"/>
        <v/>
      </c>
      <c r="H86" s="59" t="str">
        <f t="shared" si="70"/>
        <v/>
      </c>
      <c r="I86" s="59" t="str">
        <f t="shared" si="70"/>
        <v/>
      </c>
      <c r="J86" s="59" t="str">
        <f t="shared" si="70"/>
        <v/>
      </c>
      <c r="K86" s="59" t="str">
        <f t="shared" si="70"/>
        <v/>
      </c>
      <c r="L86" s="59" t="str">
        <f t="shared" si="70"/>
        <v/>
      </c>
      <c r="M86" s="59" t="str">
        <f t="shared" si="70"/>
        <v/>
      </c>
      <c r="N86" s="59" t="str">
        <f t="shared" si="70"/>
        <v/>
      </c>
      <c r="O86" s="59" t="str">
        <f t="shared" si="70"/>
        <v/>
      </c>
      <c r="P86" s="59" t="str">
        <f t="shared" si="70"/>
        <v/>
      </c>
      <c r="Q86" s="59" t="str">
        <f t="shared" si="70"/>
        <v/>
      </c>
      <c r="R86" s="59" t="str">
        <f>IF(R31=1,R8,"")</f>
        <v/>
      </c>
      <c r="S86" s="59" t="str">
        <f>IF(S31=1,S8,"")</f>
        <v/>
      </c>
      <c r="T86" s="59" t="str">
        <f t="shared" si="70"/>
        <v/>
      </c>
      <c r="U86" s="59" t="str">
        <f>IF(U31=1,U8,"")</f>
        <v/>
      </c>
      <c r="V86" s="59" t="str">
        <f>IF(V31=1,V8,"")</f>
        <v/>
      </c>
      <c r="W86" s="59" t="str">
        <f t="shared" si="70"/>
        <v/>
      </c>
      <c r="Y86" s="61"/>
      <c r="Z86" s="61"/>
      <c r="AA86" s="61"/>
    </row>
    <row r="87" spans="2:27" s="59" customFormat="1" x14ac:dyDescent="0.2">
      <c r="C87" s="62" t="s">
        <v>3</v>
      </c>
      <c r="E87" s="59" t="str">
        <f>IF(E32=1,E9,"")</f>
        <v/>
      </c>
      <c r="F87" s="59" t="str">
        <f t="shared" si="70"/>
        <v/>
      </c>
      <c r="G87" s="59" t="str">
        <f t="shared" si="70"/>
        <v/>
      </c>
      <c r="H87" s="59" t="str">
        <f t="shared" si="70"/>
        <v/>
      </c>
      <c r="I87" s="59" t="str">
        <f t="shared" si="70"/>
        <v/>
      </c>
      <c r="J87" s="59" t="str">
        <f t="shared" si="70"/>
        <v/>
      </c>
      <c r="K87" s="59" t="str">
        <f t="shared" si="70"/>
        <v/>
      </c>
      <c r="L87" s="59" t="str">
        <f t="shared" si="70"/>
        <v/>
      </c>
      <c r="M87" s="59" t="str">
        <f t="shared" si="70"/>
        <v/>
      </c>
      <c r="N87" s="59" t="str">
        <f t="shared" si="70"/>
        <v/>
      </c>
      <c r="O87" s="59" t="str">
        <f t="shared" si="70"/>
        <v/>
      </c>
      <c r="P87" s="59" t="str">
        <f t="shared" si="70"/>
        <v/>
      </c>
      <c r="Q87" s="59" t="str">
        <f t="shared" si="70"/>
        <v/>
      </c>
      <c r="R87" s="59" t="str">
        <f>IF(R32=1,R9,"")</f>
        <v/>
      </c>
      <c r="S87" s="59" t="str">
        <f>IF(S32=1,S9,"")</f>
        <v/>
      </c>
      <c r="T87" s="59" t="str">
        <f t="shared" si="70"/>
        <v/>
      </c>
      <c r="U87" s="59" t="str">
        <f>IF(U32=1,U9,"")</f>
        <v/>
      </c>
      <c r="V87" s="59" t="str">
        <f>IF(V32=1,V9,"")</f>
        <v/>
      </c>
      <c r="W87" s="59" t="str">
        <f t="shared" si="70"/>
        <v/>
      </c>
      <c r="Y87" s="61"/>
      <c r="Z87" s="61"/>
      <c r="AA87" s="61"/>
    </row>
    <row r="88" spans="2:27" s="59" customFormat="1" x14ac:dyDescent="0.2">
      <c r="B88" s="59" t="s">
        <v>105</v>
      </c>
      <c r="C88" s="59" t="s">
        <v>36</v>
      </c>
      <c r="E88" s="67" t="b">
        <f>TRUE</f>
        <v>1</v>
      </c>
      <c r="F88" s="67" t="b">
        <f t="shared" ref="F88:W88" si="71">OR(F34&gt;2,F33=1)</f>
        <v>0</v>
      </c>
      <c r="G88" s="67" t="b">
        <f t="shared" si="71"/>
        <v>0</v>
      </c>
      <c r="H88" s="67" t="b">
        <f t="shared" si="71"/>
        <v>0</v>
      </c>
      <c r="I88" s="67" t="b">
        <f t="shared" si="71"/>
        <v>0</v>
      </c>
      <c r="J88" s="67" t="b">
        <f t="shared" si="71"/>
        <v>0</v>
      </c>
      <c r="K88" s="67" t="b">
        <f t="shared" si="71"/>
        <v>0</v>
      </c>
      <c r="L88" s="67" t="b">
        <f t="shared" si="71"/>
        <v>0</v>
      </c>
      <c r="M88" s="111" t="b">
        <f t="shared" si="71"/>
        <v>0</v>
      </c>
      <c r="N88" s="111" t="b">
        <f t="shared" si="71"/>
        <v>0</v>
      </c>
      <c r="O88" s="111" t="b">
        <f t="shared" si="71"/>
        <v>0</v>
      </c>
      <c r="P88" s="111" t="b">
        <f t="shared" si="71"/>
        <v>0</v>
      </c>
      <c r="Q88" s="111" t="b">
        <f t="shared" si="71"/>
        <v>0</v>
      </c>
      <c r="R88" s="111" t="b">
        <f t="shared" si="71"/>
        <v>0</v>
      </c>
      <c r="S88" s="111" t="b">
        <f t="shared" si="71"/>
        <v>0</v>
      </c>
      <c r="T88" s="111" t="b">
        <f t="shared" si="71"/>
        <v>0</v>
      </c>
      <c r="U88" s="111" t="b">
        <f t="shared" si="71"/>
        <v>0</v>
      </c>
      <c r="V88" s="111" t="b">
        <f t="shared" si="71"/>
        <v>0</v>
      </c>
      <c r="W88" s="111" t="b">
        <f t="shared" si="71"/>
        <v>0</v>
      </c>
      <c r="Y88" s="61"/>
      <c r="Z88" s="61"/>
      <c r="AA88" s="61"/>
    </row>
    <row r="89" spans="2:27" s="59" customFormat="1" x14ac:dyDescent="0.2">
      <c r="B89" s="59" t="s">
        <v>47</v>
      </c>
      <c r="C89" s="59" t="s">
        <v>36</v>
      </c>
      <c r="E89" s="67" t="b">
        <f>FALSE</f>
        <v>0</v>
      </c>
      <c r="F89" s="67" t="b">
        <f t="shared" ref="F89:W89" si="72">F34=1</f>
        <v>0</v>
      </c>
      <c r="G89" s="67" t="b">
        <f t="shared" si="72"/>
        <v>0</v>
      </c>
      <c r="H89" s="67" t="b">
        <f t="shared" si="72"/>
        <v>0</v>
      </c>
      <c r="I89" s="67" t="b">
        <f t="shared" si="72"/>
        <v>0</v>
      </c>
      <c r="J89" s="67" t="b">
        <f t="shared" si="72"/>
        <v>0</v>
      </c>
      <c r="K89" s="67" t="b">
        <f t="shared" si="72"/>
        <v>0</v>
      </c>
      <c r="L89" s="67" t="b">
        <f t="shared" si="72"/>
        <v>1</v>
      </c>
      <c r="M89" s="111" t="b">
        <f t="shared" si="72"/>
        <v>0</v>
      </c>
      <c r="N89" s="111" t="b">
        <f t="shared" si="72"/>
        <v>1</v>
      </c>
      <c r="O89" s="111" t="b">
        <f t="shared" si="72"/>
        <v>0</v>
      </c>
      <c r="P89" s="111" t="b">
        <f t="shared" si="72"/>
        <v>1</v>
      </c>
      <c r="Q89" s="111" t="b">
        <f t="shared" si="72"/>
        <v>0</v>
      </c>
      <c r="R89" s="111" t="b">
        <f t="shared" si="72"/>
        <v>1</v>
      </c>
      <c r="S89" s="111" t="b">
        <f t="shared" si="72"/>
        <v>0</v>
      </c>
      <c r="T89" s="111" t="b">
        <f t="shared" si="72"/>
        <v>0</v>
      </c>
      <c r="U89" s="111" t="b">
        <f t="shared" si="72"/>
        <v>0</v>
      </c>
      <c r="V89" s="111" t="b">
        <f t="shared" si="72"/>
        <v>0</v>
      </c>
      <c r="W89" s="111" t="b">
        <f t="shared" si="72"/>
        <v>0</v>
      </c>
      <c r="Y89" s="61"/>
      <c r="Z89" s="61"/>
      <c r="AA89" s="61"/>
    </row>
    <row r="90" spans="2:27" s="59" customFormat="1" x14ac:dyDescent="0.2">
      <c r="B90" s="59" t="s">
        <v>36</v>
      </c>
      <c r="C90" s="59" t="s">
        <v>36</v>
      </c>
      <c r="E90" s="67" t="b">
        <f>FALSE</f>
        <v>0</v>
      </c>
      <c r="F90" s="67" t="b">
        <f t="shared" ref="F90:W90" si="73">F34=0</f>
        <v>0</v>
      </c>
      <c r="G90" s="67" t="b">
        <f t="shared" si="73"/>
        <v>0</v>
      </c>
      <c r="H90" s="67" t="b">
        <f t="shared" si="73"/>
        <v>0</v>
      </c>
      <c r="I90" s="67" t="b">
        <f t="shared" si="73"/>
        <v>0</v>
      </c>
      <c r="J90" s="67" t="b">
        <f t="shared" si="73"/>
        <v>1</v>
      </c>
      <c r="K90" s="67" t="b">
        <f t="shared" si="73"/>
        <v>0</v>
      </c>
      <c r="L90" s="67" t="b">
        <f t="shared" si="73"/>
        <v>0</v>
      </c>
      <c r="M90" s="111" t="b">
        <f t="shared" si="73"/>
        <v>0</v>
      </c>
      <c r="N90" s="111" t="b">
        <f t="shared" si="73"/>
        <v>0</v>
      </c>
      <c r="O90" s="111" t="b">
        <f t="shared" si="73"/>
        <v>0</v>
      </c>
      <c r="P90" s="111" t="b">
        <f t="shared" si="73"/>
        <v>0</v>
      </c>
      <c r="Q90" s="111" t="b">
        <f t="shared" si="73"/>
        <v>0</v>
      </c>
      <c r="R90" s="111" t="b">
        <f t="shared" si="73"/>
        <v>0</v>
      </c>
      <c r="S90" s="111" t="b">
        <f t="shared" si="73"/>
        <v>0</v>
      </c>
      <c r="T90" s="111" t="b">
        <f t="shared" si="73"/>
        <v>0</v>
      </c>
      <c r="U90" s="111" t="b">
        <f t="shared" si="73"/>
        <v>0</v>
      </c>
      <c r="V90" s="111" t="b">
        <f t="shared" si="73"/>
        <v>1</v>
      </c>
      <c r="W90" s="111" t="b">
        <f t="shared" si="73"/>
        <v>1</v>
      </c>
      <c r="Y90" s="61"/>
      <c r="Z90" s="61"/>
      <c r="AA90" s="61"/>
    </row>
    <row r="91" spans="2:27" s="59" customFormat="1" x14ac:dyDescent="0.2">
      <c r="E91" s="68"/>
      <c r="Y91" s="61"/>
      <c r="Z91" s="61"/>
      <c r="AA91" s="61"/>
    </row>
    <row r="92" spans="2:27" s="59" customFormat="1" ht="25.5" x14ac:dyDescent="0.2">
      <c r="B92" s="71" t="s">
        <v>106</v>
      </c>
      <c r="C92" s="62" t="s">
        <v>0</v>
      </c>
      <c r="E92" s="59">
        <f>IF(E28&gt;6,"",CHOOSE(E28+1,E36,E44,E52,E60,E68,E76,E84))</f>
        <v>-25</v>
      </c>
      <c r="F92" s="59">
        <f t="shared" ref="F92:W92" si="74">IF(F28&gt;6,"",CHOOSE(F28+1,F36,F44,F52,F60,F68,F76,F84))</f>
        <v>-25</v>
      </c>
      <c r="G92" s="59">
        <f t="shared" si="74"/>
        <v>-25</v>
      </c>
      <c r="H92" s="59">
        <f t="shared" si="74"/>
        <v>-25</v>
      </c>
      <c r="I92" s="59">
        <f t="shared" si="74"/>
        <v>20</v>
      </c>
      <c r="J92" s="59" t="str">
        <f t="shared" si="74"/>
        <v/>
      </c>
      <c r="K92" s="59">
        <f t="shared" si="74"/>
        <v>5.6834135234056342</v>
      </c>
      <c r="L92" s="59">
        <f t="shared" si="74"/>
        <v>8</v>
      </c>
      <c r="M92" s="59">
        <f t="shared" si="74"/>
        <v>8</v>
      </c>
      <c r="N92" s="59">
        <f t="shared" si="74"/>
        <v>20</v>
      </c>
      <c r="O92" s="59">
        <f t="shared" si="74"/>
        <v>35</v>
      </c>
      <c r="P92" s="59">
        <f t="shared" si="74"/>
        <v>16</v>
      </c>
      <c r="Q92" s="59">
        <f t="shared" si="74"/>
        <v>16</v>
      </c>
      <c r="R92" s="59">
        <f t="shared" si="74"/>
        <v>20</v>
      </c>
      <c r="S92" s="59">
        <f t="shared" si="74"/>
        <v>20</v>
      </c>
      <c r="T92" s="59">
        <f t="shared" si="74"/>
        <v>20</v>
      </c>
      <c r="U92" s="59">
        <f t="shared" si="74"/>
        <v>20</v>
      </c>
      <c r="V92" s="59" t="str">
        <f t="shared" si="74"/>
        <v/>
      </c>
      <c r="W92" s="59" t="str">
        <f t="shared" si="74"/>
        <v/>
      </c>
      <c r="Y92" s="61"/>
      <c r="Z92" s="61"/>
      <c r="AA92" s="61"/>
    </row>
    <row r="93" spans="2:27" s="59" customFormat="1" x14ac:dyDescent="0.2">
      <c r="C93" s="63" t="s">
        <v>1</v>
      </c>
      <c r="E93" s="59">
        <f>IF(E28&gt;6,"",CHOOSE(E28+1,E37,E45,E53,E61,E69,E77,E85))</f>
        <v>0.2</v>
      </c>
      <c r="F93" s="59">
        <f t="shared" ref="F93:W93" si="75">IF(F28&gt;6,"",CHOOSE(F28+1,F37,F45,F53,F61,F69,F77,F85))</f>
        <v>0.2</v>
      </c>
      <c r="G93" s="59">
        <f t="shared" si="75"/>
        <v>0.2</v>
      </c>
      <c r="H93" s="59">
        <f t="shared" si="75"/>
        <v>0.2</v>
      </c>
      <c r="I93" s="59">
        <f t="shared" si="75"/>
        <v>0.6</v>
      </c>
      <c r="J93" s="59" t="str">
        <f t="shared" si="75"/>
        <v/>
      </c>
      <c r="K93" s="59">
        <f t="shared" si="75"/>
        <v>0.01</v>
      </c>
      <c r="L93" s="59" t="str">
        <f t="shared" si="75"/>
        <v/>
      </c>
      <c r="M93" s="59">
        <f t="shared" si="75"/>
        <v>8.5239662554749916E-5</v>
      </c>
      <c r="N93" s="59" t="str">
        <f t="shared" si="75"/>
        <v/>
      </c>
      <c r="O93" s="59">
        <f t="shared" si="75"/>
        <v>0.4</v>
      </c>
      <c r="P93" s="59" t="str">
        <f t="shared" si="75"/>
        <v/>
      </c>
      <c r="Q93" s="59">
        <f t="shared" si="75"/>
        <v>7.5771330367416147E-3</v>
      </c>
      <c r="R93" s="59" t="str">
        <f t="shared" si="75"/>
        <v/>
      </c>
      <c r="S93" s="59">
        <f t="shared" si="75"/>
        <v>5.889954581965501E-5</v>
      </c>
      <c r="T93" s="59">
        <f t="shared" si="75"/>
        <v>5.8899545819655011E-7</v>
      </c>
      <c r="U93" s="59">
        <f t="shared" si="75"/>
        <v>5.889954581965502E-9</v>
      </c>
      <c r="V93" s="59" t="str">
        <f t="shared" si="75"/>
        <v/>
      </c>
      <c r="W93" s="59" t="str">
        <f t="shared" si="75"/>
        <v/>
      </c>
      <c r="Y93" s="61"/>
      <c r="Z93" s="61"/>
      <c r="AA93" s="61"/>
    </row>
    <row r="94" spans="2:27" s="59" customFormat="1" x14ac:dyDescent="0.2">
      <c r="C94" s="62" t="s">
        <v>2</v>
      </c>
      <c r="E94" s="59" t="str">
        <f>IF(E28&gt;6,"",CHOOSE(E28+1,E38,E46,E54,E62,E70,E78,E86))</f>
        <v/>
      </c>
      <c r="F94" s="59" t="str">
        <f t="shared" ref="F94:W94" si="76">IF(F28&gt;6,"",CHOOSE(F28+1,F38,F46,F54,F62,F70,F78,F86))</f>
        <v/>
      </c>
      <c r="G94" s="59" t="str">
        <f t="shared" si="76"/>
        <v/>
      </c>
      <c r="H94" s="59" t="str">
        <f t="shared" si="76"/>
        <v/>
      </c>
      <c r="I94" s="59" t="str">
        <f t="shared" si="76"/>
        <v/>
      </c>
      <c r="J94" s="59">
        <f t="shared" si="76"/>
        <v>6.2782167914041143</v>
      </c>
      <c r="K94" s="59" t="str">
        <f t="shared" si="76"/>
        <v/>
      </c>
      <c r="L94" s="59">
        <f t="shared" si="76"/>
        <v>6.0119312330765867E-2</v>
      </c>
      <c r="M94" s="59" t="str">
        <f t="shared" si="76"/>
        <v/>
      </c>
      <c r="N94" s="59">
        <f t="shared" si="76"/>
        <v>6.0113562015513496E-4</v>
      </c>
      <c r="O94" s="59" t="str">
        <f t="shared" si="76"/>
        <v/>
      </c>
      <c r="P94" s="59" t="str">
        <f t="shared" si="76"/>
        <v/>
      </c>
      <c r="Q94" s="59" t="str">
        <f t="shared" si="76"/>
        <v/>
      </c>
      <c r="R94" s="59">
        <f t="shared" si="76"/>
        <v>9.0684559843778378E-2</v>
      </c>
      <c r="S94" s="59" t="str">
        <f t="shared" si="76"/>
        <v/>
      </c>
      <c r="T94" s="59" t="str">
        <f t="shared" si="76"/>
        <v/>
      </c>
      <c r="U94" s="59" t="str">
        <f t="shared" si="76"/>
        <v/>
      </c>
      <c r="V94" s="59" t="str">
        <f t="shared" si="76"/>
        <v/>
      </c>
      <c r="W94" s="59" t="str">
        <f t="shared" si="76"/>
        <v/>
      </c>
      <c r="Y94" s="61"/>
      <c r="Z94" s="61"/>
      <c r="AA94" s="61"/>
    </row>
    <row r="95" spans="2:27" s="59" customFormat="1" x14ac:dyDescent="0.2">
      <c r="C95" s="62" t="s">
        <v>3</v>
      </c>
      <c r="E95" s="59" t="str">
        <f>IF(E28&gt;6,"",CHOOSE(E28+1,E39,E47,E55,E63,E71,E79,E87))</f>
        <v/>
      </c>
      <c r="F95" s="59" t="str">
        <f t="shared" ref="F95:W95" si="77">IF(F28&gt;6,"",CHOOSE(F28+1,F39,F47,F55,F63,F71,F79,F87))</f>
        <v/>
      </c>
      <c r="G95" s="59" t="str">
        <f t="shared" si="77"/>
        <v/>
      </c>
      <c r="H95" s="59" t="str">
        <f t="shared" si="77"/>
        <v/>
      </c>
      <c r="I95" s="59" t="str">
        <f t="shared" si="77"/>
        <v/>
      </c>
      <c r="J95" s="59">
        <f t="shared" si="77"/>
        <v>20.98304847509845</v>
      </c>
      <c r="K95" s="59" t="str">
        <f t="shared" si="77"/>
        <v/>
      </c>
      <c r="L95" s="59" t="str">
        <f t="shared" si="77"/>
        <v/>
      </c>
      <c r="M95" s="59" t="str">
        <f t="shared" si="77"/>
        <v/>
      </c>
      <c r="N95" s="59" t="str">
        <f t="shared" si="77"/>
        <v/>
      </c>
      <c r="O95" s="59" t="str">
        <f t="shared" si="77"/>
        <v/>
      </c>
      <c r="P95" s="59">
        <f t="shared" si="77"/>
        <v>39.446082331350226</v>
      </c>
      <c r="Q95" s="59" t="str">
        <f t="shared" si="77"/>
        <v/>
      </c>
      <c r="R95" s="59" t="str">
        <f t="shared" si="77"/>
        <v/>
      </c>
      <c r="S95" s="59" t="str">
        <f t="shared" si="77"/>
        <v/>
      </c>
      <c r="T95" s="59" t="str">
        <f t="shared" si="77"/>
        <v/>
      </c>
      <c r="U95" s="59" t="str">
        <f t="shared" si="77"/>
        <v/>
      </c>
      <c r="V95" s="59" t="str">
        <f t="shared" si="77"/>
        <v/>
      </c>
      <c r="W95" s="59" t="str">
        <f t="shared" si="77"/>
        <v/>
      </c>
      <c r="Y95" s="61"/>
      <c r="Z95" s="61"/>
      <c r="AA95" s="61"/>
    </row>
    <row r="96" spans="2:27" s="59" customFormat="1" x14ac:dyDescent="0.2">
      <c r="B96" s="59" t="s">
        <v>105</v>
      </c>
      <c r="C96" s="59" t="s">
        <v>36</v>
      </c>
      <c r="E96" s="67" t="b">
        <f>IF(OR(E28&gt;6,AND(E11&lt;&gt;"",E12&lt;&gt;"")),TRUE,CHOOSE(E28+1,E40,E48,E56,E64,E72,E80,E88))</f>
        <v>0</v>
      </c>
      <c r="F96" s="67" t="b">
        <f t="shared" ref="F96:W96" si="78">IF(OR(F28&gt;6,AND(F11&lt;&gt;"",F12&lt;&gt;"")),TRUE,CHOOSE(F28+1,F40,F48,F56,F64,F72,F80,F88))</f>
        <v>0</v>
      </c>
      <c r="G96" s="67" t="b">
        <f t="shared" si="78"/>
        <v>0</v>
      </c>
      <c r="H96" s="67" t="b">
        <f t="shared" si="78"/>
        <v>0</v>
      </c>
      <c r="I96" s="67" t="b">
        <f t="shared" si="78"/>
        <v>0</v>
      </c>
      <c r="J96" s="67" t="b">
        <f t="shared" si="78"/>
        <v>0</v>
      </c>
      <c r="K96" s="67" t="b">
        <f t="shared" si="78"/>
        <v>0</v>
      </c>
      <c r="L96" s="67" t="b">
        <f t="shared" si="78"/>
        <v>0</v>
      </c>
      <c r="M96" s="111" t="b">
        <f t="shared" si="78"/>
        <v>0</v>
      </c>
      <c r="N96" s="111" t="b">
        <f t="shared" si="78"/>
        <v>0</v>
      </c>
      <c r="O96" s="111" t="b">
        <f t="shared" si="78"/>
        <v>0</v>
      </c>
      <c r="P96" s="111" t="b">
        <f t="shared" si="78"/>
        <v>0</v>
      </c>
      <c r="Q96" s="111" t="b">
        <f t="shared" si="78"/>
        <v>0</v>
      </c>
      <c r="R96" s="111" t="b">
        <f>IF(OR(R28&gt;6,AND(R11&lt;&gt;"",R12&lt;&gt;"")),TRUE,CHOOSE(R28+1,R40,R48,R56,R64,R72,R80,R88))</f>
        <v>0</v>
      </c>
      <c r="S96" s="111" t="b">
        <f>IF(OR(S28&gt;6,AND(S11&lt;&gt;"",S12&lt;&gt;"")),TRUE,CHOOSE(S28+1,S40,S48,S56,S64,S72,S80,S88))</f>
        <v>0</v>
      </c>
      <c r="T96" s="111" t="b">
        <f t="shared" si="78"/>
        <v>0</v>
      </c>
      <c r="U96" s="111" t="b">
        <f>IF(OR(U28&gt;6,AND(U11&lt;&gt;"",U12&lt;&gt;"")),TRUE,CHOOSE(U28+1,U40,U48,U56,U64,U72,U80,U88))</f>
        <v>0</v>
      </c>
      <c r="V96" s="111" t="b">
        <f>IF(OR(V28&gt;6,AND(V11&lt;&gt;"",V12&lt;&gt;"")),TRUE,CHOOSE(V28+1,V40,V48,V56,V64,V72,V80,V88))</f>
        <v>0</v>
      </c>
      <c r="W96" s="111" t="b">
        <f t="shared" si="78"/>
        <v>0</v>
      </c>
      <c r="Y96" s="61"/>
      <c r="Z96" s="61"/>
      <c r="AA96" s="61"/>
    </row>
    <row r="97" spans="2:27" s="59" customFormat="1" x14ac:dyDescent="0.2">
      <c r="B97" s="59" t="s">
        <v>47</v>
      </c>
      <c r="C97" s="59" t="s">
        <v>36</v>
      </c>
      <c r="E97" s="67" t="b">
        <f>IF(E28&gt;6,TRUE,CHOOSE(E28+1,E41,E49,E57,E65,E73,E81,E89))</f>
        <v>0</v>
      </c>
      <c r="F97" s="67" t="b">
        <f t="shared" ref="F97:W97" si="79">IF(F28&gt;6,TRUE,CHOOSE(F28+1,F41,F49,F57,F65,F73,F81,F89))</f>
        <v>0</v>
      </c>
      <c r="G97" s="67" t="b">
        <f t="shared" si="79"/>
        <v>0</v>
      </c>
      <c r="H97" s="67" t="b">
        <f t="shared" si="79"/>
        <v>0</v>
      </c>
      <c r="I97" s="67" t="b">
        <f t="shared" si="79"/>
        <v>0</v>
      </c>
      <c r="J97" s="67" t="b">
        <f t="shared" si="79"/>
        <v>0</v>
      </c>
      <c r="K97" s="67" t="b">
        <f t="shared" si="79"/>
        <v>0</v>
      </c>
      <c r="L97" s="67" t="b">
        <f t="shared" si="79"/>
        <v>0</v>
      </c>
      <c r="M97" s="111" t="b">
        <f t="shared" si="79"/>
        <v>0</v>
      </c>
      <c r="N97" s="111" t="b">
        <f t="shared" si="79"/>
        <v>0</v>
      </c>
      <c r="O97" s="111" t="b">
        <f t="shared" si="79"/>
        <v>0</v>
      </c>
      <c r="P97" s="111" t="b">
        <f t="shared" si="79"/>
        <v>0</v>
      </c>
      <c r="Q97" s="111" t="b">
        <f t="shared" si="79"/>
        <v>0</v>
      </c>
      <c r="R97" s="111" t="b">
        <f t="shared" si="79"/>
        <v>0</v>
      </c>
      <c r="S97" s="111" t="b">
        <f t="shared" si="79"/>
        <v>0</v>
      </c>
      <c r="T97" s="111" t="b">
        <f t="shared" si="79"/>
        <v>0</v>
      </c>
      <c r="U97" s="111" t="b">
        <f t="shared" si="79"/>
        <v>0</v>
      </c>
      <c r="V97" s="111" t="b">
        <f t="shared" si="79"/>
        <v>0</v>
      </c>
      <c r="W97" s="111" t="b">
        <f t="shared" si="79"/>
        <v>0</v>
      </c>
      <c r="Y97" s="61"/>
      <c r="Z97" s="61"/>
      <c r="AA97" s="61"/>
    </row>
    <row r="98" spans="2:27" s="59" customFormat="1" x14ac:dyDescent="0.2">
      <c r="B98" s="59" t="s">
        <v>36</v>
      </c>
      <c r="C98" s="59" t="s">
        <v>36</v>
      </c>
      <c r="E98" s="67" t="b">
        <f>IF(E28&gt;6,TRUE,CHOOSE(E28+1,E42,E50,E58,E66,E74,E82,E90))</f>
        <v>0</v>
      </c>
      <c r="F98" s="67" t="b">
        <f t="shared" ref="F98:W98" si="80">IF(F28&gt;6,TRUE,CHOOSE(F28+1,F42,F50,F58,F66,F74,F82,F90))</f>
        <v>0</v>
      </c>
      <c r="G98" s="67" t="b">
        <f t="shared" si="80"/>
        <v>0</v>
      </c>
      <c r="H98" s="67" t="b">
        <f t="shared" si="80"/>
        <v>0</v>
      </c>
      <c r="I98" s="67" t="b">
        <f t="shared" si="80"/>
        <v>0</v>
      </c>
      <c r="J98" s="67" t="b">
        <f t="shared" si="80"/>
        <v>0</v>
      </c>
      <c r="K98" s="67" t="b">
        <f t="shared" si="80"/>
        <v>0</v>
      </c>
      <c r="L98" s="67" t="b">
        <f t="shared" si="80"/>
        <v>0</v>
      </c>
      <c r="M98" s="111" t="b">
        <f t="shared" si="80"/>
        <v>0</v>
      </c>
      <c r="N98" s="111" t="b">
        <f t="shared" si="80"/>
        <v>0</v>
      </c>
      <c r="O98" s="111" t="b">
        <f t="shared" si="80"/>
        <v>0</v>
      </c>
      <c r="P98" s="111" t="b">
        <f t="shared" si="80"/>
        <v>0</v>
      </c>
      <c r="Q98" s="111" t="b">
        <f t="shared" si="80"/>
        <v>0</v>
      </c>
      <c r="R98" s="111" t="b">
        <f t="shared" si="80"/>
        <v>0</v>
      </c>
      <c r="S98" s="111" t="b">
        <f t="shared" si="80"/>
        <v>0</v>
      </c>
      <c r="T98" s="111" t="b">
        <f t="shared" si="80"/>
        <v>0</v>
      </c>
      <c r="U98" s="111" t="b">
        <f t="shared" si="80"/>
        <v>0</v>
      </c>
      <c r="V98" s="111" t="b">
        <f t="shared" si="80"/>
        <v>1</v>
      </c>
      <c r="W98" s="111" t="b">
        <f t="shared" si="80"/>
        <v>1</v>
      </c>
      <c r="Y98" s="61"/>
      <c r="Z98" s="61"/>
      <c r="AA98" s="61"/>
    </row>
    <row r="99" spans="2:27" s="59" customFormat="1" x14ac:dyDescent="0.2">
      <c r="Y99" s="61"/>
      <c r="Z99" s="61"/>
      <c r="AA99" s="61"/>
    </row>
    <row r="100" spans="2:27" s="59" customFormat="1" x14ac:dyDescent="0.2">
      <c r="B100" s="72" t="s">
        <v>114</v>
      </c>
      <c r="C100" s="65"/>
      <c r="Y100" s="61"/>
      <c r="Z100" s="61"/>
      <c r="AA100" s="61"/>
    </row>
    <row r="101" spans="2:27" s="59" customFormat="1" x14ac:dyDescent="0.2">
      <c r="C101" s="65"/>
      <c r="Y101" s="61"/>
      <c r="Z101" s="61"/>
      <c r="AA101" s="61"/>
    </row>
    <row r="102" spans="2:27" s="59" customFormat="1" x14ac:dyDescent="0.2">
      <c r="B102" s="73" t="s">
        <v>108</v>
      </c>
      <c r="C102" s="65" t="s">
        <v>0</v>
      </c>
      <c r="E102" s="59">
        <f>IF(AND(E$92&lt;&gt;"",E$94&lt;&gt;""),E$92,0)</f>
        <v>0</v>
      </c>
      <c r="F102" s="59">
        <f t="shared" ref="F102:W102" si="81">IF(AND(F$92&lt;&gt;"",F$94&lt;&gt;""),F$92,0)</f>
        <v>0</v>
      </c>
      <c r="G102" s="59">
        <f t="shared" si="81"/>
        <v>0</v>
      </c>
      <c r="H102" s="59">
        <f t="shared" si="81"/>
        <v>0</v>
      </c>
      <c r="I102" s="59">
        <f t="shared" si="81"/>
        <v>0</v>
      </c>
      <c r="J102" s="59">
        <f t="shared" si="81"/>
        <v>0</v>
      </c>
      <c r="K102" s="59">
        <f t="shared" si="81"/>
        <v>0</v>
      </c>
      <c r="L102" s="59">
        <f t="shared" si="81"/>
        <v>8</v>
      </c>
      <c r="M102" s="59">
        <f t="shared" si="81"/>
        <v>0</v>
      </c>
      <c r="N102" s="59">
        <f t="shared" si="81"/>
        <v>20</v>
      </c>
      <c r="O102" s="59">
        <f t="shared" si="81"/>
        <v>0</v>
      </c>
      <c r="P102" s="59">
        <f t="shared" si="81"/>
        <v>0</v>
      </c>
      <c r="Q102" s="59">
        <f t="shared" si="81"/>
        <v>0</v>
      </c>
      <c r="R102" s="59">
        <f t="shared" si="81"/>
        <v>20</v>
      </c>
      <c r="S102" s="59">
        <f t="shared" si="81"/>
        <v>0</v>
      </c>
      <c r="T102" s="59">
        <f t="shared" si="81"/>
        <v>0</v>
      </c>
      <c r="U102" s="59">
        <f t="shared" si="81"/>
        <v>0</v>
      </c>
      <c r="V102" s="59">
        <f t="shared" si="81"/>
        <v>0</v>
      </c>
      <c r="W102" s="59">
        <f t="shared" si="81"/>
        <v>0</v>
      </c>
      <c r="Y102" s="61"/>
      <c r="Z102" s="61"/>
      <c r="AA102" s="61"/>
    </row>
    <row r="103" spans="2:27" s="59" customFormat="1" x14ac:dyDescent="0.2">
      <c r="C103" s="65" t="s">
        <v>2</v>
      </c>
      <c r="E103" s="59">
        <f>IF(AND(E$92&lt;&gt;"",E$94&lt;&gt;""),E$94,0)</f>
        <v>0</v>
      </c>
      <c r="F103" s="59">
        <f t="shared" ref="F103:W103" si="82">IF(AND(F$92&lt;&gt;"",F$94&lt;&gt;""),F$94,0)</f>
        <v>0</v>
      </c>
      <c r="G103" s="59">
        <f t="shared" si="82"/>
        <v>0</v>
      </c>
      <c r="H103" s="59">
        <f t="shared" si="82"/>
        <v>0</v>
      </c>
      <c r="I103" s="59">
        <f t="shared" si="82"/>
        <v>0</v>
      </c>
      <c r="J103" s="59">
        <f t="shared" si="82"/>
        <v>0</v>
      </c>
      <c r="K103" s="59">
        <f t="shared" si="82"/>
        <v>0</v>
      </c>
      <c r="L103" s="59">
        <f t="shared" si="82"/>
        <v>6.0119312330765867E-2</v>
      </c>
      <c r="M103" s="59">
        <f t="shared" si="82"/>
        <v>0</v>
      </c>
      <c r="N103" s="59">
        <f t="shared" si="82"/>
        <v>6.0113562015513496E-4</v>
      </c>
      <c r="O103" s="59">
        <f t="shared" si="82"/>
        <v>0</v>
      </c>
      <c r="P103" s="59">
        <f t="shared" si="82"/>
        <v>0</v>
      </c>
      <c r="Q103" s="59">
        <f t="shared" si="82"/>
        <v>0</v>
      </c>
      <c r="R103" s="59">
        <f t="shared" si="82"/>
        <v>9.0684559843778378E-2</v>
      </c>
      <c r="S103" s="59">
        <f t="shared" si="82"/>
        <v>0</v>
      </c>
      <c r="T103" s="59">
        <f t="shared" si="82"/>
        <v>0</v>
      </c>
      <c r="U103" s="59">
        <f t="shared" si="82"/>
        <v>0</v>
      </c>
      <c r="V103" s="59">
        <f t="shared" si="82"/>
        <v>0</v>
      </c>
      <c r="W103" s="59">
        <f t="shared" si="82"/>
        <v>0</v>
      </c>
      <c r="Y103" s="61"/>
      <c r="Z103" s="61"/>
      <c r="AA103" s="61"/>
    </row>
    <row r="104" spans="2:27" s="59" customFormat="1" ht="25.5" x14ac:dyDescent="0.2">
      <c r="B104" s="64" t="s">
        <v>115</v>
      </c>
      <c r="C104" s="65" t="s">
        <v>31</v>
      </c>
      <c r="E104" s="74">
        <f>IF(E102&lt;-50,#N/A,IF(E102&lt;0,EXP((1738.4+28.74*E102)/(271+E102)),IF(E102&lt;=100,EXP((1500.3+23.5*E102)/(234+E102)),#N/A)))</f>
        <v>608.82962187913188</v>
      </c>
      <c r="F104" s="74">
        <f t="shared" ref="F104:W104" si="83">IF(F102&lt;-50,#N/A,IF(F102&lt;0,EXP((1738.4+28.74*F102)/(271+F102)),IF(F102&lt;=100,EXP((1500.3+23.5*F102)/(234+F102)),#N/A)))</f>
        <v>608.82962187913188</v>
      </c>
      <c r="G104" s="74">
        <f t="shared" si="83"/>
        <v>608.82962187913188</v>
      </c>
      <c r="H104" s="74">
        <f t="shared" si="83"/>
        <v>608.82962187913188</v>
      </c>
      <c r="I104" s="74">
        <f t="shared" si="83"/>
        <v>608.82962187913188</v>
      </c>
      <c r="J104" s="74">
        <f t="shared" si="83"/>
        <v>608.82962187913188</v>
      </c>
      <c r="K104" s="74">
        <f t="shared" si="83"/>
        <v>608.82962187913188</v>
      </c>
      <c r="L104" s="74">
        <f t="shared" si="83"/>
        <v>1071.1051886578423</v>
      </c>
      <c r="M104" s="70">
        <f t="shared" si="83"/>
        <v>608.82962187913188</v>
      </c>
      <c r="N104" s="70">
        <f t="shared" si="83"/>
        <v>2338.0829353370973</v>
      </c>
      <c r="O104" s="70">
        <f t="shared" si="83"/>
        <v>608.82962187913188</v>
      </c>
      <c r="P104" s="70">
        <f t="shared" si="83"/>
        <v>608.82962187913188</v>
      </c>
      <c r="Q104" s="70">
        <f t="shared" si="83"/>
        <v>608.82962187913188</v>
      </c>
      <c r="R104" s="70">
        <f t="shared" si="83"/>
        <v>2338.0829353370973</v>
      </c>
      <c r="S104" s="70">
        <f t="shared" si="83"/>
        <v>608.82962187913188</v>
      </c>
      <c r="T104" s="70">
        <f t="shared" si="83"/>
        <v>608.82962187913188</v>
      </c>
      <c r="U104" s="70">
        <f t="shared" si="83"/>
        <v>608.82962187913188</v>
      </c>
      <c r="V104" s="70">
        <f t="shared" si="83"/>
        <v>608.82962187913188</v>
      </c>
      <c r="W104" s="70">
        <f t="shared" si="83"/>
        <v>608.82962187913188</v>
      </c>
      <c r="Y104" s="61"/>
      <c r="Z104" s="61"/>
      <c r="AA104" s="61"/>
    </row>
    <row r="105" spans="2:27" s="59" customFormat="1" ht="25.5" x14ac:dyDescent="0.2">
      <c r="B105" s="64" t="s">
        <v>115</v>
      </c>
      <c r="C105" s="65" t="s">
        <v>2</v>
      </c>
      <c r="E105" s="59">
        <f>0.6222*MaxVlhkost*E104/(Tlak_vzduchu-MaxVlhkost*E104/1000)</f>
        <v>4.0346050561264439</v>
      </c>
      <c r="F105" s="59">
        <f t="shared" ref="F105:N105" si="84">0.6222*MaxVlhkost*F104/(Tlak_vzduchu-MaxVlhkost*F104/1000)</f>
        <v>4.0346050561264439</v>
      </c>
      <c r="G105" s="59">
        <f t="shared" si="84"/>
        <v>4.0346050561264439</v>
      </c>
      <c r="H105" s="59">
        <f t="shared" si="84"/>
        <v>4.0346050561264439</v>
      </c>
      <c r="I105" s="59">
        <f t="shared" si="84"/>
        <v>4.0346050561264439</v>
      </c>
      <c r="J105" s="59">
        <f t="shared" si="84"/>
        <v>4.0346050561264439</v>
      </c>
      <c r="K105" s="59">
        <f t="shared" si="84"/>
        <v>4.0346050561264439</v>
      </c>
      <c r="L105" s="59">
        <f t="shared" si="84"/>
        <v>7.1331428005076241</v>
      </c>
      <c r="M105" s="59">
        <f t="shared" si="84"/>
        <v>4.0346050561264439</v>
      </c>
      <c r="N105" s="59">
        <f t="shared" si="84"/>
        <v>15.784775845602827</v>
      </c>
      <c r="O105" s="59">
        <f t="shared" ref="O105:W105" si="85">0.6222*MaxVlhkost*O104/(Tlak_vzduchu-MaxVlhkost*O104/1000)</f>
        <v>4.0346050561264439</v>
      </c>
      <c r="P105" s="59">
        <f t="shared" si="85"/>
        <v>4.0346050561264439</v>
      </c>
      <c r="Q105" s="59">
        <f t="shared" si="85"/>
        <v>4.0346050561264439</v>
      </c>
      <c r="R105" s="59">
        <f t="shared" si="85"/>
        <v>15.784775845602827</v>
      </c>
      <c r="S105" s="59">
        <f t="shared" si="85"/>
        <v>4.0346050561264439</v>
      </c>
      <c r="T105" s="59">
        <f t="shared" si="85"/>
        <v>4.0346050561264439</v>
      </c>
      <c r="U105" s="59">
        <f t="shared" si="85"/>
        <v>4.0346050561264439</v>
      </c>
      <c r="V105" s="59">
        <f t="shared" si="85"/>
        <v>4.0346050561264439</v>
      </c>
      <c r="W105" s="59">
        <f t="shared" si="85"/>
        <v>4.0346050561264439</v>
      </c>
      <c r="Y105" s="61"/>
      <c r="Z105" s="61"/>
      <c r="AA105" s="61"/>
    </row>
    <row r="106" spans="2:27" s="59" customFormat="1" x14ac:dyDescent="0.2">
      <c r="B106" s="75" t="s">
        <v>70</v>
      </c>
      <c r="C106" s="65" t="s">
        <v>33</v>
      </c>
      <c r="E106" s="59">
        <f>E102</f>
        <v>0</v>
      </c>
      <c r="F106" s="59">
        <f t="shared" ref="F106:W106" si="86">F102</f>
        <v>0</v>
      </c>
      <c r="G106" s="59">
        <f t="shared" si="86"/>
        <v>0</v>
      </c>
      <c r="H106" s="59">
        <f t="shared" si="86"/>
        <v>0</v>
      </c>
      <c r="I106" s="59">
        <f t="shared" si="86"/>
        <v>0</v>
      </c>
      <c r="J106" s="59">
        <f t="shared" si="86"/>
        <v>0</v>
      </c>
      <c r="K106" s="59">
        <f t="shared" si="86"/>
        <v>0</v>
      </c>
      <c r="L106" s="59">
        <f t="shared" si="86"/>
        <v>8</v>
      </c>
      <c r="M106" s="59">
        <f t="shared" si="86"/>
        <v>0</v>
      </c>
      <c r="N106" s="59">
        <f t="shared" si="86"/>
        <v>20</v>
      </c>
      <c r="O106" s="59">
        <f t="shared" si="86"/>
        <v>0</v>
      </c>
      <c r="P106" s="59">
        <f t="shared" si="86"/>
        <v>0</v>
      </c>
      <c r="Q106" s="59">
        <f t="shared" si="86"/>
        <v>0</v>
      </c>
      <c r="R106" s="59">
        <f t="shared" si="86"/>
        <v>20</v>
      </c>
      <c r="S106" s="59">
        <f t="shared" si="86"/>
        <v>0</v>
      </c>
      <c r="T106" s="59">
        <f t="shared" si="86"/>
        <v>0</v>
      </c>
      <c r="U106" s="59">
        <f t="shared" si="86"/>
        <v>0</v>
      </c>
      <c r="V106" s="59">
        <f t="shared" si="86"/>
        <v>0</v>
      </c>
      <c r="W106" s="59">
        <f t="shared" si="86"/>
        <v>0</v>
      </c>
      <c r="Y106" s="61"/>
      <c r="Z106" s="61"/>
      <c r="AA106" s="61"/>
    </row>
    <row r="107" spans="2:27" s="59" customFormat="1" x14ac:dyDescent="0.2">
      <c r="C107" s="65" t="s">
        <v>34</v>
      </c>
      <c r="E107" s="59">
        <f>MIN(E103,E105)</f>
        <v>0</v>
      </c>
      <c r="F107" s="59">
        <f t="shared" ref="F107:W107" si="87">MIN(F103,F105)</f>
        <v>0</v>
      </c>
      <c r="G107" s="59">
        <f t="shared" si="87"/>
        <v>0</v>
      </c>
      <c r="H107" s="59">
        <f t="shared" si="87"/>
        <v>0</v>
      </c>
      <c r="I107" s="59">
        <f t="shared" si="87"/>
        <v>0</v>
      </c>
      <c r="J107" s="59">
        <f t="shared" si="87"/>
        <v>0</v>
      </c>
      <c r="K107" s="59">
        <f t="shared" si="87"/>
        <v>0</v>
      </c>
      <c r="L107" s="59">
        <f t="shared" si="87"/>
        <v>6.0119312330765867E-2</v>
      </c>
      <c r="M107" s="59">
        <f t="shared" si="87"/>
        <v>0</v>
      </c>
      <c r="N107" s="59">
        <f t="shared" si="87"/>
        <v>6.0113562015513496E-4</v>
      </c>
      <c r="O107" s="59">
        <f t="shared" si="87"/>
        <v>0</v>
      </c>
      <c r="P107" s="59">
        <f t="shared" si="87"/>
        <v>0</v>
      </c>
      <c r="Q107" s="59">
        <f t="shared" si="87"/>
        <v>0</v>
      </c>
      <c r="R107" s="59">
        <f t="shared" si="87"/>
        <v>9.0684559843778378E-2</v>
      </c>
      <c r="S107" s="59">
        <f t="shared" si="87"/>
        <v>0</v>
      </c>
      <c r="T107" s="59">
        <f t="shared" si="87"/>
        <v>0</v>
      </c>
      <c r="U107" s="59">
        <f t="shared" si="87"/>
        <v>0</v>
      </c>
      <c r="V107" s="59">
        <f t="shared" si="87"/>
        <v>0</v>
      </c>
      <c r="W107" s="59">
        <f t="shared" si="87"/>
        <v>0</v>
      </c>
      <c r="Y107" s="61"/>
      <c r="Z107" s="61"/>
      <c r="AA107" s="61"/>
    </row>
    <row r="108" spans="2:27" s="59" customFormat="1" x14ac:dyDescent="0.2">
      <c r="C108" s="65"/>
      <c r="Y108" s="61"/>
      <c r="Z108" s="61"/>
      <c r="AA108" s="61"/>
    </row>
    <row r="109" spans="2:27" s="59" customFormat="1" x14ac:dyDescent="0.2">
      <c r="B109" s="73" t="s">
        <v>109</v>
      </c>
      <c r="C109" s="65" t="s">
        <v>0</v>
      </c>
      <c r="E109" s="59">
        <f>IF(AND(E$92&lt;&gt;"",E$95&lt;&gt;""),E$92,0)</f>
        <v>0</v>
      </c>
      <c r="F109" s="59">
        <f t="shared" ref="F109:W109" si="88">IF(AND(F$92&lt;&gt;"",F$95&lt;&gt;""),F$92,0)</f>
        <v>0</v>
      </c>
      <c r="G109" s="59">
        <f t="shared" si="88"/>
        <v>0</v>
      </c>
      <c r="H109" s="59">
        <f t="shared" si="88"/>
        <v>0</v>
      </c>
      <c r="I109" s="59">
        <f t="shared" si="88"/>
        <v>0</v>
      </c>
      <c r="J109" s="59">
        <f t="shared" si="88"/>
        <v>0</v>
      </c>
      <c r="K109" s="59">
        <f t="shared" si="88"/>
        <v>0</v>
      </c>
      <c r="L109" s="59">
        <f t="shared" si="88"/>
        <v>0</v>
      </c>
      <c r="M109" s="59">
        <f t="shared" si="88"/>
        <v>0</v>
      </c>
      <c r="N109" s="59">
        <f t="shared" si="88"/>
        <v>0</v>
      </c>
      <c r="O109" s="59">
        <f t="shared" si="88"/>
        <v>0</v>
      </c>
      <c r="P109" s="59">
        <f t="shared" si="88"/>
        <v>16</v>
      </c>
      <c r="Q109" s="59">
        <f t="shared" si="88"/>
        <v>0</v>
      </c>
      <c r="R109" s="59">
        <f t="shared" si="88"/>
        <v>0</v>
      </c>
      <c r="S109" s="59">
        <f t="shared" si="88"/>
        <v>0</v>
      </c>
      <c r="T109" s="59">
        <f t="shared" si="88"/>
        <v>0</v>
      </c>
      <c r="U109" s="59">
        <f t="shared" si="88"/>
        <v>0</v>
      </c>
      <c r="V109" s="59">
        <f t="shared" si="88"/>
        <v>0</v>
      </c>
      <c r="W109" s="59">
        <f t="shared" si="88"/>
        <v>0</v>
      </c>
      <c r="Y109" s="61"/>
      <c r="Z109" s="61"/>
      <c r="AA109" s="61"/>
    </row>
    <row r="110" spans="2:27" s="59" customFormat="1" x14ac:dyDescent="0.2">
      <c r="C110" s="65" t="s">
        <v>3</v>
      </c>
      <c r="E110" s="59">
        <f>IF(AND(E$92&lt;&gt;"",E$95&lt;&gt;""),E$95,0)</f>
        <v>0</v>
      </c>
      <c r="F110" s="59">
        <f t="shared" ref="F110:W110" si="89">IF(AND(F$92&lt;&gt;"",F$95&lt;&gt;""),F$95,0)</f>
        <v>0</v>
      </c>
      <c r="G110" s="59">
        <f t="shared" si="89"/>
        <v>0</v>
      </c>
      <c r="H110" s="59">
        <f t="shared" si="89"/>
        <v>0</v>
      </c>
      <c r="I110" s="59">
        <f t="shared" si="89"/>
        <v>0</v>
      </c>
      <c r="J110" s="59">
        <f t="shared" si="89"/>
        <v>0</v>
      </c>
      <c r="K110" s="59">
        <f t="shared" si="89"/>
        <v>0</v>
      </c>
      <c r="L110" s="59">
        <f t="shared" si="89"/>
        <v>0</v>
      </c>
      <c r="M110" s="59">
        <f t="shared" si="89"/>
        <v>0</v>
      </c>
      <c r="N110" s="59">
        <f t="shared" si="89"/>
        <v>0</v>
      </c>
      <c r="O110" s="59">
        <f t="shared" si="89"/>
        <v>0</v>
      </c>
      <c r="P110" s="59">
        <f t="shared" si="89"/>
        <v>39.446082331350226</v>
      </c>
      <c r="Q110" s="59">
        <f t="shared" si="89"/>
        <v>0</v>
      </c>
      <c r="R110" s="59">
        <f t="shared" si="89"/>
        <v>0</v>
      </c>
      <c r="S110" s="59">
        <f t="shared" si="89"/>
        <v>0</v>
      </c>
      <c r="T110" s="59">
        <f t="shared" si="89"/>
        <v>0</v>
      </c>
      <c r="U110" s="59">
        <f t="shared" si="89"/>
        <v>0</v>
      </c>
      <c r="V110" s="59">
        <f t="shared" si="89"/>
        <v>0</v>
      </c>
      <c r="W110" s="59">
        <f t="shared" si="89"/>
        <v>0</v>
      </c>
      <c r="Y110" s="61"/>
      <c r="Z110" s="61"/>
      <c r="AA110" s="61"/>
    </row>
    <row r="111" spans="2:27" s="59" customFormat="1" ht="25.5" x14ac:dyDescent="0.2">
      <c r="B111" s="64" t="s">
        <v>115</v>
      </c>
      <c r="C111" s="65" t="s">
        <v>31</v>
      </c>
      <c r="E111" s="74">
        <f>IF(E109&lt;-50,#N/A,IF(E109&lt;0,EXP((1738.4+28.74*E109)/(271+E109)),IF(E109&lt;=100,EXP((1500.3+23.5*E109)/(234+E109)),#N/A)))</f>
        <v>608.82962187913188</v>
      </c>
      <c r="F111" s="74">
        <f t="shared" ref="F111:W111" si="90">IF(F109&lt;-50,#N/A,IF(F109&lt;0,EXP((1738.4+28.74*F109)/(271+F109)),IF(F109&lt;=100,EXP((1500.3+23.5*F109)/(234+F109)),#N/A)))</f>
        <v>608.82962187913188</v>
      </c>
      <c r="G111" s="74">
        <f t="shared" si="90"/>
        <v>608.82962187913188</v>
      </c>
      <c r="H111" s="74">
        <f t="shared" si="90"/>
        <v>608.82962187913188</v>
      </c>
      <c r="I111" s="74">
        <f t="shared" si="90"/>
        <v>608.82962187913188</v>
      </c>
      <c r="J111" s="74">
        <f t="shared" si="90"/>
        <v>608.82962187913188</v>
      </c>
      <c r="K111" s="74">
        <f t="shared" si="90"/>
        <v>608.82962187913188</v>
      </c>
      <c r="L111" s="74">
        <f t="shared" si="90"/>
        <v>608.82962187913188</v>
      </c>
      <c r="M111" s="70">
        <f t="shared" si="90"/>
        <v>608.82962187913188</v>
      </c>
      <c r="N111" s="70">
        <f t="shared" si="90"/>
        <v>608.82962187913188</v>
      </c>
      <c r="O111" s="70">
        <f t="shared" si="90"/>
        <v>608.82962187913188</v>
      </c>
      <c r="P111" s="70">
        <f t="shared" si="90"/>
        <v>1817.4687221706879</v>
      </c>
      <c r="Q111" s="70">
        <f t="shared" si="90"/>
        <v>608.82962187913188</v>
      </c>
      <c r="R111" s="70">
        <f t="shared" si="90"/>
        <v>608.82962187913188</v>
      </c>
      <c r="S111" s="70">
        <f t="shared" si="90"/>
        <v>608.82962187913188</v>
      </c>
      <c r="T111" s="70">
        <f t="shared" si="90"/>
        <v>608.82962187913188</v>
      </c>
      <c r="U111" s="70">
        <f t="shared" si="90"/>
        <v>608.82962187913188</v>
      </c>
      <c r="V111" s="70">
        <f t="shared" si="90"/>
        <v>608.82962187913188</v>
      </c>
      <c r="W111" s="70">
        <f t="shared" si="90"/>
        <v>608.82962187913188</v>
      </c>
      <c r="Y111" s="61"/>
      <c r="Z111" s="61"/>
      <c r="AA111" s="61"/>
    </row>
    <row r="112" spans="2:27" s="59" customFormat="1" ht="25.5" x14ac:dyDescent="0.2">
      <c r="B112" s="64" t="s">
        <v>115</v>
      </c>
      <c r="C112" s="65" t="s">
        <v>2</v>
      </c>
      <c r="E112" s="59">
        <f>0.6222*MaxVlhkost*E111/(Tlak_vzduchu-MaxVlhkost*E111/1000)</f>
        <v>4.0346050561264439</v>
      </c>
      <c r="F112" s="59">
        <f t="shared" ref="F112:N112" si="91">0.6222*MaxVlhkost*F111/(Tlak_vzduchu-MaxVlhkost*F111/1000)</f>
        <v>4.0346050561264439</v>
      </c>
      <c r="G112" s="59">
        <f t="shared" si="91"/>
        <v>4.0346050561264439</v>
      </c>
      <c r="H112" s="59">
        <f t="shared" si="91"/>
        <v>4.0346050561264439</v>
      </c>
      <c r="I112" s="59">
        <f t="shared" si="91"/>
        <v>4.0346050561264439</v>
      </c>
      <c r="J112" s="59">
        <f t="shared" si="91"/>
        <v>4.0346050561264439</v>
      </c>
      <c r="K112" s="59">
        <f t="shared" si="91"/>
        <v>4.0346050561264439</v>
      </c>
      <c r="L112" s="59">
        <f t="shared" si="91"/>
        <v>4.0346050561264439</v>
      </c>
      <c r="M112" s="59">
        <f t="shared" si="91"/>
        <v>4.0346050561264439</v>
      </c>
      <c r="N112" s="59">
        <f t="shared" si="91"/>
        <v>4.0346050561264439</v>
      </c>
      <c r="O112" s="59">
        <f t="shared" ref="O112:W112" si="92">0.6222*MaxVlhkost*O111/(Tlak_vzduchu-MaxVlhkost*O111/1000)</f>
        <v>4.0346050561264439</v>
      </c>
      <c r="P112" s="59">
        <f t="shared" si="92"/>
        <v>12.20110222869052</v>
      </c>
      <c r="Q112" s="59">
        <f t="shared" si="92"/>
        <v>4.0346050561264439</v>
      </c>
      <c r="R112" s="59">
        <f t="shared" si="92"/>
        <v>4.0346050561264439</v>
      </c>
      <c r="S112" s="59">
        <f t="shared" si="92"/>
        <v>4.0346050561264439</v>
      </c>
      <c r="T112" s="59">
        <f t="shared" si="92"/>
        <v>4.0346050561264439</v>
      </c>
      <c r="U112" s="59">
        <f t="shared" si="92"/>
        <v>4.0346050561264439</v>
      </c>
      <c r="V112" s="59">
        <f t="shared" si="92"/>
        <v>4.0346050561264439</v>
      </c>
      <c r="W112" s="59">
        <f t="shared" si="92"/>
        <v>4.0346050561264439</v>
      </c>
      <c r="Y112" s="61"/>
      <c r="Z112" s="61"/>
      <c r="AA112" s="61"/>
    </row>
    <row r="113" spans="2:27" s="59" customFormat="1" ht="38.25" x14ac:dyDescent="0.2">
      <c r="B113" s="64" t="s">
        <v>117</v>
      </c>
      <c r="C113" s="65" t="s">
        <v>2</v>
      </c>
      <c r="E113" s="59">
        <f>(E110-1.01*E109)/(2501+1.86*E109)*1000</f>
        <v>0</v>
      </c>
      <c r="F113" s="59">
        <f t="shared" ref="F113:W113" si="93">(F110-1.01*F109)/(2501+1.86*F109)*1000</f>
        <v>0</v>
      </c>
      <c r="G113" s="59">
        <f t="shared" si="93"/>
        <v>0</v>
      </c>
      <c r="H113" s="59">
        <f t="shared" si="93"/>
        <v>0</v>
      </c>
      <c r="I113" s="59">
        <f t="shared" si="93"/>
        <v>0</v>
      </c>
      <c r="J113" s="59">
        <f t="shared" si="93"/>
        <v>0</v>
      </c>
      <c r="K113" s="59">
        <f t="shared" si="93"/>
        <v>0</v>
      </c>
      <c r="L113" s="59">
        <f t="shared" si="93"/>
        <v>0</v>
      </c>
      <c r="M113" s="59">
        <f t="shared" si="93"/>
        <v>0</v>
      </c>
      <c r="N113" s="59">
        <f t="shared" si="93"/>
        <v>0</v>
      </c>
      <c r="O113" s="59">
        <f t="shared" si="93"/>
        <v>0</v>
      </c>
      <c r="P113" s="59">
        <f t="shared" si="93"/>
        <v>9.2012211080269264</v>
      </c>
      <c r="Q113" s="59">
        <f t="shared" si="93"/>
        <v>0</v>
      </c>
      <c r="R113" s="59">
        <f t="shared" si="93"/>
        <v>0</v>
      </c>
      <c r="S113" s="59">
        <f t="shared" si="93"/>
        <v>0</v>
      </c>
      <c r="T113" s="59">
        <f t="shared" si="93"/>
        <v>0</v>
      </c>
      <c r="U113" s="59">
        <f t="shared" si="93"/>
        <v>0</v>
      </c>
      <c r="V113" s="59">
        <f t="shared" si="93"/>
        <v>0</v>
      </c>
      <c r="W113" s="59">
        <f t="shared" si="93"/>
        <v>0</v>
      </c>
      <c r="Y113" s="61"/>
      <c r="Z113" s="61"/>
      <c r="AA113" s="61"/>
    </row>
    <row r="114" spans="2:27" s="59" customFormat="1" x14ac:dyDescent="0.2">
      <c r="B114" s="76" t="s">
        <v>70</v>
      </c>
      <c r="C114" s="65" t="s">
        <v>33</v>
      </c>
      <c r="E114" s="59">
        <f>E109</f>
        <v>0</v>
      </c>
      <c r="F114" s="59">
        <f t="shared" ref="F114:W114" si="94">F109</f>
        <v>0</v>
      </c>
      <c r="G114" s="59">
        <f t="shared" si="94"/>
        <v>0</v>
      </c>
      <c r="H114" s="59">
        <f t="shared" si="94"/>
        <v>0</v>
      </c>
      <c r="I114" s="59">
        <f t="shared" si="94"/>
        <v>0</v>
      </c>
      <c r="J114" s="59">
        <f t="shared" si="94"/>
        <v>0</v>
      </c>
      <c r="K114" s="59">
        <f t="shared" si="94"/>
        <v>0</v>
      </c>
      <c r="L114" s="59">
        <f t="shared" si="94"/>
        <v>0</v>
      </c>
      <c r="M114" s="59">
        <f t="shared" si="94"/>
        <v>0</v>
      </c>
      <c r="N114" s="59">
        <f t="shared" si="94"/>
        <v>0</v>
      </c>
      <c r="O114" s="59">
        <f t="shared" si="94"/>
        <v>0</v>
      </c>
      <c r="P114" s="59">
        <f t="shared" si="94"/>
        <v>16</v>
      </c>
      <c r="Q114" s="59">
        <f t="shared" si="94"/>
        <v>0</v>
      </c>
      <c r="R114" s="59">
        <f t="shared" si="94"/>
        <v>0</v>
      </c>
      <c r="S114" s="59">
        <f t="shared" si="94"/>
        <v>0</v>
      </c>
      <c r="T114" s="59">
        <f t="shared" si="94"/>
        <v>0</v>
      </c>
      <c r="U114" s="59">
        <f t="shared" si="94"/>
        <v>0</v>
      </c>
      <c r="V114" s="59">
        <f t="shared" si="94"/>
        <v>0</v>
      </c>
      <c r="W114" s="59">
        <f t="shared" si="94"/>
        <v>0</v>
      </c>
      <c r="Y114" s="61"/>
      <c r="Z114" s="61"/>
      <c r="AA114" s="61"/>
    </row>
    <row r="115" spans="2:27" s="59" customFormat="1" x14ac:dyDescent="0.2">
      <c r="C115" s="65" t="s">
        <v>34</v>
      </c>
      <c r="E115" s="59">
        <f>MIN(E112,E113)</f>
        <v>0</v>
      </c>
      <c r="F115" s="59">
        <f t="shared" ref="F115:W115" si="95">MIN(F112,F113)</f>
        <v>0</v>
      </c>
      <c r="G115" s="59">
        <f t="shared" si="95"/>
        <v>0</v>
      </c>
      <c r="H115" s="59">
        <f t="shared" si="95"/>
        <v>0</v>
      </c>
      <c r="I115" s="59">
        <f t="shared" si="95"/>
        <v>0</v>
      </c>
      <c r="J115" s="59">
        <f t="shared" si="95"/>
        <v>0</v>
      </c>
      <c r="K115" s="59">
        <f t="shared" si="95"/>
        <v>0</v>
      </c>
      <c r="L115" s="59">
        <f t="shared" si="95"/>
        <v>0</v>
      </c>
      <c r="M115" s="59">
        <f t="shared" si="95"/>
        <v>0</v>
      </c>
      <c r="N115" s="59">
        <f t="shared" si="95"/>
        <v>0</v>
      </c>
      <c r="O115" s="59">
        <f t="shared" si="95"/>
        <v>0</v>
      </c>
      <c r="P115" s="59">
        <f t="shared" si="95"/>
        <v>9.2012211080269264</v>
      </c>
      <c r="Q115" s="59">
        <f t="shared" si="95"/>
        <v>0</v>
      </c>
      <c r="R115" s="59">
        <f t="shared" si="95"/>
        <v>0</v>
      </c>
      <c r="S115" s="59">
        <f t="shared" si="95"/>
        <v>0</v>
      </c>
      <c r="T115" s="59">
        <f t="shared" si="95"/>
        <v>0</v>
      </c>
      <c r="U115" s="59">
        <f t="shared" si="95"/>
        <v>0</v>
      </c>
      <c r="V115" s="59">
        <f t="shared" si="95"/>
        <v>0</v>
      </c>
      <c r="W115" s="59">
        <f t="shared" si="95"/>
        <v>0</v>
      </c>
      <c r="Y115" s="61"/>
      <c r="Z115" s="61"/>
      <c r="AA115" s="61"/>
    </row>
    <row r="116" spans="2:27" s="59" customFormat="1" x14ac:dyDescent="0.2">
      <c r="C116" s="65"/>
      <c r="Y116" s="61"/>
      <c r="Z116" s="61"/>
      <c r="AA116" s="61"/>
    </row>
    <row r="117" spans="2:27" s="59" customFormat="1" x14ac:dyDescent="0.2">
      <c r="B117" s="73" t="s">
        <v>110</v>
      </c>
      <c r="C117" s="65" t="s">
        <v>0</v>
      </c>
      <c r="E117" s="59">
        <f>IF(AND(E$92&lt;&gt;"",E$93&lt;&gt;""),E$92,0)</f>
        <v>-25</v>
      </c>
      <c r="F117" s="59">
        <f t="shared" ref="F117:W117" si="96">IF(AND(F$92&lt;&gt;"",F$93&lt;&gt;""),F$92,0)</f>
        <v>-25</v>
      </c>
      <c r="G117" s="59">
        <f t="shared" si="96"/>
        <v>-25</v>
      </c>
      <c r="H117" s="59">
        <f t="shared" si="96"/>
        <v>-25</v>
      </c>
      <c r="I117" s="59">
        <f t="shared" si="96"/>
        <v>20</v>
      </c>
      <c r="J117" s="59">
        <f t="shared" si="96"/>
        <v>0</v>
      </c>
      <c r="K117" s="59">
        <f t="shared" si="96"/>
        <v>5.6834135234056342</v>
      </c>
      <c r="L117" s="59">
        <f t="shared" si="96"/>
        <v>0</v>
      </c>
      <c r="M117" s="59">
        <f t="shared" si="96"/>
        <v>8</v>
      </c>
      <c r="N117" s="59">
        <f t="shared" si="96"/>
        <v>0</v>
      </c>
      <c r="O117" s="59">
        <f t="shared" si="96"/>
        <v>35</v>
      </c>
      <c r="P117" s="59">
        <f t="shared" si="96"/>
        <v>0</v>
      </c>
      <c r="Q117" s="59">
        <f t="shared" si="96"/>
        <v>16</v>
      </c>
      <c r="R117" s="59">
        <f t="shared" si="96"/>
        <v>0</v>
      </c>
      <c r="S117" s="59">
        <f t="shared" si="96"/>
        <v>20</v>
      </c>
      <c r="T117" s="59">
        <f t="shared" si="96"/>
        <v>20</v>
      </c>
      <c r="U117" s="59">
        <f t="shared" si="96"/>
        <v>20</v>
      </c>
      <c r="V117" s="59">
        <f t="shared" si="96"/>
        <v>0</v>
      </c>
      <c r="W117" s="59">
        <f t="shared" si="96"/>
        <v>0</v>
      </c>
      <c r="Y117" s="61"/>
      <c r="Z117" s="61"/>
      <c r="AA117" s="61"/>
    </row>
    <row r="118" spans="2:27" s="59" customFormat="1" ht="12" customHeight="1" x14ac:dyDescent="0.2">
      <c r="C118" s="65" t="s">
        <v>32</v>
      </c>
      <c r="E118" s="59">
        <f>IF(AND(E$92&lt;&gt;"",E$93&lt;&gt;""),MIN(E$93,MaxVlhkost),0)</f>
        <v>0.2</v>
      </c>
      <c r="F118" s="59">
        <f t="shared" ref="F118:W118" si="97">IF(AND(F$92&lt;&gt;"",F$93&lt;&gt;""),MIN(F$93,MaxVlhkost),0)</f>
        <v>0.2</v>
      </c>
      <c r="G118" s="59">
        <f t="shared" si="97"/>
        <v>0.2</v>
      </c>
      <c r="H118" s="59">
        <f t="shared" si="97"/>
        <v>0.2</v>
      </c>
      <c r="I118" s="59">
        <f t="shared" si="97"/>
        <v>0.6</v>
      </c>
      <c r="J118" s="59">
        <f t="shared" si="97"/>
        <v>0</v>
      </c>
      <c r="K118" s="59">
        <f t="shared" si="97"/>
        <v>0.01</v>
      </c>
      <c r="L118" s="59">
        <f t="shared" si="97"/>
        <v>0</v>
      </c>
      <c r="M118" s="59">
        <f t="shared" si="97"/>
        <v>8.5239662554749916E-5</v>
      </c>
      <c r="N118" s="59">
        <f t="shared" si="97"/>
        <v>0</v>
      </c>
      <c r="O118" s="59">
        <f t="shared" si="97"/>
        <v>0.4</v>
      </c>
      <c r="P118" s="59">
        <f t="shared" si="97"/>
        <v>0</v>
      </c>
      <c r="Q118" s="59">
        <f t="shared" si="97"/>
        <v>7.5771330367416147E-3</v>
      </c>
      <c r="R118" s="59">
        <f t="shared" si="97"/>
        <v>0</v>
      </c>
      <c r="S118" s="59">
        <f t="shared" si="97"/>
        <v>5.889954581965501E-5</v>
      </c>
      <c r="T118" s="59">
        <f t="shared" si="97"/>
        <v>5.8899545819655011E-7</v>
      </c>
      <c r="U118" s="59">
        <f t="shared" si="97"/>
        <v>5.889954581965502E-9</v>
      </c>
      <c r="V118" s="59">
        <f t="shared" si="97"/>
        <v>0</v>
      </c>
      <c r="W118" s="59">
        <f t="shared" si="97"/>
        <v>0</v>
      </c>
      <c r="Y118" s="61"/>
      <c r="Z118" s="61"/>
      <c r="AA118" s="61"/>
    </row>
    <row r="119" spans="2:27" s="59" customFormat="1" ht="12" customHeight="1" x14ac:dyDescent="0.2">
      <c r="C119" s="65" t="s">
        <v>31</v>
      </c>
      <c r="E119" s="74">
        <f>IF(E117&lt;-50,#N/A,IF(E117&lt;0,EXP((1738.4+28.74*E117)/(271+E117)),IF(E117&lt;=100,EXP((1500.3+23.5*E117)/(234+E117)),#N/A)))</f>
        <v>63.176661908168398</v>
      </c>
      <c r="F119" s="74">
        <f t="shared" ref="F119:W119" si="98">IF(F117&lt;-50,#N/A,IF(F117&lt;0,EXP((1738.4+28.74*F117)/(271+F117)),IF(F117&lt;=100,EXP((1500.3+23.5*F117)/(234+F117)),#N/A)))</f>
        <v>63.176661908168398</v>
      </c>
      <c r="G119" s="74">
        <f t="shared" si="98"/>
        <v>63.176661908168398</v>
      </c>
      <c r="H119" s="74">
        <f t="shared" si="98"/>
        <v>63.176661908168398</v>
      </c>
      <c r="I119" s="74">
        <f t="shared" si="98"/>
        <v>2338.0829353370973</v>
      </c>
      <c r="J119" s="74">
        <f t="shared" si="98"/>
        <v>608.82962187913188</v>
      </c>
      <c r="K119" s="74">
        <f t="shared" si="98"/>
        <v>913.0064484183622</v>
      </c>
      <c r="L119" s="74">
        <f t="shared" si="98"/>
        <v>608.82962187913188</v>
      </c>
      <c r="M119" s="70">
        <f t="shared" si="98"/>
        <v>1071.1051886578423</v>
      </c>
      <c r="N119" s="70">
        <f t="shared" si="98"/>
        <v>608.82962187913188</v>
      </c>
      <c r="O119" s="70">
        <f t="shared" si="98"/>
        <v>5624.8200638844883</v>
      </c>
      <c r="P119" s="70">
        <f t="shared" si="98"/>
        <v>608.82962187913188</v>
      </c>
      <c r="Q119" s="70">
        <f t="shared" si="98"/>
        <v>1817.4687221706879</v>
      </c>
      <c r="R119" s="70">
        <f t="shared" si="98"/>
        <v>608.82962187913188</v>
      </c>
      <c r="S119" s="70">
        <f t="shared" si="98"/>
        <v>2338.0829353370973</v>
      </c>
      <c r="T119" s="70">
        <f t="shared" si="98"/>
        <v>2338.0829353370973</v>
      </c>
      <c r="U119" s="70">
        <f t="shared" si="98"/>
        <v>2338.0829353370973</v>
      </c>
      <c r="V119" s="70">
        <f t="shared" si="98"/>
        <v>608.82962187913188</v>
      </c>
      <c r="W119" s="70">
        <f t="shared" si="98"/>
        <v>608.82962187913188</v>
      </c>
      <c r="Y119" s="61"/>
      <c r="Z119" s="61"/>
      <c r="AA119" s="61"/>
    </row>
    <row r="120" spans="2:27" s="59" customFormat="1" ht="12" customHeight="1" x14ac:dyDescent="0.2">
      <c r="B120" s="76" t="s">
        <v>70</v>
      </c>
      <c r="C120" s="65" t="s">
        <v>33</v>
      </c>
      <c r="E120" s="74">
        <f>E117</f>
        <v>-25</v>
      </c>
      <c r="F120" s="74">
        <f t="shared" ref="F120:W120" si="99">F117</f>
        <v>-25</v>
      </c>
      <c r="G120" s="74">
        <f t="shared" si="99"/>
        <v>-25</v>
      </c>
      <c r="H120" s="74">
        <f t="shared" si="99"/>
        <v>-25</v>
      </c>
      <c r="I120" s="74">
        <f t="shared" si="99"/>
        <v>20</v>
      </c>
      <c r="J120" s="74">
        <f t="shared" si="99"/>
        <v>0</v>
      </c>
      <c r="K120" s="74">
        <f t="shared" si="99"/>
        <v>5.6834135234056342</v>
      </c>
      <c r="L120" s="74">
        <f t="shared" si="99"/>
        <v>0</v>
      </c>
      <c r="M120" s="70">
        <f t="shared" si="99"/>
        <v>8</v>
      </c>
      <c r="N120" s="70">
        <f t="shared" si="99"/>
        <v>0</v>
      </c>
      <c r="O120" s="70">
        <f t="shared" si="99"/>
        <v>35</v>
      </c>
      <c r="P120" s="70">
        <f t="shared" si="99"/>
        <v>0</v>
      </c>
      <c r="Q120" s="70">
        <f t="shared" si="99"/>
        <v>16</v>
      </c>
      <c r="R120" s="70">
        <f t="shared" si="99"/>
        <v>0</v>
      </c>
      <c r="S120" s="70">
        <f t="shared" si="99"/>
        <v>20</v>
      </c>
      <c r="T120" s="70">
        <f t="shared" si="99"/>
        <v>20</v>
      </c>
      <c r="U120" s="70">
        <f t="shared" si="99"/>
        <v>20</v>
      </c>
      <c r="V120" s="70">
        <f t="shared" si="99"/>
        <v>0</v>
      </c>
      <c r="W120" s="70">
        <f t="shared" si="99"/>
        <v>0</v>
      </c>
      <c r="Y120" s="61"/>
      <c r="Z120" s="61"/>
      <c r="AA120" s="61"/>
    </row>
    <row r="121" spans="2:27" s="59" customFormat="1" ht="12" customHeight="1" x14ac:dyDescent="0.2">
      <c r="C121" s="65" t="s">
        <v>34</v>
      </c>
      <c r="E121" s="59">
        <f>0.6222*E118*E119/(Tlak_vzduchu-E118*E119/1000)</f>
        <v>8.3203757830561539E-2</v>
      </c>
      <c r="F121" s="59">
        <f t="shared" ref="F121:N121" si="100">0.6222*F118*F119/(Tlak_vzduchu-F118*F119/1000)</f>
        <v>8.3203757830561539E-2</v>
      </c>
      <c r="G121" s="59">
        <f t="shared" si="100"/>
        <v>8.3203757830561539E-2</v>
      </c>
      <c r="H121" s="59">
        <f t="shared" si="100"/>
        <v>8.3203757830561539E-2</v>
      </c>
      <c r="I121" s="59">
        <f t="shared" si="100"/>
        <v>9.3757233081908904</v>
      </c>
      <c r="J121" s="59">
        <f t="shared" si="100"/>
        <v>0</v>
      </c>
      <c r="K121" s="59">
        <f t="shared" si="100"/>
        <v>6.0119312330765867E-2</v>
      </c>
      <c r="L121" s="59">
        <f t="shared" si="100"/>
        <v>0</v>
      </c>
      <c r="M121" s="59">
        <f t="shared" si="100"/>
        <v>6.0113562015513496E-4</v>
      </c>
      <c r="N121" s="59">
        <f t="shared" si="100"/>
        <v>0</v>
      </c>
      <c r="O121" s="59">
        <f t="shared" ref="O121:W121" si="101">0.6222*O118*O119/(Tlak_vzduchu-O118*O119/1000)</f>
        <v>15.17511246915182</v>
      </c>
      <c r="P121" s="59">
        <f t="shared" si="101"/>
        <v>0</v>
      </c>
      <c r="Q121" s="59">
        <f t="shared" si="101"/>
        <v>9.0684559843778378E-2</v>
      </c>
      <c r="R121" s="59">
        <f t="shared" si="101"/>
        <v>0</v>
      </c>
      <c r="S121" s="59">
        <f t="shared" si="101"/>
        <v>9.0671476786990859E-4</v>
      </c>
      <c r="T121" s="59">
        <f t="shared" si="101"/>
        <v>9.0671345975486622E-6</v>
      </c>
      <c r="U121" s="59">
        <f t="shared" si="101"/>
        <v>9.0671344667373509E-8</v>
      </c>
      <c r="V121" s="59">
        <f t="shared" si="101"/>
        <v>0</v>
      </c>
      <c r="W121" s="59">
        <f t="shared" si="101"/>
        <v>0</v>
      </c>
      <c r="Y121" s="61"/>
      <c r="Z121" s="61"/>
      <c r="AA121" s="61"/>
    </row>
    <row r="122" spans="2:27" s="59" customFormat="1" x14ac:dyDescent="0.2">
      <c r="C122" s="65"/>
      <c r="Y122" s="61"/>
      <c r="Z122" s="61"/>
      <c r="AA122" s="61"/>
    </row>
    <row r="123" spans="2:27" s="59" customFormat="1" x14ac:dyDescent="0.2">
      <c r="B123" s="73" t="s">
        <v>111</v>
      </c>
      <c r="C123" s="65" t="s">
        <v>3</v>
      </c>
      <c r="E123" s="59">
        <f>IF(AND(E$94&lt;&gt;"",E$95&lt;&gt;""),E$95,0)</f>
        <v>0</v>
      </c>
      <c r="F123" s="59">
        <f t="shared" ref="F123:W123" si="102">IF(AND(F$94&lt;&gt;"",F$95&lt;&gt;""),F$95,0)</f>
        <v>0</v>
      </c>
      <c r="G123" s="59">
        <f t="shared" si="102"/>
        <v>0</v>
      </c>
      <c r="H123" s="59">
        <f t="shared" si="102"/>
        <v>0</v>
      </c>
      <c r="I123" s="59">
        <f t="shared" si="102"/>
        <v>0</v>
      </c>
      <c r="J123" s="59">
        <f t="shared" si="102"/>
        <v>20.98304847509845</v>
      </c>
      <c r="K123" s="59">
        <f t="shared" si="102"/>
        <v>0</v>
      </c>
      <c r="L123" s="59">
        <f t="shared" si="102"/>
        <v>0</v>
      </c>
      <c r="M123" s="59">
        <f t="shared" si="102"/>
        <v>0</v>
      </c>
      <c r="N123" s="59">
        <f t="shared" si="102"/>
        <v>0</v>
      </c>
      <c r="O123" s="59">
        <f t="shared" si="102"/>
        <v>0</v>
      </c>
      <c r="P123" s="59">
        <f t="shared" si="102"/>
        <v>0</v>
      </c>
      <c r="Q123" s="59">
        <f t="shared" si="102"/>
        <v>0</v>
      </c>
      <c r="R123" s="59">
        <f t="shared" si="102"/>
        <v>0</v>
      </c>
      <c r="S123" s="59">
        <f t="shared" si="102"/>
        <v>0</v>
      </c>
      <c r="T123" s="59">
        <f t="shared" si="102"/>
        <v>0</v>
      </c>
      <c r="U123" s="59">
        <f t="shared" si="102"/>
        <v>0</v>
      </c>
      <c r="V123" s="59">
        <f t="shared" si="102"/>
        <v>0</v>
      </c>
      <c r="W123" s="59">
        <f t="shared" si="102"/>
        <v>0</v>
      </c>
      <c r="Y123" s="61"/>
      <c r="Z123" s="61"/>
      <c r="AA123" s="61"/>
    </row>
    <row r="124" spans="2:27" s="59" customFormat="1" x14ac:dyDescent="0.2">
      <c r="C124" s="65" t="s">
        <v>2</v>
      </c>
      <c r="E124" s="59">
        <f>IF(AND(E$94&lt;&gt;"",E$95&lt;&gt;""),E$94,0)</f>
        <v>0</v>
      </c>
      <c r="F124" s="59">
        <f t="shared" ref="F124:W124" si="103">IF(AND(F$94&lt;&gt;"",F$95&lt;&gt;""),F$94,0)</f>
        <v>0</v>
      </c>
      <c r="G124" s="59">
        <f t="shared" si="103"/>
        <v>0</v>
      </c>
      <c r="H124" s="59">
        <f t="shared" si="103"/>
        <v>0</v>
      </c>
      <c r="I124" s="59">
        <f t="shared" si="103"/>
        <v>0</v>
      </c>
      <c r="J124" s="59">
        <f t="shared" si="103"/>
        <v>6.2782167914041143</v>
      </c>
      <c r="K124" s="59">
        <f t="shared" si="103"/>
        <v>0</v>
      </c>
      <c r="L124" s="59">
        <f t="shared" si="103"/>
        <v>0</v>
      </c>
      <c r="M124" s="59">
        <f t="shared" si="103"/>
        <v>0</v>
      </c>
      <c r="N124" s="59">
        <f t="shared" si="103"/>
        <v>0</v>
      </c>
      <c r="O124" s="59">
        <f t="shared" si="103"/>
        <v>0</v>
      </c>
      <c r="P124" s="59">
        <f t="shared" si="103"/>
        <v>0</v>
      </c>
      <c r="Q124" s="59">
        <f t="shared" si="103"/>
        <v>0</v>
      </c>
      <c r="R124" s="59">
        <f t="shared" si="103"/>
        <v>0</v>
      </c>
      <c r="S124" s="59">
        <f t="shared" si="103"/>
        <v>0</v>
      </c>
      <c r="T124" s="59">
        <f t="shared" si="103"/>
        <v>0</v>
      </c>
      <c r="U124" s="59">
        <f t="shared" si="103"/>
        <v>0</v>
      </c>
      <c r="V124" s="59">
        <f t="shared" si="103"/>
        <v>0</v>
      </c>
      <c r="W124" s="59">
        <f t="shared" si="103"/>
        <v>0</v>
      </c>
      <c r="Y124" s="61"/>
      <c r="Z124" s="61"/>
      <c r="AA124" s="61"/>
    </row>
    <row r="125" spans="2:27" s="59" customFormat="1" x14ac:dyDescent="0.2">
      <c r="C125" s="65" t="s">
        <v>40</v>
      </c>
      <c r="E125" s="59">
        <f>(E123-2501*E124/1000)/(1.01+1.86*E124/1000)</f>
        <v>0</v>
      </c>
      <c r="F125" s="59">
        <f t="shared" ref="F125:W125" si="104">(F123-2501*F124/1000)/(1.01+1.86*F124/1000)</f>
        <v>0</v>
      </c>
      <c r="G125" s="59">
        <f t="shared" si="104"/>
        <v>0</v>
      </c>
      <c r="H125" s="59">
        <f t="shared" si="104"/>
        <v>0</v>
      </c>
      <c r="I125" s="59">
        <f t="shared" si="104"/>
        <v>0</v>
      </c>
      <c r="J125" s="59">
        <f t="shared" si="104"/>
        <v>5.1691736056372006</v>
      </c>
      <c r="K125" s="59">
        <f t="shared" si="104"/>
        <v>0</v>
      </c>
      <c r="L125" s="59">
        <f t="shared" si="104"/>
        <v>0</v>
      </c>
      <c r="M125" s="59">
        <f t="shared" si="104"/>
        <v>0</v>
      </c>
      <c r="N125" s="59">
        <f t="shared" si="104"/>
        <v>0</v>
      </c>
      <c r="O125" s="59">
        <f t="shared" si="104"/>
        <v>0</v>
      </c>
      <c r="P125" s="59">
        <f t="shared" si="104"/>
        <v>0</v>
      </c>
      <c r="Q125" s="59">
        <f t="shared" si="104"/>
        <v>0</v>
      </c>
      <c r="R125" s="59">
        <f t="shared" si="104"/>
        <v>0</v>
      </c>
      <c r="S125" s="59">
        <f t="shared" si="104"/>
        <v>0</v>
      </c>
      <c r="T125" s="59">
        <f t="shared" si="104"/>
        <v>0</v>
      </c>
      <c r="U125" s="59">
        <f t="shared" si="104"/>
        <v>0</v>
      </c>
      <c r="V125" s="59">
        <f t="shared" si="104"/>
        <v>0</v>
      </c>
      <c r="W125" s="59">
        <f t="shared" si="104"/>
        <v>0</v>
      </c>
      <c r="Y125" s="61"/>
      <c r="Z125" s="61"/>
      <c r="AA125" s="61"/>
    </row>
    <row r="126" spans="2:27" s="59" customFormat="1" x14ac:dyDescent="0.2">
      <c r="C126" s="72" t="s">
        <v>41</v>
      </c>
      <c r="E126" s="59">
        <v>-5.7813300875029912</v>
      </c>
      <c r="F126" s="59">
        <v>-5.7816951496861826</v>
      </c>
      <c r="G126" s="59">
        <v>-5.7812250242057521</v>
      </c>
      <c r="H126" s="59">
        <v>-5.7813328973617555</v>
      </c>
      <c r="I126" s="59">
        <v>-6.0023688391712238</v>
      </c>
      <c r="J126" s="59">
        <v>5.6834135234056342</v>
      </c>
      <c r="K126" s="59">
        <v>-6.0023222237988856</v>
      </c>
      <c r="L126" s="59">
        <v>-5.7817005781944255</v>
      </c>
      <c r="M126" s="59">
        <v>-5.7813297151605854</v>
      </c>
      <c r="N126" s="59">
        <v>-5.7813300875029912</v>
      </c>
      <c r="O126" s="59">
        <v>-5.7813300875029912</v>
      </c>
      <c r="P126" s="59">
        <v>-5.7813300875029912</v>
      </c>
      <c r="Q126" s="59">
        <v>-5.7813300875029912</v>
      </c>
      <c r="R126" s="59">
        <v>-5.7813300875029912</v>
      </c>
      <c r="S126" s="59">
        <v>-5.7813300875029912</v>
      </c>
      <c r="T126" s="59">
        <v>-5.7813300875029912</v>
      </c>
      <c r="U126" s="59">
        <v>-5.7813300875029912</v>
      </c>
      <c r="V126" s="59">
        <v>-5.7813300875029912</v>
      </c>
      <c r="W126" s="59">
        <v>-5.7813300875029912</v>
      </c>
      <c r="Y126" s="61"/>
      <c r="Z126" s="61"/>
      <c r="AA126" s="61"/>
    </row>
    <row r="127" spans="2:27" s="59" customFormat="1" x14ac:dyDescent="0.2">
      <c r="C127" s="72" t="s">
        <v>31</v>
      </c>
      <c r="E127" s="74">
        <f>IF(E126&lt;-50,#N/A,IF(E126&lt;0,EXP((1738.4+28.74*E126)/(271+E126)),IF(E126&lt;=100,EXP((1500.3+23.5*E126)/(234+E126)),#N/A)))</f>
        <v>375.44301312156364</v>
      </c>
      <c r="F127" s="74">
        <f t="shared" ref="F127:W127" si="105">IF(F126&lt;-50,#N/A,IF(F126&lt;0,EXP((1738.4+28.74*F126)/(271+F126)),IF(F126&lt;=100,EXP((1500.3+23.5*F126)/(234+F126)),#N/A)))</f>
        <v>375.43122453079735</v>
      </c>
      <c r="G127" s="74">
        <f t="shared" si="105"/>
        <v>375.44640588892963</v>
      </c>
      <c r="H127" s="74">
        <f t="shared" si="105"/>
        <v>375.44292238429398</v>
      </c>
      <c r="I127" s="74">
        <f t="shared" si="105"/>
        <v>368.36670865255269</v>
      </c>
      <c r="J127" s="74">
        <f t="shared" si="105"/>
        <v>913.0064484183622</v>
      </c>
      <c r="K127" s="74">
        <f t="shared" si="105"/>
        <v>368.36818807351386</v>
      </c>
      <c r="L127" s="74">
        <f t="shared" si="105"/>
        <v>375.43104923591659</v>
      </c>
      <c r="M127" s="70">
        <f t="shared" si="105"/>
        <v>375.44302514542028</v>
      </c>
      <c r="N127" s="70">
        <f t="shared" si="105"/>
        <v>375.44301312156364</v>
      </c>
      <c r="O127" s="70">
        <f t="shared" si="105"/>
        <v>375.44301312156364</v>
      </c>
      <c r="P127" s="70">
        <f t="shared" si="105"/>
        <v>375.44301312156364</v>
      </c>
      <c r="Q127" s="70">
        <f t="shared" si="105"/>
        <v>375.44301312156364</v>
      </c>
      <c r="R127" s="70">
        <f t="shared" si="105"/>
        <v>375.44301312156364</v>
      </c>
      <c r="S127" s="70">
        <f t="shared" si="105"/>
        <v>375.44301312156364</v>
      </c>
      <c r="T127" s="70">
        <f t="shared" si="105"/>
        <v>375.44301312156364</v>
      </c>
      <c r="U127" s="70">
        <f t="shared" si="105"/>
        <v>375.44301312156364</v>
      </c>
      <c r="V127" s="70">
        <f t="shared" si="105"/>
        <v>375.44301312156364</v>
      </c>
      <c r="W127" s="70">
        <f t="shared" si="105"/>
        <v>375.44301312156364</v>
      </c>
      <c r="Y127" s="61"/>
      <c r="Z127" s="61"/>
      <c r="AA127" s="61"/>
    </row>
    <row r="128" spans="2:27" s="59" customFormat="1" x14ac:dyDescent="0.2">
      <c r="C128" s="72" t="s">
        <v>37</v>
      </c>
      <c r="E128" s="59">
        <f>0.6222*MaxVlhkost*E127/(Tlak_vzduchu-MaxVlhkost*E127/1000)</f>
        <v>2.4818246188059332</v>
      </c>
      <c r="F128" s="59">
        <f t="shared" ref="F128:N128" si="106">0.6222*MaxVlhkost*F127/(Tlak_vzduchu-MaxVlhkost*F127/1000)</f>
        <v>2.48174638080192</v>
      </c>
      <c r="G128" s="59">
        <f t="shared" si="106"/>
        <v>2.4818471357797485</v>
      </c>
      <c r="H128" s="59">
        <f t="shared" si="106"/>
        <v>2.4818240166047123</v>
      </c>
      <c r="I128" s="59">
        <f t="shared" si="106"/>
        <v>2.4348644351493056</v>
      </c>
      <c r="J128" s="59">
        <f t="shared" si="106"/>
        <v>6.0699953128936093</v>
      </c>
      <c r="K128" s="59">
        <f t="shared" si="106"/>
        <v>2.434874252230915</v>
      </c>
      <c r="L128" s="59">
        <f t="shared" si="106"/>
        <v>2.481745217412664</v>
      </c>
      <c r="M128" s="59">
        <f t="shared" si="106"/>
        <v>2.4818246986053492</v>
      </c>
      <c r="N128" s="59">
        <f t="shared" si="106"/>
        <v>2.4818246188059332</v>
      </c>
      <c r="O128" s="59">
        <f t="shared" ref="O128:W128" si="107">0.6222*MaxVlhkost*O127/(Tlak_vzduchu-MaxVlhkost*O127/1000)</f>
        <v>2.4818246188059332</v>
      </c>
      <c r="P128" s="59">
        <f t="shared" si="107"/>
        <v>2.4818246188059332</v>
      </c>
      <c r="Q128" s="59">
        <f t="shared" si="107"/>
        <v>2.4818246188059332</v>
      </c>
      <c r="R128" s="59">
        <f t="shared" si="107"/>
        <v>2.4818246188059332</v>
      </c>
      <c r="S128" s="59">
        <f t="shared" si="107"/>
        <v>2.4818246188059332</v>
      </c>
      <c r="T128" s="59">
        <f t="shared" si="107"/>
        <v>2.4818246188059332</v>
      </c>
      <c r="U128" s="59">
        <f t="shared" si="107"/>
        <v>2.4818246188059332</v>
      </c>
      <c r="V128" s="59">
        <f t="shared" si="107"/>
        <v>2.4818246188059332</v>
      </c>
      <c r="W128" s="59">
        <f t="shared" si="107"/>
        <v>2.4818246188059332</v>
      </c>
      <c r="Y128" s="61"/>
      <c r="Z128" s="61"/>
      <c r="AA128" s="61"/>
    </row>
    <row r="129" spans="2:27" s="59" customFormat="1" x14ac:dyDescent="0.2">
      <c r="C129" s="72" t="s">
        <v>38</v>
      </c>
      <c r="E129" s="59">
        <f>(E123-1.01*E126)/(2501+1.86*E126)*1000</f>
        <v>2.3448051662213847</v>
      </c>
      <c r="F129" s="59">
        <f t="shared" ref="F129:W129" si="108">(F123-1.01*F126)/(2501+1.86*F126)*1000</f>
        <v>2.3449538683807138</v>
      </c>
      <c r="G129" s="59">
        <f t="shared" si="108"/>
        <v>2.3447623704063183</v>
      </c>
      <c r="H129" s="59">
        <f t="shared" si="108"/>
        <v>2.3448063107714696</v>
      </c>
      <c r="I129" s="59">
        <f t="shared" si="108"/>
        <v>2.4348565593132174</v>
      </c>
      <c r="J129" s="59">
        <f t="shared" si="108"/>
        <v>6.0690300657403169</v>
      </c>
      <c r="K129" s="59">
        <f t="shared" si="108"/>
        <v>2.4348375650319185</v>
      </c>
      <c r="L129" s="59">
        <f t="shared" si="108"/>
        <v>2.3449560795961135</v>
      </c>
      <c r="M129" s="59">
        <f t="shared" si="108"/>
        <v>2.3448050145537866</v>
      </c>
      <c r="N129" s="59">
        <f t="shared" si="108"/>
        <v>2.3448051662213847</v>
      </c>
      <c r="O129" s="59">
        <f t="shared" si="108"/>
        <v>2.3448051662213847</v>
      </c>
      <c r="P129" s="59">
        <f t="shared" si="108"/>
        <v>2.3448051662213847</v>
      </c>
      <c r="Q129" s="59">
        <f t="shared" si="108"/>
        <v>2.3448051662213847</v>
      </c>
      <c r="R129" s="59">
        <f t="shared" si="108"/>
        <v>2.3448051662213847</v>
      </c>
      <c r="S129" s="59">
        <f t="shared" si="108"/>
        <v>2.3448051662213847</v>
      </c>
      <c r="T129" s="59">
        <f t="shared" si="108"/>
        <v>2.3448051662213847</v>
      </c>
      <c r="U129" s="59">
        <f t="shared" si="108"/>
        <v>2.3448051662213847</v>
      </c>
      <c r="V129" s="59">
        <f t="shared" si="108"/>
        <v>2.3448051662213847</v>
      </c>
      <c r="W129" s="59">
        <f t="shared" si="108"/>
        <v>2.3448051662213847</v>
      </c>
      <c r="Y129" s="61"/>
      <c r="Z129" s="61"/>
      <c r="AA129" s="61"/>
    </row>
    <row r="130" spans="2:27" s="59" customFormat="1" x14ac:dyDescent="0.2">
      <c r="C130" s="73" t="s">
        <v>39</v>
      </c>
      <c r="E130" s="59">
        <f>E128-E129</f>
        <v>0.13701945258454851</v>
      </c>
      <c r="F130" s="59">
        <f t="shared" ref="F130:W130" si="109">F128-F129</f>
        <v>0.13679251242120616</v>
      </c>
      <c r="G130" s="59">
        <f t="shared" si="109"/>
        <v>0.13708476537343017</v>
      </c>
      <c r="H130" s="59">
        <f t="shared" si="109"/>
        <v>0.13701770583324269</v>
      </c>
      <c r="I130" s="59">
        <f t="shared" si="109"/>
        <v>7.8758360881892031E-6</v>
      </c>
      <c r="J130" s="59">
        <f t="shared" si="109"/>
        <v>9.652471532923812E-4</v>
      </c>
      <c r="K130" s="59">
        <f t="shared" si="109"/>
        <v>3.6687198996521175E-5</v>
      </c>
      <c r="L130" s="59">
        <f t="shared" si="109"/>
        <v>0.13678913781655044</v>
      </c>
      <c r="M130" s="59">
        <f t="shared" si="109"/>
        <v>0.13701968405156251</v>
      </c>
      <c r="N130" s="59">
        <f t="shared" si="109"/>
        <v>0.13701945258454851</v>
      </c>
      <c r="O130" s="59">
        <f t="shared" si="109"/>
        <v>0.13701945258454851</v>
      </c>
      <c r="P130" s="59">
        <f t="shared" si="109"/>
        <v>0.13701945258454851</v>
      </c>
      <c r="Q130" s="59">
        <f t="shared" si="109"/>
        <v>0.13701945258454851</v>
      </c>
      <c r="R130" s="59">
        <f t="shared" si="109"/>
        <v>0.13701945258454851</v>
      </c>
      <c r="S130" s="59">
        <f t="shared" si="109"/>
        <v>0.13701945258454851</v>
      </c>
      <c r="T130" s="59">
        <f t="shared" si="109"/>
        <v>0.13701945258454851</v>
      </c>
      <c r="U130" s="59">
        <f t="shared" si="109"/>
        <v>0.13701945258454851</v>
      </c>
      <c r="V130" s="59">
        <f t="shared" si="109"/>
        <v>0.13701945258454851</v>
      </c>
      <c r="W130" s="59">
        <f t="shared" si="109"/>
        <v>0.13701945258454851</v>
      </c>
      <c r="Y130" s="61"/>
      <c r="Z130" s="61"/>
      <c r="AA130" s="61"/>
    </row>
    <row r="131" spans="2:27" s="59" customFormat="1" x14ac:dyDescent="0.2">
      <c r="B131" s="76" t="s">
        <v>70</v>
      </c>
      <c r="C131" s="65" t="s">
        <v>33</v>
      </c>
      <c r="E131" s="59">
        <f>IF(AND(E123=0,E124=0),0,IF(E125&gt;E126,E125,E126))</f>
        <v>0</v>
      </c>
      <c r="F131" s="59">
        <f t="shared" ref="F131:W131" si="110">IF(AND(F123=0,F124=0),0,IF(F125&gt;F126,F125,F126))</f>
        <v>0</v>
      </c>
      <c r="G131" s="59">
        <f t="shared" si="110"/>
        <v>0</v>
      </c>
      <c r="H131" s="59">
        <f t="shared" si="110"/>
        <v>0</v>
      </c>
      <c r="I131" s="59">
        <f t="shared" si="110"/>
        <v>0</v>
      </c>
      <c r="J131" s="59">
        <f t="shared" si="110"/>
        <v>5.6834135234056342</v>
      </c>
      <c r="K131" s="59">
        <f t="shared" si="110"/>
        <v>0</v>
      </c>
      <c r="L131" s="59">
        <f t="shared" si="110"/>
        <v>0</v>
      </c>
      <c r="M131" s="59">
        <f t="shared" si="110"/>
        <v>0</v>
      </c>
      <c r="N131" s="59">
        <f t="shared" si="110"/>
        <v>0</v>
      </c>
      <c r="O131" s="59">
        <f t="shared" si="110"/>
        <v>0</v>
      </c>
      <c r="P131" s="59">
        <f t="shared" si="110"/>
        <v>0</v>
      </c>
      <c r="Q131" s="59">
        <f t="shared" si="110"/>
        <v>0</v>
      </c>
      <c r="R131" s="59">
        <f t="shared" si="110"/>
        <v>0</v>
      </c>
      <c r="S131" s="59">
        <f t="shared" si="110"/>
        <v>0</v>
      </c>
      <c r="T131" s="59">
        <f t="shared" si="110"/>
        <v>0</v>
      </c>
      <c r="U131" s="59">
        <f t="shared" si="110"/>
        <v>0</v>
      </c>
      <c r="V131" s="59">
        <f t="shared" si="110"/>
        <v>0</v>
      </c>
      <c r="W131" s="59">
        <f t="shared" si="110"/>
        <v>0</v>
      </c>
      <c r="Y131" s="61"/>
      <c r="Z131" s="61"/>
      <c r="AA131" s="61"/>
    </row>
    <row r="132" spans="2:27" s="59" customFormat="1" x14ac:dyDescent="0.2">
      <c r="C132" s="65" t="s">
        <v>34</v>
      </c>
      <c r="E132" s="59">
        <f>IF(AND(E123=0,E124=0),0,IF(E125&gt;E126,E124,E128))</f>
        <v>0</v>
      </c>
      <c r="F132" s="59">
        <f t="shared" ref="F132:W132" si="111">IF(AND(F123=0,F124=0),0,IF(F125&gt;F126,F124,F128))</f>
        <v>0</v>
      </c>
      <c r="G132" s="59">
        <f t="shared" si="111"/>
        <v>0</v>
      </c>
      <c r="H132" s="59">
        <f t="shared" si="111"/>
        <v>0</v>
      </c>
      <c r="I132" s="59">
        <f t="shared" si="111"/>
        <v>0</v>
      </c>
      <c r="J132" s="59">
        <f t="shared" si="111"/>
        <v>6.0699953128936093</v>
      </c>
      <c r="K132" s="59">
        <f t="shared" si="111"/>
        <v>0</v>
      </c>
      <c r="L132" s="59">
        <f t="shared" si="111"/>
        <v>0</v>
      </c>
      <c r="M132" s="59">
        <f t="shared" si="111"/>
        <v>0</v>
      </c>
      <c r="N132" s="59">
        <f t="shared" si="111"/>
        <v>0</v>
      </c>
      <c r="O132" s="59">
        <f t="shared" si="111"/>
        <v>0</v>
      </c>
      <c r="P132" s="59">
        <f t="shared" si="111"/>
        <v>0</v>
      </c>
      <c r="Q132" s="59">
        <f t="shared" si="111"/>
        <v>0</v>
      </c>
      <c r="R132" s="59">
        <f t="shared" si="111"/>
        <v>0</v>
      </c>
      <c r="S132" s="59">
        <f t="shared" si="111"/>
        <v>0</v>
      </c>
      <c r="T132" s="59">
        <f t="shared" si="111"/>
        <v>0</v>
      </c>
      <c r="U132" s="59">
        <f t="shared" si="111"/>
        <v>0</v>
      </c>
      <c r="V132" s="59">
        <f t="shared" si="111"/>
        <v>0</v>
      </c>
      <c r="W132" s="59">
        <f t="shared" si="111"/>
        <v>0</v>
      </c>
      <c r="Y132" s="61"/>
      <c r="Z132" s="61"/>
      <c r="AA132" s="61"/>
    </row>
    <row r="133" spans="2:27" s="59" customFormat="1" x14ac:dyDescent="0.2">
      <c r="C133" s="65"/>
      <c r="Y133" s="61"/>
      <c r="Z133" s="61"/>
      <c r="AA133" s="61"/>
    </row>
    <row r="134" spans="2:27" s="59" customFormat="1" x14ac:dyDescent="0.2">
      <c r="B134" s="73" t="s">
        <v>112</v>
      </c>
      <c r="C134" s="65" t="s">
        <v>32</v>
      </c>
      <c r="D134" s="59" t="s">
        <v>36</v>
      </c>
      <c r="E134" s="59">
        <f>IF(AND(E$93&lt;&gt;"",E$94&lt;&gt;""),MIN(E$93,MaxVlhkost),0)</f>
        <v>0</v>
      </c>
      <c r="F134" s="59">
        <f t="shared" ref="F134:W134" si="112">IF(AND(F$93&lt;&gt;"",F$94&lt;&gt;""),MIN(F$93,MaxVlhkost),0)</f>
        <v>0</v>
      </c>
      <c r="G134" s="59">
        <f t="shared" si="112"/>
        <v>0</v>
      </c>
      <c r="H134" s="59">
        <f t="shared" si="112"/>
        <v>0</v>
      </c>
      <c r="I134" s="59">
        <f t="shared" si="112"/>
        <v>0</v>
      </c>
      <c r="J134" s="59">
        <f t="shared" si="112"/>
        <v>0</v>
      </c>
      <c r="K134" s="59">
        <f t="shared" si="112"/>
        <v>0</v>
      </c>
      <c r="L134" s="59">
        <f t="shared" si="112"/>
        <v>0</v>
      </c>
      <c r="M134" s="59">
        <f t="shared" si="112"/>
        <v>0</v>
      </c>
      <c r="N134" s="59">
        <f t="shared" si="112"/>
        <v>0</v>
      </c>
      <c r="O134" s="59">
        <f t="shared" si="112"/>
        <v>0</v>
      </c>
      <c r="P134" s="59">
        <f t="shared" si="112"/>
        <v>0</v>
      </c>
      <c r="Q134" s="59">
        <f t="shared" si="112"/>
        <v>0</v>
      </c>
      <c r="R134" s="59">
        <f t="shared" si="112"/>
        <v>0</v>
      </c>
      <c r="S134" s="59">
        <f t="shared" si="112"/>
        <v>0</v>
      </c>
      <c r="T134" s="59">
        <f t="shared" si="112"/>
        <v>0</v>
      </c>
      <c r="U134" s="59">
        <f t="shared" si="112"/>
        <v>0</v>
      </c>
      <c r="V134" s="59">
        <f t="shared" si="112"/>
        <v>0</v>
      </c>
      <c r="W134" s="59">
        <f t="shared" si="112"/>
        <v>0</v>
      </c>
      <c r="Y134" s="61"/>
      <c r="Z134" s="61"/>
      <c r="AA134" s="61"/>
    </row>
    <row r="135" spans="2:27" s="59" customFormat="1" x14ac:dyDescent="0.2">
      <c r="C135" s="65" t="s">
        <v>2</v>
      </c>
      <c r="D135" s="59" t="s">
        <v>35</v>
      </c>
      <c r="E135" s="59">
        <f>IF(AND(E$93&lt;&gt;"",E$94&lt;&gt;""),E$94,0)</f>
        <v>0</v>
      </c>
      <c r="F135" s="59">
        <f t="shared" ref="F135:W135" si="113">IF(AND(F$93&lt;&gt;"",F$94&lt;&gt;""),F$94,0)</f>
        <v>0</v>
      </c>
      <c r="G135" s="59">
        <f t="shared" si="113"/>
        <v>0</v>
      </c>
      <c r="H135" s="59">
        <f t="shared" si="113"/>
        <v>0</v>
      </c>
      <c r="I135" s="59">
        <f t="shared" si="113"/>
        <v>0</v>
      </c>
      <c r="J135" s="59">
        <f t="shared" si="113"/>
        <v>0</v>
      </c>
      <c r="K135" s="59">
        <f t="shared" si="113"/>
        <v>0</v>
      </c>
      <c r="L135" s="59">
        <f t="shared" si="113"/>
        <v>0</v>
      </c>
      <c r="M135" s="59">
        <f t="shared" si="113"/>
        <v>0</v>
      </c>
      <c r="N135" s="59">
        <f t="shared" si="113"/>
        <v>0</v>
      </c>
      <c r="O135" s="59">
        <f t="shared" si="113"/>
        <v>0</v>
      </c>
      <c r="P135" s="59">
        <f t="shared" si="113"/>
        <v>0</v>
      </c>
      <c r="Q135" s="59">
        <f t="shared" si="113"/>
        <v>0</v>
      </c>
      <c r="R135" s="59">
        <f t="shared" si="113"/>
        <v>0</v>
      </c>
      <c r="S135" s="59">
        <f t="shared" si="113"/>
        <v>0</v>
      </c>
      <c r="T135" s="59">
        <f t="shared" si="113"/>
        <v>0</v>
      </c>
      <c r="U135" s="59">
        <f t="shared" si="113"/>
        <v>0</v>
      </c>
      <c r="V135" s="59">
        <f t="shared" si="113"/>
        <v>0</v>
      </c>
      <c r="W135" s="59">
        <f t="shared" si="113"/>
        <v>0</v>
      </c>
      <c r="Y135" s="61"/>
      <c r="Z135" s="61"/>
      <c r="AA135" s="61"/>
    </row>
    <row r="136" spans="2:27" s="59" customFormat="1" x14ac:dyDescent="0.2">
      <c r="C136" s="65" t="s">
        <v>31</v>
      </c>
      <c r="D136" s="59" t="s">
        <v>10</v>
      </c>
      <c r="E136" s="59" t="e">
        <f>E135/1000*Tlak_vzduchu/E134/(0.6222+E135/1000)*1000</f>
        <v>#DIV/0!</v>
      </c>
      <c r="F136" s="59" t="e">
        <f t="shared" ref="F136:N136" si="114">F135/1000*Tlak_vzduchu/F134/(0.6222+F135/1000)*1000</f>
        <v>#DIV/0!</v>
      </c>
      <c r="G136" s="59" t="e">
        <f t="shared" si="114"/>
        <v>#DIV/0!</v>
      </c>
      <c r="H136" s="59" t="e">
        <f t="shared" si="114"/>
        <v>#DIV/0!</v>
      </c>
      <c r="I136" s="59" t="e">
        <f t="shared" si="114"/>
        <v>#DIV/0!</v>
      </c>
      <c r="J136" s="59" t="e">
        <f t="shared" si="114"/>
        <v>#DIV/0!</v>
      </c>
      <c r="K136" s="59" t="e">
        <f t="shared" si="114"/>
        <v>#DIV/0!</v>
      </c>
      <c r="L136" s="59" t="e">
        <f t="shared" si="114"/>
        <v>#DIV/0!</v>
      </c>
      <c r="M136" s="59" t="e">
        <f t="shared" si="114"/>
        <v>#DIV/0!</v>
      </c>
      <c r="N136" s="59" t="e">
        <f t="shared" si="114"/>
        <v>#DIV/0!</v>
      </c>
      <c r="O136" s="59" t="e">
        <f t="shared" ref="O136:W136" si="115">O135/1000*Tlak_vzduchu/O134/(0.6222+O135/1000)*1000</f>
        <v>#DIV/0!</v>
      </c>
      <c r="P136" s="59" t="e">
        <f t="shared" si="115"/>
        <v>#DIV/0!</v>
      </c>
      <c r="Q136" s="59" t="e">
        <f t="shared" si="115"/>
        <v>#DIV/0!</v>
      </c>
      <c r="R136" s="59" t="e">
        <f t="shared" si="115"/>
        <v>#DIV/0!</v>
      </c>
      <c r="S136" s="59" t="e">
        <f t="shared" si="115"/>
        <v>#DIV/0!</v>
      </c>
      <c r="T136" s="59" t="e">
        <f t="shared" si="115"/>
        <v>#DIV/0!</v>
      </c>
      <c r="U136" s="59" t="e">
        <f t="shared" si="115"/>
        <v>#DIV/0!</v>
      </c>
      <c r="V136" s="59" t="e">
        <f t="shared" si="115"/>
        <v>#DIV/0!</v>
      </c>
      <c r="W136" s="59" t="e">
        <f t="shared" si="115"/>
        <v>#DIV/0!</v>
      </c>
      <c r="Y136" s="61"/>
      <c r="Z136" s="61"/>
      <c r="AA136" s="61"/>
    </row>
    <row r="137" spans="2:27" s="59" customFormat="1" x14ac:dyDescent="0.2">
      <c r="C137" s="65" t="s">
        <v>0</v>
      </c>
      <c r="E137" s="59" t="e">
        <f>IF(E136&lt;641,(271*LN(E136)-1738.4)/(28.74-LN(E136)),(234*LN(E136)-1500.3)/(23.5-LN(E136)))</f>
        <v>#DIV/0!</v>
      </c>
      <c r="F137" s="59" t="e">
        <f t="shared" ref="F137:W137" si="116">IF(F136&lt;641,(271*LN(F136)-1738.4)/(28.74-LN(F136)),(234*LN(F136)-1500.3)/(23.5-LN(F136)))</f>
        <v>#DIV/0!</v>
      </c>
      <c r="G137" s="59" t="e">
        <f t="shared" si="116"/>
        <v>#DIV/0!</v>
      </c>
      <c r="H137" s="59" t="e">
        <f t="shared" si="116"/>
        <v>#DIV/0!</v>
      </c>
      <c r="I137" s="59" t="e">
        <f t="shared" si="116"/>
        <v>#DIV/0!</v>
      </c>
      <c r="J137" s="59" t="e">
        <f t="shared" si="116"/>
        <v>#DIV/0!</v>
      </c>
      <c r="K137" s="59" t="e">
        <f t="shared" si="116"/>
        <v>#DIV/0!</v>
      </c>
      <c r="L137" s="59" t="e">
        <f t="shared" si="116"/>
        <v>#DIV/0!</v>
      </c>
      <c r="M137" s="59" t="e">
        <f t="shared" si="116"/>
        <v>#DIV/0!</v>
      </c>
      <c r="N137" s="59" t="e">
        <f t="shared" si="116"/>
        <v>#DIV/0!</v>
      </c>
      <c r="O137" s="59" t="e">
        <f t="shared" si="116"/>
        <v>#DIV/0!</v>
      </c>
      <c r="P137" s="59" t="e">
        <f t="shared" si="116"/>
        <v>#DIV/0!</v>
      </c>
      <c r="Q137" s="59" t="e">
        <f t="shared" si="116"/>
        <v>#DIV/0!</v>
      </c>
      <c r="R137" s="59" t="e">
        <f t="shared" si="116"/>
        <v>#DIV/0!</v>
      </c>
      <c r="S137" s="59" t="e">
        <f t="shared" si="116"/>
        <v>#DIV/0!</v>
      </c>
      <c r="T137" s="59" t="e">
        <f t="shared" si="116"/>
        <v>#DIV/0!</v>
      </c>
      <c r="U137" s="59" t="e">
        <f t="shared" si="116"/>
        <v>#DIV/0!</v>
      </c>
      <c r="V137" s="59" t="e">
        <f t="shared" si="116"/>
        <v>#DIV/0!</v>
      </c>
      <c r="W137" s="59" t="e">
        <f t="shared" si="116"/>
        <v>#DIV/0!</v>
      </c>
      <c r="Y137" s="61"/>
      <c r="Z137" s="61"/>
      <c r="AA137" s="61"/>
    </row>
    <row r="138" spans="2:27" s="59" customFormat="1" x14ac:dyDescent="0.2">
      <c r="B138" s="76" t="s">
        <v>70</v>
      </c>
      <c r="C138" s="65" t="s">
        <v>33</v>
      </c>
      <c r="E138" s="59">
        <f>IF(E134=0,0,E137)</f>
        <v>0</v>
      </c>
      <c r="F138" s="59">
        <f t="shared" ref="F138:W138" si="117">IF(F134=0,0,F137)</f>
        <v>0</v>
      </c>
      <c r="G138" s="59">
        <f t="shared" si="117"/>
        <v>0</v>
      </c>
      <c r="H138" s="59">
        <f t="shared" si="117"/>
        <v>0</v>
      </c>
      <c r="I138" s="59">
        <f t="shared" si="117"/>
        <v>0</v>
      </c>
      <c r="J138" s="59">
        <f t="shared" si="117"/>
        <v>0</v>
      </c>
      <c r="K138" s="59">
        <f t="shared" si="117"/>
        <v>0</v>
      </c>
      <c r="L138" s="59">
        <f t="shared" si="117"/>
        <v>0</v>
      </c>
      <c r="M138" s="59">
        <f t="shared" si="117"/>
        <v>0</v>
      </c>
      <c r="N138" s="59">
        <f t="shared" si="117"/>
        <v>0</v>
      </c>
      <c r="O138" s="59">
        <f t="shared" si="117"/>
        <v>0</v>
      </c>
      <c r="P138" s="59">
        <f t="shared" si="117"/>
        <v>0</v>
      </c>
      <c r="Q138" s="59">
        <f t="shared" si="117"/>
        <v>0</v>
      </c>
      <c r="R138" s="59">
        <f t="shared" si="117"/>
        <v>0</v>
      </c>
      <c r="S138" s="59">
        <f t="shared" si="117"/>
        <v>0</v>
      </c>
      <c r="T138" s="59">
        <f t="shared" si="117"/>
        <v>0</v>
      </c>
      <c r="U138" s="59">
        <f t="shared" si="117"/>
        <v>0</v>
      </c>
      <c r="V138" s="59">
        <f t="shared" si="117"/>
        <v>0</v>
      </c>
      <c r="W138" s="59">
        <f t="shared" si="117"/>
        <v>0</v>
      </c>
      <c r="Y138" s="61"/>
      <c r="Z138" s="61"/>
      <c r="AA138" s="61"/>
    </row>
    <row r="139" spans="2:27" s="59" customFormat="1" x14ac:dyDescent="0.2">
      <c r="C139" s="65" t="s">
        <v>34</v>
      </c>
      <c r="E139" s="59">
        <f>IF(E135=0,0,E135)</f>
        <v>0</v>
      </c>
      <c r="F139" s="59">
        <f t="shared" ref="F139:W139" si="118">IF(F135=0,0,F135)</f>
        <v>0</v>
      </c>
      <c r="G139" s="59">
        <f t="shared" si="118"/>
        <v>0</v>
      </c>
      <c r="H139" s="59">
        <f t="shared" si="118"/>
        <v>0</v>
      </c>
      <c r="I139" s="59">
        <f t="shared" si="118"/>
        <v>0</v>
      </c>
      <c r="J139" s="59">
        <f t="shared" si="118"/>
        <v>0</v>
      </c>
      <c r="K139" s="59">
        <f t="shared" si="118"/>
        <v>0</v>
      </c>
      <c r="L139" s="59">
        <f t="shared" si="118"/>
        <v>0</v>
      </c>
      <c r="M139" s="59">
        <f t="shared" si="118"/>
        <v>0</v>
      </c>
      <c r="N139" s="59">
        <f t="shared" si="118"/>
        <v>0</v>
      </c>
      <c r="O139" s="59">
        <f t="shared" si="118"/>
        <v>0</v>
      </c>
      <c r="P139" s="59">
        <f t="shared" si="118"/>
        <v>0</v>
      </c>
      <c r="Q139" s="59">
        <f t="shared" si="118"/>
        <v>0</v>
      </c>
      <c r="R139" s="59">
        <f t="shared" si="118"/>
        <v>0</v>
      </c>
      <c r="S139" s="59">
        <f t="shared" si="118"/>
        <v>0</v>
      </c>
      <c r="T139" s="59">
        <f t="shared" si="118"/>
        <v>0</v>
      </c>
      <c r="U139" s="59">
        <f t="shared" si="118"/>
        <v>0</v>
      </c>
      <c r="V139" s="59">
        <f t="shared" si="118"/>
        <v>0</v>
      </c>
      <c r="W139" s="59">
        <f t="shared" si="118"/>
        <v>0</v>
      </c>
      <c r="Y139" s="61"/>
      <c r="Z139" s="61"/>
      <c r="AA139" s="61"/>
    </row>
    <row r="140" spans="2:27" s="59" customFormat="1" x14ac:dyDescent="0.2">
      <c r="C140" s="65"/>
      <c r="Y140" s="61"/>
      <c r="Z140" s="61"/>
      <c r="AA140" s="61"/>
    </row>
    <row r="141" spans="2:27" s="59" customFormat="1" x14ac:dyDescent="0.2">
      <c r="B141" s="73" t="s">
        <v>113</v>
      </c>
      <c r="C141" s="65" t="s">
        <v>32</v>
      </c>
      <c r="E141" s="59">
        <f>IF(AND(E$93&lt;&gt;"",E$95&lt;&gt;""),MIN(E$93,MaxVlhkost),0)</f>
        <v>0</v>
      </c>
      <c r="F141" s="59">
        <f t="shared" ref="F141:W141" si="119">IF(AND(F$93&lt;&gt;"",F$95&lt;&gt;""),MIN(F$93,MaxVlhkost),0)</f>
        <v>0</v>
      </c>
      <c r="G141" s="59">
        <f t="shared" si="119"/>
        <v>0</v>
      </c>
      <c r="H141" s="59">
        <f t="shared" si="119"/>
        <v>0</v>
      </c>
      <c r="I141" s="59">
        <f t="shared" si="119"/>
        <v>0</v>
      </c>
      <c r="J141" s="59">
        <f t="shared" si="119"/>
        <v>0</v>
      </c>
      <c r="K141" s="59">
        <f t="shared" si="119"/>
        <v>0</v>
      </c>
      <c r="L141" s="59">
        <f t="shared" si="119"/>
        <v>0</v>
      </c>
      <c r="M141" s="59">
        <f t="shared" si="119"/>
        <v>0</v>
      </c>
      <c r="N141" s="59">
        <f t="shared" si="119"/>
        <v>0</v>
      </c>
      <c r="O141" s="59">
        <f t="shared" si="119"/>
        <v>0</v>
      </c>
      <c r="P141" s="59">
        <f t="shared" si="119"/>
        <v>0</v>
      </c>
      <c r="Q141" s="59">
        <f t="shared" si="119"/>
        <v>0</v>
      </c>
      <c r="R141" s="59">
        <f t="shared" si="119"/>
        <v>0</v>
      </c>
      <c r="S141" s="59">
        <f t="shared" si="119"/>
        <v>0</v>
      </c>
      <c r="T141" s="59">
        <f t="shared" si="119"/>
        <v>0</v>
      </c>
      <c r="U141" s="59">
        <f t="shared" si="119"/>
        <v>0</v>
      </c>
      <c r="V141" s="59">
        <f t="shared" si="119"/>
        <v>0</v>
      </c>
      <c r="W141" s="59">
        <f t="shared" si="119"/>
        <v>0</v>
      </c>
      <c r="Y141" s="61"/>
      <c r="Z141" s="61"/>
      <c r="AA141" s="61"/>
    </row>
    <row r="142" spans="2:27" s="59" customFormat="1" x14ac:dyDescent="0.2">
      <c r="C142" s="65" t="s">
        <v>3</v>
      </c>
      <c r="E142" s="59">
        <f>IF(AND(E$93&lt;&gt;"",E$95&lt;&gt;""),E$95,0)</f>
        <v>0</v>
      </c>
      <c r="F142" s="59">
        <f t="shared" ref="F142:W142" si="120">IF(AND(F$93&lt;&gt;"",F$95&lt;&gt;""),F$95,0)</f>
        <v>0</v>
      </c>
      <c r="G142" s="59">
        <f t="shared" si="120"/>
        <v>0</v>
      </c>
      <c r="H142" s="59">
        <f t="shared" si="120"/>
        <v>0</v>
      </c>
      <c r="I142" s="59">
        <f t="shared" si="120"/>
        <v>0</v>
      </c>
      <c r="J142" s="59">
        <f t="shared" si="120"/>
        <v>0</v>
      </c>
      <c r="K142" s="59">
        <f t="shared" si="120"/>
        <v>0</v>
      </c>
      <c r="L142" s="59">
        <f t="shared" si="120"/>
        <v>0</v>
      </c>
      <c r="M142" s="59">
        <f t="shared" si="120"/>
        <v>0</v>
      </c>
      <c r="N142" s="59">
        <f t="shared" si="120"/>
        <v>0</v>
      </c>
      <c r="O142" s="59">
        <f t="shared" si="120"/>
        <v>0</v>
      </c>
      <c r="P142" s="59">
        <f t="shared" si="120"/>
        <v>0</v>
      </c>
      <c r="Q142" s="59">
        <f t="shared" si="120"/>
        <v>0</v>
      </c>
      <c r="R142" s="59">
        <f t="shared" si="120"/>
        <v>0</v>
      </c>
      <c r="S142" s="59">
        <f t="shared" si="120"/>
        <v>0</v>
      </c>
      <c r="T142" s="59">
        <f t="shared" si="120"/>
        <v>0</v>
      </c>
      <c r="U142" s="59">
        <f t="shared" si="120"/>
        <v>0</v>
      </c>
      <c r="V142" s="59">
        <f t="shared" si="120"/>
        <v>0</v>
      </c>
      <c r="W142" s="59">
        <f t="shared" si="120"/>
        <v>0</v>
      </c>
      <c r="Y142" s="61"/>
      <c r="Z142" s="61"/>
      <c r="AA142" s="61"/>
    </row>
    <row r="143" spans="2:27" s="59" customFormat="1" x14ac:dyDescent="0.2">
      <c r="C143" s="72" t="s">
        <v>0</v>
      </c>
      <c r="E143" s="59">
        <v>5.7926502284724735E-4</v>
      </c>
      <c r="F143" s="59">
        <v>3.2713249772620134E-4</v>
      </c>
      <c r="G143" s="59">
        <v>2.614847727860567E-4</v>
      </c>
      <c r="H143" s="59">
        <v>4.1770661130514919E-5</v>
      </c>
      <c r="I143" s="59">
        <v>7.1262905406217769E-5</v>
      </c>
      <c r="J143" s="59">
        <v>5.0552826087199576E-4</v>
      </c>
      <c r="K143" s="59">
        <v>5.0552826087199576E-4</v>
      </c>
      <c r="L143" s="59">
        <v>5.0552826087199576E-4</v>
      </c>
      <c r="M143" s="59">
        <v>5.0552826087199576E-4</v>
      </c>
      <c r="N143" s="59">
        <v>5.0552826087199576E-4</v>
      </c>
      <c r="O143" s="59">
        <v>5.0552826087199576E-4</v>
      </c>
      <c r="P143" s="59">
        <v>5.0552826087199576E-4</v>
      </c>
      <c r="Q143" s="59">
        <v>5.0552826087199576E-4</v>
      </c>
      <c r="R143" s="59">
        <v>5.0552826087199576E-4</v>
      </c>
      <c r="S143" s="59">
        <v>5.0552826087199576E-4</v>
      </c>
      <c r="T143" s="59">
        <v>5.0552826087199576E-4</v>
      </c>
      <c r="U143" s="59">
        <v>5.0552826087199576E-4</v>
      </c>
      <c r="V143" s="59">
        <v>5.0552826087199576E-4</v>
      </c>
      <c r="W143" s="59">
        <v>5.0552826087199576E-4</v>
      </c>
      <c r="Y143" s="61"/>
      <c r="Z143" s="61"/>
      <c r="AA143" s="61"/>
    </row>
    <row r="144" spans="2:27" s="59" customFormat="1" x14ac:dyDescent="0.2">
      <c r="C144" s="72" t="s">
        <v>31</v>
      </c>
      <c r="E144" s="74">
        <f>IF(E143&lt;-50,#N/A,IF(E143&lt;0,EXP((1738.4+28.74*E143)/(271+E143)),IF(E143&lt;=100,EXP((1500.3+23.5*E143)/(234+E143)),#N/A)))</f>
        <v>608.85537727910446</v>
      </c>
      <c r="F144" s="74">
        <f t="shared" ref="F144:W144" si="121">IF(F143&lt;-50,#N/A,IF(F143&lt;0,EXP((1738.4+28.74*F143)/(271+F143)),IF(F143&lt;=100,EXP((1500.3+23.5*F143)/(234+F143)),#N/A)))</f>
        <v>608.84416679294907</v>
      </c>
      <c r="G144" s="74">
        <f t="shared" si="121"/>
        <v>608.84124794948968</v>
      </c>
      <c r="H144" s="74">
        <f t="shared" si="121"/>
        <v>608.83147906263059</v>
      </c>
      <c r="I144" s="74">
        <f t="shared" si="121"/>
        <v>608.83279033311987</v>
      </c>
      <c r="J144" s="74">
        <f t="shared" si="121"/>
        <v>608.85209872667178</v>
      </c>
      <c r="K144" s="74">
        <f t="shared" si="121"/>
        <v>608.85209872667178</v>
      </c>
      <c r="L144" s="74">
        <f t="shared" si="121"/>
        <v>608.85209872667178</v>
      </c>
      <c r="M144" s="70">
        <f t="shared" si="121"/>
        <v>608.85209872667178</v>
      </c>
      <c r="N144" s="70">
        <f t="shared" si="121"/>
        <v>608.85209872667178</v>
      </c>
      <c r="O144" s="70">
        <f t="shared" si="121"/>
        <v>608.85209872667178</v>
      </c>
      <c r="P144" s="70">
        <f t="shared" si="121"/>
        <v>608.85209872667178</v>
      </c>
      <c r="Q144" s="70">
        <f t="shared" si="121"/>
        <v>608.85209872667178</v>
      </c>
      <c r="R144" s="70">
        <f t="shared" si="121"/>
        <v>608.85209872667178</v>
      </c>
      <c r="S144" s="70">
        <f t="shared" si="121"/>
        <v>608.85209872667178</v>
      </c>
      <c r="T144" s="70">
        <f t="shared" si="121"/>
        <v>608.85209872667178</v>
      </c>
      <c r="U144" s="70">
        <f t="shared" si="121"/>
        <v>608.85209872667178</v>
      </c>
      <c r="V144" s="70">
        <f t="shared" si="121"/>
        <v>608.85209872667178</v>
      </c>
      <c r="W144" s="70">
        <f t="shared" si="121"/>
        <v>608.85209872667178</v>
      </c>
      <c r="Y144" s="61"/>
      <c r="Z144" s="61"/>
      <c r="AA144" s="61"/>
    </row>
    <row r="145" spans="2:27" s="59" customFormat="1" x14ac:dyDescent="0.2">
      <c r="C145" s="72" t="s">
        <v>37</v>
      </c>
      <c r="E145" s="59">
        <f>0.6222*E141*E144/(Tlak_vzduchu-E141*E144/1000)</f>
        <v>0</v>
      </c>
      <c r="F145" s="59">
        <f t="shared" ref="F145:N145" si="122">0.6222*F141*F144/(Tlak_vzduchu-F141*F144/1000)</f>
        <v>0</v>
      </c>
      <c r="G145" s="59">
        <f t="shared" si="122"/>
        <v>0</v>
      </c>
      <c r="H145" s="59">
        <f t="shared" si="122"/>
        <v>0</v>
      </c>
      <c r="I145" s="59">
        <f t="shared" si="122"/>
        <v>0</v>
      </c>
      <c r="J145" s="59">
        <f t="shared" si="122"/>
        <v>0</v>
      </c>
      <c r="K145" s="59">
        <f t="shared" si="122"/>
        <v>0</v>
      </c>
      <c r="L145" s="59">
        <f t="shared" si="122"/>
        <v>0</v>
      </c>
      <c r="M145" s="59">
        <f t="shared" si="122"/>
        <v>0</v>
      </c>
      <c r="N145" s="59">
        <f t="shared" si="122"/>
        <v>0</v>
      </c>
      <c r="O145" s="59">
        <f t="shared" ref="O145:W145" si="123">0.6222*O141*O144/(Tlak_vzduchu-O141*O144/1000)</f>
        <v>0</v>
      </c>
      <c r="P145" s="59">
        <f t="shared" si="123"/>
        <v>0</v>
      </c>
      <c r="Q145" s="59">
        <f t="shared" si="123"/>
        <v>0</v>
      </c>
      <c r="R145" s="59">
        <f t="shared" si="123"/>
        <v>0</v>
      </c>
      <c r="S145" s="59">
        <f t="shared" si="123"/>
        <v>0</v>
      </c>
      <c r="T145" s="59">
        <f t="shared" si="123"/>
        <v>0</v>
      </c>
      <c r="U145" s="59">
        <f t="shared" si="123"/>
        <v>0</v>
      </c>
      <c r="V145" s="59">
        <f t="shared" si="123"/>
        <v>0</v>
      </c>
      <c r="W145" s="59">
        <f t="shared" si="123"/>
        <v>0</v>
      </c>
      <c r="Y145" s="61"/>
      <c r="Z145" s="61"/>
      <c r="AA145" s="61"/>
    </row>
    <row r="146" spans="2:27" s="59" customFormat="1" x14ac:dyDescent="0.2">
      <c r="C146" s="72" t="s">
        <v>38</v>
      </c>
      <c r="E146" s="59">
        <f>(E142-1.01*E143)/(2501+1.86*E143)*1000</f>
        <v>-2.339293966543309E-4</v>
      </c>
      <c r="F146" s="59">
        <f t="shared" ref="F146:W146" si="124">(F142-1.01*F143)/(2501+1.86*F143)*1000</f>
        <v>-1.321086534665256E-4</v>
      </c>
      <c r="G146" s="59">
        <f t="shared" si="124"/>
        <v>-1.0559758862666812E-4</v>
      </c>
      <c r="H146" s="59">
        <f t="shared" si="124"/>
        <v>-1.6868599132843162E-5</v>
      </c>
      <c r="I146" s="59">
        <f t="shared" si="124"/>
        <v>-2.8778700777965545E-5</v>
      </c>
      <c r="J146" s="59">
        <f t="shared" si="124"/>
        <v>-2.0415167993620569E-4</v>
      </c>
      <c r="K146" s="59">
        <f t="shared" si="124"/>
        <v>-2.0415167993620569E-4</v>
      </c>
      <c r="L146" s="59">
        <f t="shared" si="124"/>
        <v>-2.0415167993620569E-4</v>
      </c>
      <c r="M146" s="59">
        <f t="shared" si="124"/>
        <v>-2.0415167993620569E-4</v>
      </c>
      <c r="N146" s="59">
        <f t="shared" si="124"/>
        <v>-2.0415167993620569E-4</v>
      </c>
      <c r="O146" s="59">
        <f t="shared" si="124"/>
        <v>-2.0415167993620569E-4</v>
      </c>
      <c r="P146" s="59">
        <f t="shared" si="124"/>
        <v>-2.0415167993620569E-4</v>
      </c>
      <c r="Q146" s="59">
        <f t="shared" si="124"/>
        <v>-2.0415167993620569E-4</v>
      </c>
      <c r="R146" s="59">
        <f t="shared" si="124"/>
        <v>-2.0415167993620569E-4</v>
      </c>
      <c r="S146" s="59">
        <f t="shared" si="124"/>
        <v>-2.0415167993620569E-4</v>
      </c>
      <c r="T146" s="59">
        <f t="shared" si="124"/>
        <v>-2.0415167993620569E-4</v>
      </c>
      <c r="U146" s="59">
        <f t="shared" si="124"/>
        <v>-2.0415167993620569E-4</v>
      </c>
      <c r="V146" s="59">
        <f t="shared" si="124"/>
        <v>-2.0415167993620569E-4</v>
      </c>
      <c r="W146" s="59">
        <f t="shared" si="124"/>
        <v>-2.0415167993620569E-4</v>
      </c>
      <c r="Y146" s="61"/>
      <c r="Z146" s="61"/>
      <c r="AA146" s="61"/>
    </row>
    <row r="147" spans="2:27" s="59" customFormat="1" x14ac:dyDescent="0.2">
      <c r="C147" s="73" t="s">
        <v>39</v>
      </c>
      <c r="E147" s="59">
        <f>E145-E146</f>
        <v>2.339293966543309E-4</v>
      </c>
      <c r="F147" s="59">
        <f t="shared" ref="F147:W147" si="125">F145-F146</f>
        <v>1.321086534665256E-4</v>
      </c>
      <c r="G147" s="59">
        <f t="shared" si="125"/>
        <v>1.0559758862666812E-4</v>
      </c>
      <c r="H147" s="59">
        <f t="shared" si="125"/>
        <v>1.6868599132843162E-5</v>
      </c>
      <c r="I147" s="59">
        <f t="shared" si="125"/>
        <v>2.8778700777965545E-5</v>
      </c>
      <c r="J147" s="59">
        <f t="shared" si="125"/>
        <v>2.0415167993620569E-4</v>
      </c>
      <c r="K147" s="59">
        <f t="shared" si="125"/>
        <v>2.0415167993620569E-4</v>
      </c>
      <c r="L147" s="59">
        <f t="shared" si="125"/>
        <v>2.0415167993620569E-4</v>
      </c>
      <c r="M147" s="59">
        <f t="shared" si="125"/>
        <v>2.0415167993620569E-4</v>
      </c>
      <c r="N147" s="59">
        <f t="shared" si="125"/>
        <v>2.0415167993620569E-4</v>
      </c>
      <c r="O147" s="59">
        <f t="shared" si="125"/>
        <v>2.0415167993620569E-4</v>
      </c>
      <c r="P147" s="59">
        <f t="shared" si="125"/>
        <v>2.0415167993620569E-4</v>
      </c>
      <c r="Q147" s="59">
        <f t="shared" si="125"/>
        <v>2.0415167993620569E-4</v>
      </c>
      <c r="R147" s="59">
        <f t="shared" si="125"/>
        <v>2.0415167993620569E-4</v>
      </c>
      <c r="S147" s="59">
        <f t="shared" si="125"/>
        <v>2.0415167993620569E-4</v>
      </c>
      <c r="T147" s="59">
        <f t="shared" si="125"/>
        <v>2.0415167993620569E-4</v>
      </c>
      <c r="U147" s="59">
        <f t="shared" si="125"/>
        <v>2.0415167993620569E-4</v>
      </c>
      <c r="V147" s="59">
        <f t="shared" si="125"/>
        <v>2.0415167993620569E-4</v>
      </c>
      <c r="W147" s="59">
        <f t="shared" si="125"/>
        <v>2.0415167993620569E-4</v>
      </c>
      <c r="Y147" s="61"/>
      <c r="Z147" s="61"/>
      <c r="AA147" s="61"/>
    </row>
    <row r="148" spans="2:27" s="59" customFormat="1" x14ac:dyDescent="0.2">
      <c r="B148" s="76" t="s">
        <v>70</v>
      </c>
      <c r="C148" s="65" t="s">
        <v>33</v>
      </c>
      <c r="E148" s="59">
        <f>IF(AND(E141=0,E142=0),0,E143)</f>
        <v>0</v>
      </c>
      <c r="F148" s="59">
        <f t="shared" ref="F148:W148" si="126">IF(AND(F141=0,F142=0),0,F143)</f>
        <v>0</v>
      </c>
      <c r="G148" s="59">
        <f t="shared" si="126"/>
        <v>0</v>
      </c>
      <c r="H148" s="59">
        <f t="shared" si="126"/>
        <v>0</v>
      </c>
      <c r="I148" s="59">
        <f t="shared" si="126"/>
        <v>0</v>
      </c>
      <c r="J148" s="59">
        <f t="shared" si="126"/>
        <v>0</v>
      </c>
      <c r="K148" s="59">
        <f t="shared" si="126"/>
        <v>0</v>
      </c>
      <c r="L148" s="59">
        <f t="shared" si="126"/>
        <v>0</v>
      </c>
      <c r="M148" s="59">
        <f t="shared" si="126"/>
        <v>0</v>
      </c>
      <c r="N148" s="59">
        <f t="shared" si="126"/>
        <v>0</v>
      </c>
      <c r="O148" s="59">
        <f t="shared" si="126"/>
        <v>0</v>
      </c>
      <c r="P148" s="59">
        <f t="shared" si="126"/>
        <v>0</v>
      </c>
      <c r="Q148" s="59">
        <f t="shared" si="126"/>
        <v>0</v>
      </c>
      <c r="R148" s="59">
        <f t="shared" si="126"/>
        <v>0</v>
      </c>
      <c r="S148" s="59">
        <f t="shared" si="126"/>
        <v>0</v>
      </c>
      <c r="T148" s="59">
        <f t="shared" si="126"/>
        <v>0</v>
      </c>
      <c r="U148" s="59">
        <f t="shared" si="126"/>
        <v>0</v>
      </c>
      <c r="V148" s="59">
        <f t="shared" si="126"/>
        <v>0</v>
      </c>
      <c r="W148" s="59">
        <f t="shared" si="126"/>
        <v>0</v>
      </c>
      <c r="Y148" s="61"/>
      <c r="Z148" s="61"/>
      <c r="AA148" s="61"/>
    </row>
    <row r="149" spans="2:27" s="59" customFormat="1" x14ac:dyDescent="0.2">
      <c r="C149" s="65" t="s">
        <v>34</v>
      </c>
      <c r="E149" s="59">
        <f>IF(AND(E141=0,E142=0),0,E145)</f>
        <v>0</v>
      </c>
      <c r="F149" s="59">
        <f t="shared" ref="F149:W149" si="127">IF(AND(F141=0,F142=0),0,F145)</f>
        <v>0</v>
      </c>
      <c r="G149" s="59">
        <f t="shared" si="127"/>
        <v>0</v>
      </c>
      <c r="H149" s="59">
        <f t="shared" si="127"/>
        <v>0</v>
      </c>
      <c r="I149" s="59">
        <f t="shared" si="127"/>
        <v>0</v>
      </c>
      <c r="J149" s="59">
        <f t="shared" si="127"/>
        <v>0</v>
      </c>
      <c r="K149" s="59">
        <f t="shared" si="127"/>
        <v>0</v>
      </c>
      <c r="L149" s="59">
        <f t="shared" si="127"/>
        <v>0</v>
      </c>
      <c r="M149" s="59">
        <f t="shared" si="127"/>
        <v>0</v>
      </c>
      <c r="N149" s="59">
        <f t="shared" si="127"/>
        <v>0</v>
      </c>
      <c r="O149" s="59">
        <f t="shared" si="127"/>
        <v>0</v>
      </c>
      <c r="P149" s="59">
        <f t="shared" si="127"/>
        <v>0</v>
      </c>
      <c r="Q149" s="59">
        <f t="shared" si="127"/>
        <v>0</v>
      </c>
      <c r="R149" s="59">
        <f t="shared" si="127"/>
        <v>0</v>
      </c>
      <c r="S149" s="59">
        <f t="shared" si="127"/>
        <v>0</v>
      </c>
      <c r="T149" s="59">
        <f t="shared" si="127"/>
        <v>0</v>
      </c>
      <c r="U149" s="59">
        <f t="shared" si="127"/>
        <v>0</v>
      </c>
      <c r="V149" s="59">
        <f t="shared" si="127"/>
        <v>0</v>
      </c>
      <c r="W149" s="59">
        <f t="shared" si="127"/>
        <v>0</v>
      </c>
      <c r="Y149" s="61"/>
      <c r="Z149" s="61"/>
      <c r="AA149" s="61"/>
    </row>
    <row r="150" spans="2:27" s="59" customFormat="1" x14ac:dyDescent="0.2">
      <c r="Y150" s="61"/>
      <c r="Z150" s="61"/>
      <c r="AA150" s="61"/>
    </row>
    <row r="151" spans="2:27" s="59" customFormat="1" x14ac:dyDescent="0.2">
      <c r="B151" s="112" t="s">
        <v>70</v>
      </c>
      <c r="C151" s="62" t="s">
        <v>33</v>
      </c>
      <c r="E151" s="77">
        <f>E106+E114+E120+E131+E138+E148</f>
        <v>-25</v>
      </c>
      <c r="F151" s="77">
        <f t="shared" ref="F151:W151" si="128">F106+F114+F120+F131+F138+F148</f>
        <v>-25</v>
      </c>
      <c r="G151" s="77">
        <f t="shared" si="128"/>
        <v>-25</v>
      </c>
      <c r="H151" s="77">
        <f t="shared" si="128"/>
        <v>-25</v>
      </c>
      <c r="I151" s="77">
        <f t="shared" si="128"/>
        <v>20</v>
      </c>
      <c r="J151" s="77">
        <f t="shared" si="128"/>
        <v>5.6834135234056342</v>
      </c>
      <c r="K151" s="77">
        <f t="shared" si="128"/>
        <v>5.6834135234056342</v>
      </c>
      <c r="L151" s="77">
        <f t="shared" si="128"/>
        <v>8</v>
      </c>
      <c r="M151" s="77">
        <f t="shared" si="128"/>
        <v>8</v>
      </c>
      <c r="N151" s="77">
        <f t="shared" si="128"/>
        <v>20</v>
      </c>
      <c r="O151" s="77">
        <f t="shared" si="128"/>
        <v>35</v>
      </c>
      <c r="P151" s="77">
        <f t="shared" si="128"/>
        <v>16</v>
      </c>
      <c r="Q151" s="77">
        <f t="shared" si="128"/>
        <v>16</v>
      </c>
      <c r="R151" s="77">
        <f t="shared" si="128"/>
        <v>20</v>
      </c>
      <c r="S151" s="77">
        <f t="shared" si="128"/>
        <v>20</v>
      </c>
      <c r="T151" s="77">
        <f t="shared" si="128"/>
        <v>20</v>
      </c>
      <c r="U151" s="77">
        <f t="shared" si="128"/>
        <v>20</v>
      </c>
      <c r="V151" s="77">
        <f t="shared" si="128"/>
        <v>0</v>
      </c>
      <c r="W151" s="77">
        <f t="shared" si="128"/>
        <v>0</v>
      </c>
      <c r="Y151" s="61"/>
      <c r="Z151" s="61"/>
      <c r="AA151" s="61"/>
    </row>
    <row r="152" spans="2:27" s="59" customFormat="1" x14ac:dyDescent="0.2">
      <c r="C152" s="62" t="s">
        <v>34</v>
      </c>
      <c r="E152" s="77">
        <f>E107+E115+E121+E132+E139+E149</f>
        <v>8.3203757830561539E-2</v>
      </c>
      <c r="F152" s="77">
        <f t="shared" ref="F152:W152" si="129">IF(F14="-",E152,F107+F115+F121+F132+F139+F149)</f>
        <v>8.3203757830561539E-2</v>
      </c>
      <c r="G152" s="77">
        <f t="shared" si="129"/>
        <v>8.3203757830561539E-2</v>
      </c>
      <c r="H152" s="77">
        <f t="shared" si="129"/>
        <v>8.3203757830561539E-2</v>
      </c>
      <c r="I152" s="77">
        <f t="shared" si="129"/>
        <v>9.3757233081908904</v>
      </c>
      <c r="J152" s="77">
        <f t="shared" si="129"/>
        <v>6.0699953128936093</v>
      </c>
      <c r="K152" s="77">
        <f t="shared" si="129"/>
        <v>6.0119312330765867E-2</v>
      </c>
      <c r="L152" s="77">
        <f t="shared" si="129"/>
        <v>6.0119312330765867E-2</v>
      </c>
      <c r="M152" s="77">
        <f t="shared" si="129"/>
        <v>6.0113562015513496E-4</v>
      </c>
      <c r="N152" s="77">
        <f t="shared" si="129"/>
        <v>6.0113562015513496E-4</v>
      </c>
      <c r="O152" s="77">
        <f t="shared" si="129"/>
        <v>15.17511246915182</v>
      </c>
      <c r="P152" s="77">
        <f t="shared" si="129"/>
        <v>9.2012211080269264</v>
      </c>
      <c r="Q152" s="77">
        <f t="shared" si="129"/>
        <v>9.0684559843778378E-2</v>
      </c>
      <c r="R152" s="77">
        <f t="shared" si="129"/>
        <v>9.0684559843778378E-2</v>
      </c>
      <c r="S152" s="77">
        <f t="shared" si="129"/>
        <v>9.0671476786990859E-4</v>
      </c>
      <c r="T152" s="77">
        <f>IF(T14="-",#REF!,T107+T115+T121+T132+T139+T149)</f>
        <v>9.0671345975486622E-6</v>
      </c>
      <c r="U152" s="77">
        <f t="shared" si="129"/>
        <v>9.0671344667373509E-8</v>
      </c>
      <c r="V152" s="77">
        <f t="shared" si="129"/>
        <v>9.0671344667373509E-8</v>
      </c>
      <c r="W152" s="77">
        <f t="shared" si="129"/>
        <v>9.0671344667373509E-8</v>
      </c>
      <c r="Y152" s="61"/>
      <c r="Z152" s="61"/>
      <c r="AA152" s="61"/>
    </row>
    <row r="153" spans="2:27" s="59" customFormat="1" x14ac:dyDescent="0.2">
      <c r="C153" s="62" t="s">
        <v>8</v>
      </c>
      <c r="E153" s="77">
        <f>(E19-E152*2.501)/1.01</f>
        <v>-25.003830668058537</v>
      </c>
      <c r="F153" s="77">
        <f t="shared" ref="F153:W153" si="130">IF(F14="-",E153,(F19-F152*2.501)/1.01)</f>
        <v>-25.003830668058537</v>
      </c>
      <c r="G153" s="77">
        <f t="shared" si="130"/>
        <v>-25.003830668058537</v>
      </c>
      <c r="H153" s="77">
        <f t="shared" si="130"/>
        <v>-25.003830668058537</v>
      </c>
      <c r="I153" s="77">
        <f t="shared" si="130"/>
        <v>20.345323670361086</v>
      </c>
      <c r="J153" s="77">
        <f t="shared" si="130"/>
        <v>5.7469450341124224</v>
      </c>
      <c r="K153" s="77">
        <f t="shared" si="130"/>
        <v>5.684042761244898</v>
      </c>
      <c r="L153" s="77">
        <f t="shared" si="130"/>
        <v>8.0008857181856268</v>
      </c>
      <c r="M153" s="77">
        <f t="shared" si="130"/>
        <v>8.0000088563346807</v>
      </c>
      <c r="N153" s="77">
        <f t="shared" si="130"/>
        <v>20.000022140836705</v>
      </c>
      <c r="O153" s="77">
        <f t="shared" si="130"/>
        <v>35.978118635387915</v>
      </c>
      <c r="P153" s="77">
        <f t="shared" si="130"/>
        <v>16.271117168489983</v>
      </c>
      <c r="Q153" s="77">
        <f t="shared" si="130"/>
        <v>16.00267205198114</v>
      </c>
      <c r="R153" s="77">
        <f t="shared" si="130"/>
        <v>20.003340064976424</v>
      </c>
      <c r="S153" s="77">
        <f t="shared" si="130"/>
        <v>20.000033395831053</v>
      </c>
      <c r="T153" s="77">
        <f>IF(T14="-",#REF!,(T19-T152*2.501)/1.01)</f>
        <v>20.000000333957825</v>
      </c>
      <c r="U153" s="77">
        <f t="shared" si="130"/>
        <v>20.000000003339579</v>
      </c>
      <c r="V153" s="77">
        <f t="shared" si="130"/>
        <v>20.000000003339579</v>
      </c>
      <c r="W153" s="77">
        <f t="shared" si="130"/>
        <v>20.000000003339579</v>
      </c>
      <c r="Y153" s="61"/>
      <c r="Z153" s="61"/>
      <c r="AA153" s="61"/>
    </row>
    <row r="154" spans="2:27" s="59" customFormat="1" x14ac:dyDescent="0.2">
      <c r="C154" s="62" t="s">
        <v>31</v>
      </c>
      <c r="E154" s="77">
        <f>IF(E151&lt;-50,#N/A,IF(E151&lt;0,EXP((1738.4+28.74*E151)/(271+E151)),IF(E151&lt;=100,EXP((1500.3+23.5*E151)/(234+E151)),#N/A)))</f>
        <v>63.176661908168398</v>
      </c>
      <c r="F154" s="77">
        <f t="shared" ref="F154:W154" si="131">IF(F151&lt;-50,#N/A,IF(F151&lt;0,EXP((1738.4+28.74*F151)/(271+F151)),IF(F151&lt;=100,EXP((1500.3+23.5*F151)/(234+F151)),#N/A)))</f>
        <v>63.176661908168398</v>
      </c>
      <c r="G154" s="77">
        <f t="shared" si="131"/>
        <v>63.176661908168398</v>
      </c>
      <c r="H154" s="77">
        <f t="shared" si="131"/>
        <v>63.176661908168398</v>
      </c>
      <c r="I154" s="77">
        <f t="shared" si="131"/>
        <v>2338.0829353370973</v>
      </c>
      <c r="J154" s="77">
        <f t="shared" si="131"/>
        <v>913.0064484183622</v>
      </c>
      <c r="K154" s="77">
        <f t="shared" si="131"/>
        <v>913.0064484183622</v>
      </c>
      <c r="L154" s="77">
        <f t="shared" si="131"/>
        <v>1071.1051886578423</v>
      </c>
      <c r="M154" s="77">
        <f t="shared" si="131"/>
        <v>1071.1051886578423</v>
      </c>
      <c r="N154" s="77">
        <f t="shared" si="131"/>
        <v>2338.0829353370973</v>
      </c>
      <c r="O154" s="77">
        <f t="shared" si="131"/>
        <v>5624.8200638844883</v>
      </c>
      <c r="P154" s="77">
        <f t="shared" si="131"/>
        <v>1817.4687221706879</v>
      </c>
      <c r="Q154" s="77">
        <f t="shared" si="131"/>
        <v>1817.4687221706879</v>
      </c>
      <c r="R154" s="77">
        <f t="shared" si="131"/>
        <v>2338.0829353370973</v>
      </c>
      <c r="S154" s="77">
        <f t="shared" si="131"/>
        <v>2338.0829353370973</v>
      </c>
      <c r="T154" s="77">
        <f t="shared" si="131"/>
        <v>2338.0829353370973</v>
      </c>
      <c r="U154" s="77">
        <f t="shared" si="131"/>
        <v>2338.0829353370973</v>
      </c>
      <c r="V154" s="77">
        <f t="shared" si="131"/>
        <v>608.82962187913188</v>
      </c>
      <c r="W154" s="77">
        <f t="shared" si="131"/>
        <v>608.82962187913188</v>
      </c>
      <c r="Y154" s="61"/>
      <c r="Z154" s="61"/>
      <c r="AA154" s="61"/>
    </row>
    <row r="155" spans="2:27" s="59" customFormat="1" x14ac:dyDescent="0.2">
      <c r="C155" s="59" t="s">
        <v>3</v>
      </c>
      <c r="E155" s="77">
        <f>1.01*E151+(2501+1.86*E151)*E152/1000</f>
        <v>-25.045776376404888</v>
      </c>
      <c r="F155" s="77">
        <f t="shared" ref="F155:W155" si="132">1.01*F151+(2501+1.86*F151)*F152/1000</f>
        <v>-25.045776376404888</v>
      </c>
      <c r="G155" s="77">
        <f t="shared" si="132"/>
        <v>-25.045776376404888</v>
      </c>
      <c r="H155" s="77">
        <f t="shared" si="132"/>
        <v>-25.045776376404888</v>
      </c>
      <c r="I155" s="77">
        <f t="shared" si="132"/>
        <v>43.997460900850115</v>
      </c>
      <c r="J155" s="77">
        <f t="shared" si="132"/>
        <v>20.985472762000462</v>
      </c>
      <c r="K155" s="77">
        <f t="shared" si="132"/>
        <v>5.8912415889965919</v>
      </c>
      <c r="L155" s="77">
        <f t="shared" si="132"/>
        <v>8.2312529755067274</v>
      </c>
      <c r="M155" s="77">
        <f t="shared" si="132"/>
        <v>8.0815123850840358</v>
      </c>
      <c r="N155" s="77">
        <f t="shared" si="132"/>
        <v>20.201525802431078</v>
      </c>
      <c r="O155" s="77">
        <f t="shared" si="132"/>
        <v>74.290856107090491</v>
      </c>
      <c r="P155" s="77">
        <f t="shared" si="132"/>
        <v>39.446082331350226</v>
      </c>
      <c r="Q155" s="77">
        <f t="shared" si="132"/>
        <v>16.389500856670242</v>
      </c>
      <c r="R155" s="77">
        <f t="shared" si="132"/>
        <v>20.430175549795479</v>
      </c>
      <c r="S155" s="77">
        <f t="shared" si="132"/>
        <v>20.202301423423808</v>
      </c>
      <c r="T155" s="77">
        <f t="shared" si="132"/>
        <v>20.200023014201033</v>
      </c>
      <c r="U155" s="77">
        <f t="shared" si="132"/>
        <v>20.200000230142006</v>
      </c>
      <c r="V155" s="77">
        <f t="shared" si="132"/>
        <v>2.2676903301310114E-7</v>
      </c>
      <c r="W155" s="77">
        <f t="shared" si="132"/>
        <v>2.2676903301310114E-7</v>
      </c>
      <c r="Y155" s="61"/>
      <c r="Z155" s="61"/>
      <c r="AA155" s="61"/>
    </row>
    <row r="156" spans="2:27" s="59" customFormat="1" ht="38.25" x14ac:dyDescent="0.2">
      <c r="B156" s="64" t="s">
        <v>116</v>
      </c>
      <c r="C156" s="113" t="s">
        <v>0</v>
      </c>
      <c r="E156" s="59">
        <v>-25.736542713815986</v>
      </c>
      <c r="F156" s="59">
        <v>-25.736542701112796</v>
      </c>
      <c r="G156" s="59">
        <v>-25.736542710631916</v>
      </c>
      <c r="H156" s="59">
        <v>-25.736542713815986</v>
      </c>
      <c r="I156" s="59">
        <v>14.98170477717769</v>
      </c>
      <c r="J156" s="59">
        <v>5.6845687396040816</v>
      </c>
      <c r="K156" s="59">
        <v>-2.372511232653963</v>
      </c>
      <c r="L156" s="59">
        <v>-1.1207509577152117</v>
      </c>
      <c r="M156" s="59">
        <v>-1.1213952521538815</v>
      </c>
      <c r="N156" s="59">
        <v>5.3064115875936508</v>
      </c>
      <c r="O156" s="59">
        <v>-2.6495095945477067</v>
      </c>
      <c r="P156" s="59">
        <v>-2.6495095945477067</v>
      </c>
      <c r="Q156" s="59">
        <v>-2.6495095945477067</v>
      </c>
      <c r="R156" s="59">
        <v>-2.6495095945477067</v>
      </c>
      <c r="S156" s="59">
        <v>-2.6495095945477067</v>
      </c>
      <c r="T156" s="59">
        <v>-2.6495095945477067</v>
      </c>
      <c r="U156" s="59">
        <v>-2.6495095945477067</v>
      </c>
      <c r="V156" s="59">
        <v>-2.6495095945477067</v>
      </c>
      <c r="W156" s="59">
        <v>-2.6495095945477067</v>
      </c>
      <c r="Y156" s="61"/>
      <c r="Z156" s="61"/>
      <c r="AA156" s="61"/>
    </row>
    <row r="157" spans="2:27" s="59" customFormat="1" x14ac:dyDescent="0.2">
      <c r="C157" s="113" t="s">
        <v>31</v>
      </c>
      <c r="E157" s="70">
        <f>IF(E156&lt;-50,#N/A,IF(E156&lt;0,EXP((1738.4+28.74*E156)/(271+E156)),IF(E156&lt;=100,EXP((1500.3+23.5*E156)/(234+E156)),#N/A)))</f>
        <v>58.678730708358543</v>
      </c>
      <c r="F157" s="70">
        <f t="shared" ref="F157:W157" si="133">IF(F156&lt;-50,#N/A,IF(F156&lt;0,EXP((1738.4+28.74*F156)/(271+F156)),IF(F156&lt;=100,EXP((1500.3+23.5*F156)/(234+F156)),#N/A)))</f>
        <v>58.678730783329527</v>
      </c>
      <c r="G157" s="70">
        <f t="shared" si="133"/>
        <v>58.678730727150125</v>
      </c>
      <c r="H157" s="70">
        <f t="shared" si="133"/>
        <v>58.678730708358543</v>
      </c>
      <c r="I157" s="70">
        <f t="shared" si="133"/>
        <v>1702.3821849147248</v>
      </c>
      <c r="J157" s="70">
        <f t="shared" si="133"/>
        <v>913.07986520002567</v>
      </c>
      <c r="K157" s="70">
        <f t="shared" si="133"/>
        <v>501.49026229408628</v>
      </c>
      <c r="L157" s="70">
        <f t="shared" si="133"/>
        <v>556.712076701559</v>
      </c>
      <c r="M157" s="70">
        <f t="shared" si="133"/>
        <v>556.68228255987378</v>
      </c>
      <c r="N157" s="70">
        <f t="shared" si="133"/>
        <v>889.32276676527488</v>
      </c>
      <c r="O157" s="70">
        <f t="shared" si="133"/>
        <v>489.96598295343301</v>
      </c>
      <c r="P157" s="70">
        <f t="shared" si="133"/>
        <v>489.96598295343301</v>
      </c>
      <c r="Q157" s="70">
        <f t="shared" si="133"/>
        <v>489.96598295343301</v>
      </c>
      <c r="R157" s="70">
        <f t="shared" si="133"/>
        <v>489.96598295343301</v>
      </c>
      <c r="S157" s="70">
        <f t="shared" si="133"/>
        <v>489.96598295343301</v>
      </c>
      <c r="T157" s="70">
        <f t="shared" si="133"/>
        <v>489.96598295343301</v>
      </c>
      <c r="U157" s="70">
        <f t="shared" si="133"/>
        <v>489.96598295343301</v>
      </c>
      <c r="V157" s="70">
        <f t="shared" si="133"/>
        <v>489.96598295343301</v>
      </c>
      <c r="W157" s="70">
        <f t="shared" si="133"/>
        <v>489.96598295343301</v>
      </c>
      <c r="Y157" s="61"/>
      <c r="Z157" s="61"/>
      <c r="AA157" s="61"/>
    </row>
    <row r="158" spans="2:27" s="59" customFormat="1" x14ac:dyDescent="0.2">
      <c r="C158" s="113" t="s">
        <v>37</v>
      </c>
      <c r="E158" s="59">
        <f>0.6222*E157/(Tlak_vzduchu-E157/1000)</f>
        <v>0.38658826196041562</v>
      </c>
      <c r="F158" s="59">
        <f t="shared" ref="F158:N158" si="134">0.6222*F157/(Tlak_vzduchu-F157/1000)</f>
        <v>0.38658826245464761</v>
      </c>
      <c r="G158" s="59">
        <f t="shared" si="134"/>
        <v>0.38658826208429553</v>
      </c>
      <c r="H158" s="59">
        <f t="shared" si="134"/>
        <v>0.38658826196041562</v>
      </c>
      <c r="I158" s="59">
        <f t="shared" si="134"/>
        <v>11.414325285425091</v>
      </c>
      <c r="J158" s="59">
        <f t="shared" si="134"/>
        <v>6.0704881762232832</v>
      </c>
      <c r="K158" s="59">
        <f t="shared" si="134"/>
        <v>3.3194913628956821</v>
      </c>
      <c r="L158" s="59">
        <f t="shared" si="134"/>
        <v>3.6871847023975017</v>
      </c>
      <c r="M158" s="59">
        <f t="shared" si="134"/>
        <v>3.6869862021538116</v>
      </c>
      <c r="N158" s="59">
        <f t="shared" si="134"/>
        <v>5.9110417939044897</v>
      </c>
      <c r="O158" s="59">
        <f t="shared" ref="O158:W158" si="135">0.6222*O157/(Tlak_vzduchu-O157/1000)</f>
        <v>3.2428116613418863</v>
      </c>
      <c r="P158" s="59">
        <f t="shared" si="135"/>
        <v>3.2428116613418863</v>
      </c>
      <c r="Q158" s="59">
        <f t="shared" si="135"/>
        <v>3.2428116613418863</v>
      </c>
      <c r="R158" s="59">
        <f t="shared" si="135"/>
        <v>3.2428116613418863</v>
      </c>
      <c r="S158" s="59">
        <f t="shared" si="135"/>
        <v>3.2428116613418863</v>
      </c>
      <c r="T158" s="59">
        <f t="shared" si="135"/>
        <v>3.2428116613418863</v>
      </c>
      <c r="U158" s="59">
        <f t="shared" si="135"/>
        <v>3.2428116613418863</v>
      </c>
      <c r="V158" s="59">
        <f t="shared" si="135"/>
        <v>3.2428116613418863</v>
      </c>
      <c r="W158" s="59">
        <f t="shared" si="135"/>
        <v>3.2428116613418863</v>
      </c>
      <c r="Y158" s="61"/>
      <c r="Z158" s="61"/>
      <c r="AA158" s="61"/>
    </row>
    <row r="159" spans="2:27" s="59" customFormat="1" x14ac:dyDescent="0.2">
      <c r="C159" s="113" t="s">
        <v>38</v>
      </c>
      <c r="E159" s="59">
        <f>(E155-1.01*E156)/(2501+1.86*E156)*1000</f>
        <v>0.38649878022804823</v>
      </c>
      <c r="F159" s="59">
        <f t="shared" ref="F159:W159" si="136">(F155-1.01*F156)/(2501+1.86*F156)*1000</f>
        <v>0.38649877499418134</v>
      </c>
      <c r="G159" s="59">
        <f t="shared" si="136"/>
        <v>0.38649877891617246</v>
      </c>
      <c r="H159" s="59">
        <f t="shared" si="136"/>
        <v>0.38649878022804823</v>
      </c>
      <c r="I159" s="59">
        <f t="shared" si="136"/>
        <v>11.414578474395169</v>
      </c>
      <c r="J159" s="59">
        <f t="shared" si="136"/>
        <v>6.0695255631262865</v>
      </c>
      <c r="K159" s="59">
        <f t="shared" si="136"/>
        <v>3.3195228147076739</v>
      </c>
      <c r="L159" s="59">
        <f t="shared" si="136"/>
        <v>3.7469101317872142</v>
      </c>
      <c r="M159" s="59">
        <f t="shared" si="136"/>
        <v>3.6872500752312241</v>
      </c>
      <c r="N159" s="59">
        <f t="shared" si="136"/>
        <v>5.9111186716265642</v>
      </c>
      <c r="O159" s="59">
        <f t="shared" si="136"/>
        <v>30.835193658807817</v>
      </c>
      <c r="P159" s="59">
        <f t="shared" si="136"/>
        <v>16.87534995155309</v>
      </c>
      <c r="Q159" s="59">
        <f t="shared" si="136"/>
        <v>7.6382036328070599</v>
      </c>
      <c r="R159" s="59">
        <f t="shared" si="136"/>
        <v>9.2570170465752906</v>
      </c>
      <c r="S159" s="59">
        <f t="shared" si="136"/>
        <v>9.1657239531102803</v>
      </c>
      <c r="T159" s="59">
        <f t="shared" si="136"/>
        <v>9.1648111552010221</v>
      </c>
      <c r="U159" s="59">
        <f t="shared" si="136"/>
        <v>9.1648020272352309</v>
      </c>
      <c r="V159" s="59">
        <f t="shared" si="136"/>
        <v>1.0720864668329173</v>
      </c>
      <c r="W159" s="59">
        <f t="shared" si="136"/>
        <v>1.0720864668329173</v>
      </c>
      <c r="Y159" s="61"/>
      <c r="Z159" s="61"/>
      <c r="AA159" s="61"/>
    </row>
    <row r="160" spans="2:27" s="59" customFormat="1" x14ac:dyDescent="0.2">
      <c r="C160" s="114" t="s">
        <v>39</v>
      </c>
      <c r="E160" s="59">
        <f>E158-E159</f>
        <v>8.948173236739132E-5</v>
      </c>
      <c r="F160" s="59">
        <f t="shared" ref="F160:W160" si="137">F158-F159</f>
        <v>8.9487460466275426E-5</v>
      </c>
      <c r="G160" s="59">
        <f t="shared" si="137"/>
        <v>8.9483168123072332E-5</v>
      </c>
      <c r="H160" s="59">
        <f t="shared" si="137"/>
        <v>8.948173236739132E-5</v>
      </c>
      <c r="I160" s="59">
        <f t="shared" si="137"/>
        <v>-2.5318897007764463E-4</v>
      </c>
      <c r="J160" s="59">
        <f t="shared" si="137"/>
        <v>9.62613096996634E-4</v>
      </c>
      <c r="K160" s="59">
        <f t="shared" si="137"/>
        <v>-3.1451811991711764E-5</v>
      </c>
      <c r="L160" s="59">
        <f t="shared" si="137"/>
        <v>-5.9725429389712481E-2</v>
      </c>
      <c r="M160" s="59">
        <f t="shared" si="137"/>
        <v>-2.6387307741249089E-4</v>
      </c>
      <c r="N160" s="59">
        <f t="shared" si="137"/>
        <v>-7.6877722074542021E-5</v>
      </c>
      <c r="O160" s="59">
        <f t="shared" si="137"/>
        <v>-27.592381997465932</v>
      </c>
      <c r="P160" s="59">
        <f t="shared" si="137"/>
        <v>-13.632538290211205</v>
      </c>
      <c r="Q160" s="59">
        <f t="shared" si="137"/>
        <v>-4.3953919714651732</v>
      </c>
      <c r="R160" s="59">
        <f t="shared" si="137"/>
        <v>-6.0142053852334048</v>
      </c>
      <c r="S160" s="59">
        <f t="shared" si="137"/>
        <v>-5.9229122917683945</v>
      </c>
      <c r="T160" s="59">
        <f t="shared" si="137"/>
        <v>-5.9219994938591363</v>
      </c>
      <c r="U160" s="59">
        <f t="shared" si="137"/>
        <v>-5.921990365893345</v>
      </c>
      <c r="V160" s="59">
        <f t="shared" si="137"/>
        <v>2.1707251945089689</v>
      </c>
      <c r="W160" s="59">
        <f t="shared" si="137"/>
        <v>2.1707251945089689</v>
      </c>
      <c r="Y160" s="61"/>
      <c r="Z160" s="61"/>
      <c r="AA160" s="61"/>
    </row>
    <row r="161" spans="2:27" s="59" customFormat="1" x14ac:dyDescent="0.2">
      <c r="B161" s="59" t="s">
        <v>49</v>
      </c>
      <c r="Y161" s="61"/>
      <c r="Z161" s="61"/>
      <c r="AA161" s="61"/>
    </row>
    <row r="162" spans="2:27" s="59" customFormat="1" x14ac:dyDescent="0.2">
      <c r="B162" s="59" t="s">
        <v>50</v>
      </c>
      <c r="C162" s="59">
        <v>1</v>
      </c>
      <c r="D162" s="59" t="s">
        <v>2</v>
      </c>
      <c r="E162" s="59">
        <f>IF(E$14="",E$152,-1)</f>
        <v>8.3203757830561539E-2</v>
      </c>
      <c r="Y162" s="61"/>
      <c r="Z162" s="61"/>
      <c r="AA162" s="61"/>
    </row>
    <row r="163" spans="2:27" s="59" customFormat="1" x14ac:dyDescent="0.2">
      <c r="D163" s="59" t="s">
        <v>8</v>
      </c>
      <c r="E163" s="59">
        <f>IF(E$14="",E$153,0)</f>
        <v>-25.003830668058537</v>
      </c>
      <c r="Y163" s="61"/>
      <c r="Z163" s="61"/>
      <c r="AA163" s="61"/>
    </row>
    <row r="164" spans="2:27" s="59" customFormat="1" x14ac:dyDescent="0.2">
      <c r="C164" s="59">
        <f>C162+1</f>
        <v>2</v>
      </c>
      <c r="D164" s="59" t="s">
        <v>2</v>
      </c>
      <c r="E164" s="59">
        <f>IF(F$28&lt;&gt;0,E$152,F164)</f>
        <v>8.3203757830561539E-2</v>
      </c>
      <c r="F164" s="59">
        <f>IF(F$14="",F$152,-1)</f>
        <v>8.3203757830561539E-2</v>
      </c>
      <c r="Y164" s="61"/>
      <c r="Z164" s="61"/>
      <c r="AA164" s="61"/>
    </row>
    <row r="165" spans="2:27" s="59" customFormat="1" x14ac:dyDescent="0.2">
      <c r="D165" s="59" t="s">
        <v>8</v>
      </c>
      <c r="E165" s="59">
        <f>IF(F$28&lt;&gt;0,E$153,F165)</f>
        <v>-25.003830668058537</v>
      </c>
      <c r="F165" s="59">
        <f>IF(F$14="",F$153,0)</f>
        <v>-25.003830668058537</v>
      </c>
      <c r="Y165" s="61"/>
      <c r="Z165" s="61"/>
      <c r="AA165" s="61"/>
    </row>
    <row r="166" spans="2:27" s="59" customFormat="1" x14ac:dyDescent="0.2">
      <c r="C166" s="59">
        <f>C164+1</f>
        <v>3</v>
      </c>
      <c r="D166" s="59" t="s">
        <v>2</v>
      </c>
      <c r="F166" s="59">
        <f>IF(G$28&lt;&gt;0,F$152,G166)</f>
        <v>8.3203757830561539E-2</v>
      </c>
      <c r="G166" s="59">
        <f>IF(G$14="",G$152,-1)</f>
        <v>8.3203757830561539E-2</v>
      </c>
      <c r="H166" s="59">
        <f>IF(G$28=5,E$152,G166)</f>
        <v>8.3203757830561539E-2</v>
      </c>
      <c r="Y166" s="61"/>
      <c r="Z166" s="61"/>
      <c r="AA166" s="61"/>
    </row>
    <row r="167" spans="2:27" s="59" customFormat="1" x14ac:dyDescent="0.2">
      <c r="D167" s="59" t="s">
        <v>8</v>
      </c>
      <c r="F167" s="59">
        <f>IF(G$28&lt;&gt;0,F$153,G167)</f>
        <v>-25.003830668058537</v>
      </c>
      <c r="G167" s="59">
        <f>IF(G$14="",G$153,0)</f>
        <v>-25.003830668058537</v>
      </c>
      <c r="H167" s="59">
        <f>IF(G$28=5,E$153,G167)</f>
        <v>-25.003830668058537</v>
      </c>
      <c r="Y167" s="61"/>
      <c r="Z167" s="61"/>
      <c r="AA167" s="61"/>
    </row>
    <row r="168" spans="2:27" s="59" customFormat="1" x14ac:dyDescent="0.2">
      <c r="C168" s="59">
        <f>C166+1</f>
        <v>4</v>
      </c>
      <c r="D168" s="59" t="s">
        <v>2</v>
      </c>
      <c r="G168" s="59">
        <f>IF(H$28&lt;&gt;0,G$152,H168)</f>
        <v>8.3203757830561539E-2</v>
      </c>
      <c r="H168" s="59">
        <f>IF(H$14="",H$152,-1)</f>
        <v>8.3203757830561539E-2</v>
      </c>
      <c r="I168" s="59">
        <f>IF(H$28=5,F$152,H168)</f>
        <v>8.3203757830561539E-2</v>
      </c>
      <c r="Y168" s="61"/>
      <c r="Z168" s="61"/>
      <c r="AA168" s="61"/>
    </row>
    <row r="169" spans="2:27" s="59" customFormat="1" x14ac:dyDescent="0.2">
      <c r="D169" s="59" t="s">
        <v>8</v>
      </c>
      <c r="G169" s="59">
        <f>IF(H$28&lt;&gt;0,G$153,H169)</f>
        <v>-25.003830668058537</v>
      </c>
      <c r="H169" s="59">
        <f>IF(H$14="",H$153,0)</f>
        <v>-25.003830668058537</v>
      </c>
      <c r="I169" s="59">
        <f>IF(H$28=5,F$153,H169)</f>
        <v>-25.003830668058537</v>
      </c>
      <c r="Y169" s="61"/>
      <c r="Z169" s="61"/>
      <c r="AA169" s="61"/>
    </row>
    <row r="170" spans="2:27" s="59" customFormat="1" x14ac:dyDescent="0.2">
      <c r="C170" s="59">
        <f>C168+1</f>
        <v>5</v>
      </c>
      <c r="D170" s="59" t="s">
        <v>2</v>
      </c>
      <c r="H170" s="59">
        <f>IF(I$28&lt;&gt;0,H$152,I170)</f>
        <v>9.3757233081908904</v>
      </c>
      <c r="I170" s="59">
        <f>IF(I$14="",I$152,-1)</f>
        <v>9.3757233081908904</v>
      </c>
      <c r="J170" s="59">
        <f>IF(I$28=5,G$152,I170)</f>
        <v>9.3757233081908904</v>
      </c>
      <c r="Y170" s="61"/>
      <c r="Z170" s="61"/>
      <c r="AA170" s="61"/>
    </row>
    <row r="171" spans="2:27" s="59" customFormat="1" x14ac:dyDescent="0.2">
      <c r="D171" s="59" t="s">
        <v>8</v>
      </c>
      <c r="H171" s="59">
        <f>IF(I$28&lt;&gt;0,H$153,I171)</f>
        <v>20.345323670361086</v>
      </c>
      <c r="I171" s="59">
        <f>IF(I$14="",I$153,0)</f>
        <v>20.345323670361086</v>
      </c>
      <c r="J171" s="59">
        <f>IF(I$28=5,G$153,I171)</f>
        <v>20.345323670361086</v>
      </c>
      <c r="Y171" s="61"/>
      <c r="Z171" s="61"/>
      <c r="AA171" s="61"/>
    </row>
    <row r="172" spans="2:27" s="59" customFormat="1" x14ac:dyDescent="0.2">
      <c r="C172" s="59">
        <f>C170+1</f>
        <v>6</v>
      </c>
      <c r="D172" s="59" t="s">
        <v>2</v>
      </c>
      <c r="I172" s="59">
        <f>IF(J$28&lt;&gt;0,I$152,J172)</f>
        <v>9.3757233081908904</v>
      </c>
      <c r="J172" s="59">
        <f>IF(J$14="",J$152,-1)</f>
        <v>6.0699953128936093</v>
      </c>
      <c r="K172" s="59">
        <f>IF(J$28=5,H$152,J172)</f>
        <v>8.3203757830561539E-2</v>
      </c>
      <c r="Y172" s="61"/>
      <c r="Z172" s="61"/>
      <c r="AA172" s="61"/>
    </row>
    <row r="173" spans="2:27" s="59" customFormat="1" x14ac:dyDescent="0.2">
      <c r="D173" s="59" t="s">
        <v>8</v>
      </c>
      <c r="I173" s="59">
        <f>IF(J$28&lt;&gt;0,I$153,J173)</f>
        <v>20.345323670361086</v>
      </c>
      <c r="J173" s="59">
        <f>IF(J$14="",J$153,0)</f>
        <v>5.7469450341124224</v>
      </c>
      <c r="K173" s="59">
        <f>IF(J$28=5,H$153,J173)</f>
        <v>-25.003830668058537</v>
      </c>
      <c r="Y173" s="61"/>
      <c r="Z173" s="61"/>
      <c r="AA173" s="61"/>
    </row>
    <row r="174" spans="2:27" s="59" customFormat="1" x14ac:dyDescent="0.2">
      <c r="C174" s="59">
        <f>C172+1</f>
        <v>7</v>
      </c>
      <c r="D174" s="59" t="s">
        <v>2</v>
      </c>
      <c r="J174" s="59">
        <f>IF(K$28&lt;&gt;0,J$152,K174)</f>
        <v>6.0119312330765867E-2</v>
      </c>
      <c r="K174" s="59">
        <f>IF(K$14="",K$152,-1)</f>
        <v>6.0119312330765867E-2</v>
      </c>
      <c r="L174" s="59">
        <f>IF(K$28=5,I$152,K174)</f>
        <v>6.0119312330765867E-2</v>
      </c>
      <c r="Y174" s="61"/>
      <c r="Z174" s="61"/>
      <c r="AA174" s="61"/>
    </row>
    <row r="175" spans="2:27" s="59" customFormat="1" x14ac:dyDescent="0.2">
      <c r="D175" s="59" t="s">
        <v>8</v>
      </c>
      <c r="J175" s="59">
        <f>IF(K$28&lt;&gt;0,J$153,K175)</f>
        <v>5.684042761244898</v>
      </c>
      <c r="K175" s="59">
        <f>IF(K$14="",K$153,0)</f>
        <v>5.684042761244898</v>
      </c>
      <c r="L175" s="59">
        <f>IF(K$28=5,I$153,K175)</f>
        <v>5.684042761244898</v>
      </c>
      <c r="Y175" s="61"/>
      <c r="Z175" s="61"/>
      <c r="AA175" s="61"/>
    </row>
    <row r="176" spans="2:27" s="59" customFormat="1" x14ac:dyDescent="0.2">
      <c r="C176" s="59">
        <f>C174+1</f>
        <v>8</v>
      </c>
      <c r="D176" s="59" t="s">
        <v>2</v>
      </c>
      <c r="K176" s="59">
        <f>IF(L$28&lt;&gt;0,K$152,L176)</f>
        <v>6.0119312330765867E-2</v>
      </c>
      <c r="L176" s="59">
        <f>IF(L$14="",L$152,-1)</f>
        <v>6.0119312330765867E-2</v>
      </c>
      <c r="M176" s="59">
        <f>IF(L$28=5,J$152,L176)</f>
        <v>6.0119312330765867E-2</v>
      </c>
      <c r="Y176" s="61"/>
      <c r="Z176" s="61"/>
      <c r="AA176" s="61"/>
    </row>
    <row r="177" spans="2:27" s="59" customFormat="1" x14ac:dyDescent="0.2">
      <c r="D177" s="59" t="s">
        <v>8</v>
      </c>
      <c r="K177" s="59">
        <f>IF(L$28&lt;&gt;0,K$153,L177)</f>
        <v>5.684042761244898</v>
      </c>
      <c r="L177" s="59">
        <f>IF(L$14="",L$153,0)</f>
        <v>8.0008857181856268</v>
      </c>
      <c r="M177" s="59">
        <f>IF(L$28=5,J$153,L177)</f>
        <v>8.0008857181856268</v>
      </c>
      <c r="Y177" s="61"/>
      <c r="Z177" s="61"/>
      <c r="AA177" s="61"/>
    </row>
    <row r="178" spans="2:27" s="59" customFormat="1" x14ac:dyDescent="0.2">
      <c r="C178" s="59">
        <f>C176+1</f>
        <v>9</v>
      </c>
      <c r="D178" s="59" t="s">
        <v>2</v>
      </c>
      <c r="L178" s="59">
        <f>IF(M$28&lt;&gt;0,L$152,M178)</f>
        <v>6.0113562015513496E-4</v>
      </c>
      <c r="M178" s="59">
        <f>IF(M$14="",M$152,-1)</f>
        <v>6.0113562015513496E-4</v>
      </c>
      <c r="N178" s="59">
        <f>IF(M$28=5,K$152,M178)</f>
        <v>6.0113562015513496E-4</v>
      </c>
      <c r="O178" s="59">
        <f t="shared" ref="O178:W178" si="138">IF(N$28=5,L$152,N178)</f>
        <v>6.0113562015513496E-4</v>
      </c>
      <c r="P178" s="59">
        <f t="shared" si="138"/>
        <v>6.0113562015513496E-4</v>
      </c>
      <c r="Q178" s="59">
        <f t="shared" si="138"/>
        <v>6.0113562015513496E-4</v>
      </c>
      <c r="R178" s="59">
        <f t="shared" si="138"/>
        <v>6.0113562015513496E-4</v>
      </c>
      <c r="S178" s="59">
        <f t="shared" si="138"/>
        <v>6.0113562015513496E-4</v>
      </c>
      <c r="T178" s="59" t="e">
        <f>IF(#REF!=5,R$152,#REF!)</f>
        <v>#REF!</v>
      </c>
      <c r="U178" s="59" t="e">
        <f>IF(T$28=5,S$152,T178)</f>
        <v>#REF!</v>
      </c>
      <c r="V178" s="59" t="e">
        <f>IF(U$28=5,#REF!,U178)</f>
        <v>#REF!</v>
      </c>
      <c r="W178" s="59" t="e">
        <f t="shared" si="138"/>
        <v>#REF!</v>
      </c>
      <c r="Y178" s="61"/>
      <c r="Z178" s="61"/>
      <c r="AA178" s="61"/>
    </row>
    <row r="179" spans="2:27" s="59" customFormat="1" x14ac:dyDescent="0.2">
      <c r="D179" s="59" t="s">
        <v>8</v>
      </c>
      <c r="L179" s="59">
        <f>IF(M$28&lt;&gt;0,L$153,M179)</f>
        <v>8.0000088563346807</v>
      </c>
      <c r="M179" s="59">
        <f>IF(M$14="",M$153,0)</f>
        <v>8.0000088563346807</v>
      </c>
      <c r="N179" s="59">
        <f>IF(M$28=5,K$153,M179)</f>
        <v>8.0000088563346807</v>
      </c>
      <c r="O179" s="59">
        <f t="shared" ref="O179:W179" si="139">IF(N$28=5,L$153,N179)</f>
        <v>8.0000088563346807</v>
      </c>
      <c r="P179" s="59">
        <f t="shared" si="139"/>
        <v>8.0000088563346807</v>
      </c>
      <c r="Q179" s="59">
        <f t="shared" si="139"/>
        <v>8.0000088563346807</v>
      </c>
      <c r="R179" s="59">
        <f t="shared" si="139"/>
        <v>8.0000088563346807</v>
      </c>
      <c r="S179" s="59">
        <f t="shared" si="139"/>
        <v>8.0000088563346807</v>
      </c>
      <c r="T179" s="59" t="e">
        <f>IF(#REF!=5,R$153,#REF!)</f>
        <v>#REF!</v>
      </c>
      <c r="U179" s="59" t="e">
        <f>IF(T$28=5,S$153,T179)</f>
        <v>#REF!</v>
      </c>
      <c r="V179" s="59" t="e">
        <f>IF(U$28=5,#REF!,U179)</f>
        <v>#REF!</v>
      </c>
      <c r="W179" s="59" t="e">
        <f t="shared" si="139"/>
        <v>#REF!</v>
      </c>
      <c r="Y179" s="61"/>
      <c r="Z179" s="61"/>
      <c r="AA179" s="61"/>
    </row>
    <row r="180" spans="2:27" s="59" customFormat="1" x14ac:dyDescent="0.2">
      <c r="C180" s="59">
        <f>C178+1</f>
        <v>10</v>
      </c>
      <c r="D180" s="59" t="s">
        <v>2</v>
      </c>
      <c r="M180" s="59">
        <f>IF(N$28&lt;&gt;0,M$152,N180)</f>
        <v>6.0113562015513496E-4</v>
      </c>
      <c r="N180" s="59">
        <f>IF(N$14="",N$152,-1)</f>
        <v>6.0113562015513496E-4</v>
      </c>
      <c r="O180" s="59">
        <f t="shared" ref="O180:W180" si="140">IF(O$14="",O$152,-1)</f>
        <v>15.17511246915182</v>
      </c>
      <c r="P180" s="59">
        <f t="shared" si="140"/>
        <v>9.2012211080269264</v>
      </c>
      <c r="Q180" s="59">
        <f t="shared" si="140"/>
        <v>9.0684559843778378E-2</v>
      </c>
      <c r="R180" s="59">
        <f t="shared" si="140"/>
        <v>9.0684559843778378E-2</v>
      </c>
      <c r="S180" s="59">
        <f t="shared" si="140"/>
        <v>9.0671476786990859E-4</v>
      </c>
      <c r="T180" s="59">
        <f t="shared" si="140"/>
        <v>9.0671345975486622E-6</v>
      </c>
      <c r="U180" s="59">
        <f t="shared" si="140"/>
        <v>9.0671344667373509E-8</v>
      </c>
      <c r="V180" s="59">
        <f t="shared" si="140"/>
        <v>-1</v>
      </c>
      <c r="W180" s="59">
        <f t="shared" si="140"/>
        <v>-1</v>
      </c>
      <c r="Y180" s="61"/>
      <c r="Z180" s="61"/>
      <c r="AA180" s="61"/>
    </row>
    <row r="181" spans="2:27" s="59" customFormat="1" x14ac:dyDescent="0.2">
      <c r="D181" s="59" t="s">
        <v>8</v>
      </c>
      <c r="M181" s="59">
        <f>IF(N$28&lt;&gt;0,M$153,N181)</f>
        <v>8.0000088563346807</v>
      </c>
      <c r="N181" s="59">
        <f>IF(N$14="",N$153,0)</f>
        <v>20.000022140836705</v>
      </c>
      <c r="O181" s="59">
        <f t="shared" ref="O181:W181" si="141">IF(O$14="",O$153,0)</f>
        <v>35.978118635387915</v>
      </c>
      <c r="P181" s="59">
        <f t="shared" si="141"/>
        <v>16.271117168489983</v>
      </c>
      <c r="Q181" s="59">
        <f t="shared" si="141"/>
        <v>16.00267205198114</v>
      </c>
      <c r="R181" s="59">
        <f t="shared" si="141"/>
        <v>20.003340064976424</v>
      </c>
      <c r="S181" s="59">
        <f t="shared" si="141"/>
        <v>20.000033395831053</v>
      </c>
      <c r="T181" s="59">
        <f t="shared" si="141"/>
        <v>20.000000333957825</v>
      </c>
      <c r="U181" s="59">
        <f t="shared" si="141"/>
        <v>20.000000003339579</v>
      </c>
      <c r="V181" s="59">
        <f t="shared" si="141"/>
        <v>0</v>
      </c>
      <c r="W181" s="59">
        <f t="shared" si="141"/>
        <v>0</v>
      </c>
      <c r="Y181" s="61"/>
      <c r="Z181" s="61"/>
      <c r="AA181" s="61"/>
    </row>
    <row r="182" spans="2:27" s="59" customFormat="1" x14ac:dyDescent="0.2">
      <c r="B182" s="59" t="s">
        <v>107</v>
      </c>
      <c r="Y182" s="61"/>
      <c r="Z182" s="61"/>
      <c r="AA182" s="61"/>
    </row>
    <row r="183" spans="2:27" s="59" customFormat="1" x14ac:dyDescent="0.2">
      <c r="Y183" s="61"/>
      <c r="Z183" s="61"/>
    </row>
    <row r="184" spans="2:27" s="59" customFormat="1" x14ac:dyDescent="0.2">
      <c r="Y184" s="61"/>
      <c r="Z184" s="61"/>
    </row>
    <row r="185" spans="2:27" s="59" customFormat="1" x14ac:dyDescent="0.2">
      <c r="Y185" s="61"/>
      <c r="Z185" s="61"/>
    </row>
    <row r="186" spans="2:27" s="59" customFormat="1" x14ac:dyDescent="0.2">
      <c r="Y186" s="61"/>
      <c r="Z186" s="61"/>
    </row>
    <row r="187" spans="2:27" s="59" customFormat="1" x14ac:dyDescent="0.2">
      <c r="Y187" s="61"/>
      <c r="Z187" s="61"/>
    </row>
    <row r="188" spans="2:27" s="59" customFormat="1" x14ac:dyDescent="0.2">
      <c r="Y188" s="61"/>
      <c r="Z188" s="61"/>
    </row>
    <row r="189" spans="2:27" s="59" customFormat="1" x14ac:dyDescent="0.2">
      <c r="Y189" s="61"/>
      <c r="Z189" s="61"/>
    </row>
    <row r="190" spans="2:27" s="59" customFormat="1" x14ac:dyDescent="0.2">
      <c r="Y190" s="61"/>
      <c r="Z190" s="61"/>
    </row>
    <row r="191" spans="2:27" s="59" customFormat="1" x14ac:dyDescent="0.2">
      <c r="Y191" s="61"/>
      <c r="Z191" s="61"/>
    </row>
    <row r="192" spans="2:27" s="59" customFormat="1" x14ac:dyDescent="0.2">
      <c r="Y192" s="61"/>
      <c r="Z192" s="61"/>
    </row>
    <row r="193" spans="25:26" s="59" customFormat="1" x14ac:dyDescent="0.2">
      <c r="Y193" s="61"/>
      <c r="Z193" s="61"/>
    </row>
    <row r="194" spans="25:26" s="59" customFormat="1" x14ac:dyDescent="0.2">
      <c r="Y194" s="61"/>
      <c r="Z194" s="61"/>
    </row>
    <row r="195" spans="25:26" s="59" customFormat="1" x14ac:dyDescent="0.2">
      <c r="Y195" s="61"/>
      <c r="Z195" s="61"/>
    </row>
    <row r="196" spans="25:26" s="59" customFormat="1" x14ac:dyDescent="0.2">
      <c r="Y196" s="61"/>
      <c r="Z196" s="61"/>
    </row>
    <row r="197" spans="25:26" s="59" customFormat="1" x14ac:dyDescent="0.2">
      <c r="Y197" s="61"/>
      <c r="Z197" s="61"/>
    </row>
    <row r="198" spans="25:26" s="59" customFormat="1" x14ac:dyDescent="0.2">
      <c r="Y198" s="61"/>
      <c r="Z198" s="61"/>
    </row>
    <row r="199" spans="25:26" s="59" customFormat="1" x14ac:dyDescent="0.2">
      <c r="Y199" s="61"/>
      <c r="Z199" s="61"/>
    </row>
    <row r="200" spans="25:26" s="59" customFormat="1" x14ac:dyDescent="0.2">
      <c r="Y200" s="61"/>
      <c r="Z200" s="61"/>
    </row>
    <row r="201" spans="25:26" s="59" customFormat="1" x14ac:dyDescent="0.2">
      <c r="Y201" s="61"/>
      <c r="Z201" s="61"/>
    </row>
    <row r="202" spans="25:26" s="59" customFormat="1" x14ac:dyDescent="0.2">
      <c r="Y202" s="61"/>
      <c r="Z202" s="61"/>
    </row>
    <row r="203" spans="25:26" s="59" customFormat="1" x14ac:dyDescent="0.2">
      <c r="Y203" s="61"/>
      <c r="Z203" s="61"/>
    </row>
    <row r="204" spans="25:26" s="59" customFormat="1" x14ac:dyDescent="0.2">
      <c r="Y204" s="61"/>
      <c r="Z204" s="61"/>
    </row>
    <row r="205" spans="25:26" s="59" customFormat="1" x14ac:dyDescent="0.2">
      <c r="Y205" s="61"/>
      <c r="Z205" s="61"/>
    </row>
    <row r="206" spans="25:26" s="59" customFormat="1" x14ac:dyDescent="0.2">
      <c r="Y206" s="61"/>
      <c r="Z206" s="61"/>
    </row>
    <row r="207" spans="25:26" s="59" customFormat="1" x14ac:dyDescent="0.2">
      <c r="Y207" s="61"/>
      <c r="Z207" s="61"/>
    </row>
    <row r="208" spans="25:26" s="59" customFormat="1" x14ac:dyDescent="0.2">
      <c r="Y208" s="61"/>
      <c r="Z208" s="61"/>
    </row>
    <row r="209" spans="25:26" s="59" customFormat="1" x14ac:dyDescent="0.2">
      <c r="Y209" s="61"/>
      <c r="Z209" s="61"/>
    </row>
    <row r="210" spans="25:26" s="59" customFormat="1" x14ac:dyDescent="0.2">
      <c r="Y210" s="61"/>
      <c r="Z210" s="61"/>
    </row>
    <row r="211" spans="25:26" s="59" customFormat="1" x14ac:dyDescent="0.2">
      <c r="Y211" s="61"/>
      <c r="Z211" s="61"/>
    </row>
    <row r="212" spans="25:26" s="59" customFormat="1" x14ac:dyDescent="0.2">
      <c r="Y212" s="61"/>
      <c r="Z212" s="61"/>
    </row>
    <row r="213" spans="25:26" s="59" customFormat="1" x14ac:dyDescent="0.2">
      <c r="Y213" s="61"/>
      <c r="Z213" s="61"/>
    </row>
    <row r="214" spans="25:26" s="59" customFormat="1" x14ac:dyDescent="0.2">
      <c r="Y214" s="61"/>
      <c r="Z214" s="61"/>
    </row>
    <row r="215" spans="25:26" s="59" customFormat="1" x14ac:dyDescent="0.2">
      <c r="Y215" s="61"/>
      <c r="Z215" s="61"/>
    </row>
    <row r="216" spans="25:26" s="59" customFormat="1" x14ac:dyDescent="0.2">
      <c r="Y216" s="61"/>
      <c r="Z216" s="61"/>
    </row>
    <row r="217" spans="25:26" s="59" customFormat="1" x14ac:dyDescent="0.2">
      <c r="Y217" s="61"/>
      <c r="Z217" s="61"/>
    </row>
    <row r="218" spans="25:26" s="59" customFormat="1" x14ac:dyDescent="0.2">
      <c r="Y218" s="61"/>
      <c r="Z218" s="61"/>
    </row>
    <row r="219" spans="25:26" s="59" customFormat="1" x14ac:dyDescent="0.2">
      <c r="Y219" s="61"/>
      <c r="Z219" s="61"/>
    </row>
    <row r="220" spans="25:26" s="59" customFormat="1" x14ac:dyDescent="0.2">
      <c r="Y220" s="61"/>
      <c r="Z220" s="61"/>
    </row>
    <row r="221" spans="25:26" s="59" customFormat="1" x14ac:dyDescent="0.2">
      <c r="Y221" s="61"/>
      <c r="Z221" s="61"/>
    </row>
    <row r="222" spans="25:26" s="59" customFormat="1" x14ac:dyDescent="0.2">
      <c r="Y222" s="61"/>
      <c r="Z222" s="61"/>
    </row>
    <row r="223" spans="25:26" s="59" customFormat="1" x14ac:dyDescent="0.2">
      <c r="Y223" s="61"/>
      <c r="Z223" s="61"/>
    </row>
    <row r="224" spans="25:26" s="59" customFormat="1" x14ac:dyDescent="0.2">
      <c r="Y224" s="61"/>
      <c r="Z224" s="61"/>
    </row>
    <row r="225" spans="25:33" s="59" customFormat="1" x14ac:dyDescent="0.2">
      <c r="Y225" s="61"/>
      <c r="Z225" s="61"/>
    </row>
    <row r="226" spans="25:33" s="59" customFormat="1" x14ac:dyDescent="0.2">
      <c r="Y226" s="61"/>
      <c r="Z226" s="61"/>
    </row>
    <row r="227" spans="25:33" s="59" customFormat="1" x14ac:dyDescent="0.2">
      <c r="Y227" s="61"/>
      <c r="Z227" s="61"/>
    </row>
    <row r="228" spans="25:33" s="59" customFormat="1" x14ac:dyDescent="0.2">
      <c r="Y228" s="61"/>
      <c r="Z228" s="61"/>
    </row>
    <row r="229" spans="25:33" s="59" customFormat="1" x14ac:dyDescent="0.2">
      <c r="Y229" s="61"/>
      <c r="Z229" s="61"/>
    </row>
    <row r="230" spans="25:33" s="59" customFormat="1" x14ac:dyDescent="0.2">
      <c r="Y230" s="61"/>
      <c r="Z230" s="61"/>
    </row>
    <row r="231" spans="25:33" s="59" customFormat="1" x14ac:dyDescent="0.2">
      <c r="Y231" s="61"/>
      <c r="Z231" s="61"/>
    </row>
    <row r="232" spans="25:33" s="51" customFormat="1" x14ac:dyDescent="0.2">
      <c r="Y232" s="61"/>
      <c r="Z232" s="61"/>
      <c r="AA232" s="59"/>
      <c r="AB232" s="59"/>
      <c r="AC232" s="59"/>
      <c r="AD232" s="59"/>
      <c r="AE232" s="59"/>
      <c r="AF232" s="59"/>
      <c r="AG232" s="59"/>
    </row>
    <row r="233" spans="25:33" s="51" customFormat="1" x14ac:dyDescent="0.2">
      <c r="Y233" s="61"/>
      <c r="Z233" s="61"/>
      <c r="AA233" s="59"/>
      <c r="AB233" s="59"/>
      <c r="AC233" s="59"/>
      <c r="AD233" s="59"/>
      <c r="AE233" s="59"/>
      <c r="AF233" s="59"/>
      <c r="AG233" s="59"/>
    </row>
    <row r="234" spans="25:33" s="51" customFormat="1" x14ac:dyDescent="0.2">
      <c r="Y234" s="61"/>
      <c r="Z234" s="61"/>
      <c r="AA234" s="59"/>
      <c r="AB234" s="59"/>
      <c r="AC234" s="59"/>
      <c r="AD234" s="59"/>
      <c r="AE234" s="59"/>
      <c r="AF234" s="59"/>
      <c r="AG234" s="59"/>
    </row>
    <row r="235" spans="25:33" s="51" customFormat="1" x14ac:dyDescent="0.2">
      <c r="Y235" s="61"/>
      <c r="Z235" s="61"/>
      <c r="AA235" s="59"/>
      <c r="AB235" s="59"/>
      <c r="AC235" s="59"/>
      <c r="AD235" s="59"/>
      <c r="AE235" s="59"/>
      <c r="AF235" s="59"/>
      <c r="AG235" s="59"/>
    </row>
    <row r="236" spans="25:33" s="51" customFormat="1" x14ac:dyDescent="0.2">
      <c r="Y236" s="61"/>
      <c r="Z236" s="61"/>
      <c r="AA236" s="59"/>
      <c r="AB236" s="59"/>
      <c r="AC236" s="59"/>
      <c r="AD236" s="59"/>
      <c r="AE236" s="59"/>
      <c r="AF236" s="59"/>
      <c r="AG236" s="59"/>
    </row>
    <row r="237" spans="25:33" s="51" customFormat="1" x14ac:dyDescent="0.2">
      <c r="Y237" s="61"/>
      <c r="Z237" s="61"/>
      <c r="AA237" s="59"/>
      <c r="AB237" s="59"/>
      <c r="AC237" s="59"/>
      <c r="AD237" s="59"/>
      <c r="AE237" s="59"/>
      <c r="AF237" s="59"/>
      <c r="AG237" s="59"/>
    </row>
    <row r="238" spans="25:33" s="51" customFormat="1" x14ac:dyDescent="0.2">
      <c r="Y238" s="61"/>
      <c r="Z238" s="61"/>
      <c r="AA238" s="59"/>
      <c r="AB238" s="59"/>
      <c r="AC238" s="59"/>
      <c r="AD238" s="59"/>
      <c r="AE238" s="59"/>
      <c r="AF238" s="59"/>
      <c r="AG238" s="59"/>
    </row>
    <row r="239" spans="25:33" s="51" customFormat="1" x14ac:dyDescent="0.2">
      <c r="Y239" s="61"/>
      <c r="Z239" s="61"/>
      <c r="AA239" s="59"/>
      <c r="AB239" s="59"/>
      <c r="AC239" s="59"/>
      <c r="AD239" s="59"/>
      <c r="AE239" s="59"/>
      <c r="AF239" s="59"/>
      <c r="AG239" s="59"/>
    </row>
    <row r="240" spans="25:33" s="51" customFormat="1" x14ac:dyDescent="0.2">
      <c r="Y240" s="61"/>
      <c r="Z240" s="61"/>
      <c r="AA240" s="59"/>
      <c r="AB240" s="59"/>
      <c r="AC240" s="59"/>
      <c r="AD240" s="59"/>
      <c r="AE240" s="59"/>
      <c r="AF240" s="59"/>
      <c r="AG240" s="59"/>
    </row>
    <row r="241" spans="25:33" s="51" customFormat="1" x14ac:dyDescent="0.2">
      <c r="Y241" s="61"/>
      <c r="Z241" s="61"/>
      <c r="AA241" s="59"/>
      <c r="AB241" s="59"/>
      <c r="AC241" s="59"/>
      <c r="AD241" s="59"/>
      <c r="AE241" s="59"/>
      <c r="AF241" s="59"/>
      <c r="AG241" s="59"/>
    </row>
    <row r="242" spans="25:33" s="51" customFormat="1" x14ac:dyDescent="0.2">
      <c r="Y242" s="61"/>
      <c r="Z242" s="61"/>
      <c r="AA242" s="59"/>
      <c r="AB242" s="59"/>
      <c r="AC242" s="59"/>
      <c r="AD242" s="59"/>
      <c r="AE242" s="59"/>
      <c r="AF242" s="59"/>
      <c r="AG242" s="59"/>
    </row>
    <row r="243" spans="25:33" s="51" customFormat="1" x14ac:dyDescent="0.2">
      <c r="Y243" s="61"/>
      <c r="Z243" s="61"/>
      <c r="AA243" s="59"/>
      <c r="AB243" s="59"/>
      <c r="AC243" s="59"/>
      <c r="AD243" s="59"/>
      <c r="AE243" s="59"/>
      <c r="AF243" s="59"/>
      <c r="AG243" s="59"/>
    </row>
    <row r="244" spans="25:33" s="51" customFormat="1" x14ac:dyDescent="0.2">
      <c r="Y244" s="61"/>
      <c r="Z244" s="61"/>
      <c r="AA244" s="59"/>
      <c r="AB244" s="59"/>
      <c r="AC244" s="59"/>
      <c r="AD244" s="59"/>
      <c r="AE244" s="59"/>
      <c r="AF244" s="59"/>
      <c r="AG244" s="59"/>
    </row>
    <row r="245" spans="25:33" s="51" customFormat="1" x14ac:dyDescent="0.2">
      <c r="Y245" s="61"/>
      <c r="Z245" s="61"/>
      <c r="AA245" s="59"/>
      <c r="AB245" s="59"/>
      <c r="AC245" s="59"/>
      <c r="AD245" s="59"/>
      <c r="AE245" s="59"/>
      <c r="AF245" s="59"/>
      <c r="AG245" s="59"/>
    </row>
    <row r="246" spans="25:33" s="51" customFormat="1" x14ac:dyDescent="0.2">
      <c r="Y246" s="61"/>
      <c r="Z246" s="61"/>
      <c r="AA246" s="59"/>
      <c r="AB246" s="59"/>
      <c r="AC246" s="59"/>
      <c r="AD246" s="59"/>
      <c r="AE246" s="59"/>
      <c r="AF246" s="59"/>
      <c r="AG246" s="59"/>
    </row>
    <row r="247" spans="25:33" s="51" customFormat="1" x14ac:dyDescent="0.2">
      <c r="Y247" s="61"/>
      <c r="Z247" s="61"/>
      <c r="AA247" s="59"/>
      <c r="AB247" s="59"/>
      <c r="AC247" s="59"/>
      <c r="AD247" s="59"/>
      <c r="AE247" s="59"/>
      <c r="AF247" s="59"/>
      <c r="AG247" s="59"/>
    </row>
    <row r="248" spans="25:33" s="51" customFormat="1" x14ac:dyDescent="0.2">
      <c r="Y248" s="61"/>
      <c r="Z248" s="61"/>
      <c r="AA248" s="59"/>
      <c r="AB248" s="59"/>
      <c r="AC248" s="59"/>
      <c r="AD248" s="59"/>
      <c r="AE248" s="59"/>
      <c r="AF248" s="59"/>
      <c r="AG248" s="59"/>
    </row>
    <row r="249" spans="25:33" s="51" customFormat="1" x14ac:dyDescent="0.2">
      <c r="Y249" s="61"/>
      <c r="Z249" s="61"/>
      <c r="AA249" s="59"/>
      <c r="AB249" s="59"/>
      <c r="AC249" s="59"/>
      <c r="AD249" s="59"/>
      <c r="AE249" s="59"/>
      <c r="AF249" s="59"/>
      <c r="AG249" s="59"/>
    </row>
    <row r="250" spans="25:33" s="51" customFormat="1" x14ac:dyDescent="0.2">
      <c r="Y250" s="61"/>
      <c r="Z250" s="61"/>
      <c r="AA250" s="59"/>
      <c r="AB250" s="59"/>
      <c r="AC250" s="59"/>
      <c r="AD250" s="59"/>
      <c r="AE250" s="59"/>
      <c r="AF250" s="59"/>
      <c r="AG250" s="59"/>
    </row>
    <row r="251" spans="25:33" s="51" customFormat="1" x14ac:dyDescent="0.2">
      <c r="Y251" s="61"/>
      <c r="Z251" s="61"/>
      <c r="AA251" s="59"/>
      <c r="AB251" s="59"/>
      <c r="AC251" s="59"/>
      <c r="AD251" s="59"/>
      <c r="AE251" s="59"/>
      <c r="AF251" s="59"/>
      <c r="AG251" s="59"/>
    </row>
    <row r="252" spans="25:33" s="51" customFormat="1" x14ac:dyDescent="0.2">
      <c r="Y252" s="61"/>
      <c r="Z252" s="61"/>
      <c r="AA252" s="59"/>
      <c r="AB252" s="59"/>
      <c r="AC252" s="59"/>
      <c r="AD252" s="59"/>
      <c r="AE252" s="59"/>
      <c r="AF252" s="59"/>
      <c r="AG252" s="59"/>
    </row>
    <row r="253" spans="25:33" s="51" customFormat="1" x14ac:dyDescent="0.2">
      <c r="Y253" s="61"/>
      <c r="Z253" s="61"/>
      <c r="AA253" s="59"/>
      <c r="AB253" s="59"/>
      <c r="AC253" s="59"/>
      <c r="AD253" s="59"/>
      <c r="AE253" s="59"/>
      <c r="AF253" s="59"/>
      <c r="AG253" s="59"/>
    </row>
    <row r="254" spans="25:33" s="51" customFormat="1" x14ac:dyDescent="0.2">
      <c r="Y254" s="61"/>
      <c r="Z254" s="61"/>
      <c r="AA254" s="59"/>
      <c r="AB254" s="59"/>
      <c r="AC254" s="59"/>
      <c r="AD254" s="59"/>
      <c r="AE254" s="59"/>
      <c r="AF254" s="59"/>
      <c r="AG254" s="59"/>
    </row>
    <row r="255" spans="25:33" s="51" customFormat="1" x14ac:dyDescent="0.2">
      <c r="Y255" s="61"/>
      <c r="Z255" s="61"/>
      <c r="AA255" s="59"/>
      <c r="AB255" s="59"/>
      <c r="AC255" s="59"/>
      <c r="AD255" s="59"/>
      <c r="AE255" s="59"/>
      <c r="AF255" s="59"/>
      <c r="AG255" s="59"/>
    </row>
    <row r="256" spans="25:33" s="51" customFormat="1" x14ac:dyDescent="0.2">
      <c r="Y256" s="61"/>
      <c r="Z256" s="61"/>
      <c r="AA256" s="59"/>
      <c r="AB256" s="59"/>
      <c r="AC256" s="59"/>
      <c r="AD256" s="59"/>
      <c r="AE256" s="59"/>
      <c r="AF256" s="59"/>
      <c r="AG256" s="59"/>
    </row>
    <row r="257" spans="1:33" s="51" customFormat="1" x14ac:dyDescent="0.2">
      <c r="Y257" s="61"/>
      <c r="Z257" s="61"/>
      <c r="AA257" s="59"/>
      <c r="AB257" s="59"/>
      <c r="AC257" s="59"/>
      <c r="AD257" s="59"/>
      <c r="AE257" s="59"/>
      <c r="AF257" s="59"/>
      <c r="AG257" s="59"/>
    </row>
    <row r="258" spans="1:33" s="51" customFormat="1" x14ac:dyDescent="0.2">
      <c r="Y258" s="61"/>
      <c r="Z258" s="61"/>
      <c r="AA258" s="59"/>
      <c r="AB258" s="59"/>
      <c r="AC258" s="59"/>
      <c r="AD258" s="59"/>
      <c r="AE258" s="59"/>
      <c r="AF258" s="59"/>
      <c r="AG258" s="59"/>
    </row>
    <row r="259" spans="1:33" s="51" customFormat="1" x14ac:dyDescent="0.2">
      <c r="Y259" s="61"/>
      <c r="Z259" s="61"/>
      <c r="AA259" s="59"/>
      <c r="AB259" s="59"/>
      <c r="AC259" s="59"/>
      <c r="AD259" s="59"/>
      <c r="AE259" s="59"/>
      <c r="AF259" s="59"/>
      <c r="AG259" s="59"/>
    </row>
    <row r="260" spans="1:33" s="51" customFormat="1" x14ac:dyDescent="0.2">
      <c r="Y260" s="61"/>
      <c r="Z260" s="61"/>
      <c r="AA260" s="59"/>
      <c r="AB260" s="59"/>
      <c r="AC260" s="59"/>
      <c r="AD260" s="59"/>
      <c r="AE260" s="59"/>
      <c r="AF260" s="59"/>
      <c r="AG260" s="59"/>
    </row>
    <row r="261" spans="1:33" s="51" customFormat="1" x14ac:dyDescent="0.2">
      <c r="Y261" s="61"/>
      <c r="Z261" s="61"/>
      <c r="AA261" s="59"/>
      <c r="AB261" s="59"/>
      <c r="AC261" s="59"/>
      <c r="AD261" s="59"/>
      <c r="AE261" s="59"/>
      <c r="AF261" s="59"/>
      <c r="AG261" s="59"/>
    </row>
    <row r="262" spans="1:33" s="51" customFormat="1" x14ac:dyDescent="0.2">
      <c r="Y262" s="61"/>
      <c r="Z262" s="61"/>
      <c r="AA262" s="59"/>
      <c r="AB262" s="59"/>
      <c r="AC262" s="59"/>
      <c r="AD262" s="59"/>
      <c r="AE262" s="59"/>
      <c r="AF262" s="59"/>
      <c r="AG262" s="59"/>
    </row>
    <row r="263" spans="1:33" s="51" customFormat="1" x14ac:dyDescent="0.2">
      <c r="Y263" s="61"/>
      <c r="Z263" s="61"/>
      <c r="AA263" s="59"/>
      <c r="AB263" s="59"/>
      <c r="AC263" s="59"/>
      <c r="AD263" s="59"/>
      <c r="AE263" s="59"/>
      <c r="AF263" s="59"/>
      <c r="AG263" s="59"/>
    </row>
    <row r="264" spans="1:33" s="51" customFormat="1" x14ac:dyDescent="0.2">
      <c r="Y264" s="61"/>
      <c r="Z264" s="61"/>
      <c r="AA264" s="59"/>
      <c r="AB264" s="59"/>
      <c r="AC264" s="59"/>
      <c r="AD264" s="59"/>
      <c r="AE264" s="59"/>
      <c r="AF264" s="59"/>
      <c r="AG264" s="59"/>
    </row>
    <row r="265" spans="1:33" s="51" customFormat="1" x14ac:dyDescent="0.2">
      <c r="Y265" s="61"/>
      <c r="Z265" s="61"/>
      <c r="AA265" s="59"/>
      <c r="AB265" s="59"/>
      <c r="AC265" s="59"/>
      <c r="AD265" s="59"/>
      <c r="AE265" s="59"/>
      <c r="AF265" s="59"/>
      <c r="AG265" s="59"/>
    </row>
    <row r="266" spans="1:33" s="51" customFormat="1" x14ac:dyDescent="0.2">
      <c r="Y266" s="61"/>
      <c r="Z266" s="61"/>
      <c r="AA266" s="59"/>
      <c r="AB266" s="59"/>
      <c r="AC266" s="59"/>
      <c r="AD266" s="59"/>
      <c r="AE266" s="59"/>
      <c r="AF266" s="59"/>
      <c r="AG266" s="59"/>
    </row>
    <row r="267" spans="1:33" s="51" customFormat="1" x14ac:dyDescent="0.2">
      <c r="Y267" s="61"/>
      <c r="Z267" s="61"/>
      <c r="AA267" s="59"/>
      <c r="AB267" s="59"/>
      <c r="AC267" s="59"/>
      <c r="AD267" s="59"/>
      <c r="AE267" s="59"/>
      <c r="AF267" s="59"/>
      <c r="AG267" s="59"/>
    </row>
    <row r="268" spans="1:33" s="51" customFormat="1" x14ac:dyDescent="0.2">
      <c r="Y268" s="61"/>
      <c r="Z268" s="61"/>
      <c r="AA268" s="59"/>
      <c r="AB268" s="59"/>
      <c r="AC268" s="59"/>
      <c r="AD268" s="59"/>
      <c r="AE268" s="59"/>
      <c r="AF268" s="59"/>
      <c r="AG268" s="59"/>
    </row>
    <row r="269" spans="1:33" s="51" customFormat="1" x14ac:dyDescent="0.2">
      <c r="Y269" s="61"/>
      <c r="Z269" s="61"/>
      <c r="AA269" s="59"/>
      <c r="AB269" s="59"/>
      <c r="AC269" s="59"/>
      <c r="AD269" s="59"/>
      <c r="AE269" s="59"/>
      <c r="AF269" s="59"/>
      <c r="AG269" s="59"/>
    </row>
    <row r="270" spans="1:33" s="51" customFormat="1" x14ac:dyDescent="0.2">
      <c r="Y270" s="61"/>
      <c r="Z270" s="61"/>
      <c r="AA270" s="59"/>
      <c r="AB270" s="59"/>
      <c r="AC270" s="59"/>
      <c r="AD270" s="59"/>
      <c r="AE270" s="59"/>
      <c r="AF270" s="59"/>
      <c r="AG270" s="59"/>
    </row>
    <row r="271" spans="1:33" s="51" customFormat="1" x14ac:dyDescent="0.2">
      <c r="Y271" s="61"/>
      <c r="Z271" s="61"/>
      <c r="AA271" s="59"/>
      <c r="AB271" s="59"/>
      <c r="AC271" s="59"/>
      <c r="AD271" s="59"/>
      <c r="AE271" s="59"/>
      <c r="AF271" s="59"/>
      <c r="AG271" s="59"/>
    </row>
    <row r="272" spans="1:33" x14ac:dyDescent="0.2">
      <c r="A272" s="47"/>
      <c r="B272" s="47"/>
      <c r="C272" s="47"/>
      <c r="D272" s="47"/>
      <c r="E272" s="47"/>
      <c r="F272" s="47"/>
      <c r="G272" s="47"/>
      <c r="H272" s="47"/>
      <c r="I272" s="47"/>
      <c r="J272" s="47"/>
      <c r="K272" s="47"/>
      <c r="L272" s="47"/>
      <c r="X272" s="47"/>
    </row>
    <row r="273" spans="1:24" x14ac:dyDescent="0.2">
      <c r="A273" s="47"/>
      <c r="B273" s="47"/>
      <c r="C273" s="47"/>
      <c r="D273" s="47"/>
      <c r="E273" s="47"/>
      <c r="F273" s="47"/>
      <c r="G273" s="47"/>
      <c r="H273" s="47"/>
      <c r="I273" s="47"/>
      <c r="J273" s="47"/>
      <c r="K273" s="47"/>
      <c r="L273" s="47"/>
      <c r="X273" s="47"/>
    </row>
    <row r="274" spans="1:24" x14ac:dyDescent="0.2">
      <c r="A274" s="47"/>
      <c r="B274" s="47"/>
      <c r="C274" s="47"/>
      <c r="D274" s="47"/>
      <c r="E274" s="47"/>
      <c r="F274" s="47"/>
      <c r="G274" s="47"/>
      <c r="H274" s="47"/>
      <c r="I274" s="47"/>
      <c r="J274" s="47"/>
      <c r="K274" s="47"/>
      <c r="L274" s="47"/>
      <c r="X274" s="47"/>
    </row>
    <row r="275" spans="1:24" x14ac:dyDescent="0.2">
      <c r="A275" s="47"/>
      <c r="B275" s="47"/>
      <c r="C275" s="47"/>
      <c r="D275" s="47"/>
      <c r="E275" s="47"/>
      <c r="F275" s="47"/>
      <c r="G275" s="47"/>
      <c r="H275" s="47"/>
      <c r="I275" s="47"/>
      <c r="J275" s="47"/>
      <c r="K275" s="47"/>
      <c r="L275" s="47"/>
      <c r="X275" s="47"/>
    </row>
    <row r="276" spans="1:24" x14ac:dyDescent="0.2">
      <c r="A276" s="47"/>
      <c r="B276" s="47"/>
      <c r="C276" s="47"/>
      <c r="D276" s="47"/>
      <c r="E276" s="47"/>
      <c r="F276" s="47"/>
      <c r="G276" s="47"/>
      <c r="H276" s="47"/>
      <c r="I276" s="47"/>
      <c r="J276" s="47"/>
      <c r="K276" s="47"/>
      <c r="L276" s="47"/>
      <c r="X276" s="47"/>
    </row>
    <row r="277" spans="1:24" x14ac:dyDescent="0.2">
      <c r="A277" s="47"/>
      <c r="B277" s="47"/>
      <c r="C277" s="47"/>
      <c r="D277" s="47"/>
      <c r="E277" s="47"/>
      <c r="F277" s="47"/>
      <c r="G277" s="47"/>
      <c r="H277" s="47"/>
      <c r="I277" s="47"/>
      <c r="J277" s="47"/>
      <c r="K277" s="47"/>
      <c r="L277" s="47"/>
      <c r="X277" s="47"/>
    </row>
    <row r="278" spans="1:24" x14ac:dyDescent="0.2">
      <c r="A278" s="47"/>
      <c r="B278" s="47"/>
      <c r="C278" s="47"/>
      <c r="D278" s="47"/>
      <c r="E278" s="47"/>
      <c r="F278" s="47"/>
      <c r="G278" s="47"/>
      <c r="H278" s="47"/>
      <c r="I278" s="47"/>
      <c r="J278" s="47"/>
      <c r="K278" s="47"/>
      <c r="L278" s="47"/>
      <c r="X278" s="47"/>
    </row>
    <row r="279" spans="1:24" x14ac:dyDescent="0.2">
      <c r="A279" s="47"/>
      <c r="B279" s="47"/>
      <c r="C279" s="47"/>
      <c r="D279" s="47"/>
      <c r="E279" s="47"/>
      <c r="F279" s="47"/>
      <c r="G279" s="47"/>
      <c r="H279" s="47"/>
      <c r="I279" s="47"/>
      <c r="J279" s="47"/>
      <c r="K279" s="47"/>
      <c r="L279" s="47"/>
      <c r="X279" s="47"/>
    </row>
    <row r="280" spans="1:24" x14ac:dyDescent="0.2">
      <c r="A280" s="47"/>
      <c r="B280" s="47"/>
      <c r="C280" s="47"/>
      <c r="D280" s="47"/>
      <c r="E280" s="47"/>
      <c r="F280" s="47"/>
      <c r="G280" s="47"/>
      <c r="H280" s="47"/>
      <c r="I280" s="47"/>
      <c r="J280" s="47"/>
      <c r="K280" s="47"/>
      <c r="L280" s="47"/>
      <c r="X280" s="47"/>
    </row>
    <row r="281" spans="1:24" x14ac:dyDescent="0.2">
      <c r="A281" s="47"/>
      <c r="B281" s="47"/>
      <c r="C281" s="47"/>
      <c r="D281" s="47"/>
      <c r="E281" s="47"/>
      <c r="F281" s="47"/>
      <c r="G281" s="47"/>
      <c r="H281" s="47"/>
      <c r="I281" s="47"/>
      <c r="J281" s="47"/>
      <c r="K281" s="47"/>
      <c r="L281" s="47"/>
      <c r="X281" s="47"/>
    </row>
    <row r="282" spans="1:24" x14ac:dyDescent="0.2">
      <c r="A282" s="47"/>
      <c r="B282" s="47"/>
      <c r="C282" s="47"/>
      <c r="D282" s="47"/>
      <c r="E282" s="47"/>
      <c r="F282" s="47"/>
      <c r="G282" s="47"/>
      <c r="H282" s="47"/>
      <c r="I282" s="47"/>
      <c r="J282" s="47"/>
      <c r="K282" s="47"/>
      <c r="L282" s="47"/>
      <c r="X282" s="47"/>
    </row>
    <row r="283" spans="1:24" x14ac:dyDescent="0.2">
      <c r="A283" s="47"/>
      <c r="B283" s="47"/>
      <c r="C283" s="47"/>
      <c r="D283" s="47"/>
      <c r="E283" s="47"/>
      <c r="F283" s="47"/>
      <c r="G283" s="47"/>
      <c r="H283" s="47"/>
      <c r="I283" s="47"/>
      <c r="J283" s="47"/>
      <c r="K283" s="47"/>
      <c r="L283" s="47"/>
      <c r="X283" s="47"/>
    </row>
    <row r="284" spans="1:24" x14ac:dyDescent="0.2">
      <c r="A284" s="47"/>
      <c r="B284" s="47"/>
      <c r="C284" s="47"/>
      <c r="D284" s="47"/>
      <c r="E284" s="47"/>
      <c r="F284" s="47"/>
      <c r="G284" s="47"/>
      <c r="H284" s="47"/>
      <c r="I284" s="47"/>
      <c r="J284" s="47"/>
      <c r="K284" s="47"/>
      <c r="L284" s="47"/>
      <c r="X284" s="47"/>
    </row>
    <row r="285" spans="1:24" x14ac:dyDescent="0.2">
      <c r="A285" s="47"/>
      <c r="B285" s="47"/>
      <c r="C285" s="47"/>
      <c r="D285" s="47"/>
      <c r="E285" s="47"/>
      <c r="F285" s="47"/>
      <c r="G285" s="47"/>
      <c r="H285" s="47"/>
      <c r="I285" s="47"/>
      <c r="J285" s="47"/>
      <c r="K285" s="47"/>
      <c r="L285" s="47"/>
      <c r="X285" s="47"/>
    </row>
    <row r="286" spans="1:24" x14ac:dyDescent="0.2">
      <c r="A286" s="47"/>
      <c r="B286" s="47"/>
      <c r="C286" s="47"/>
      <c r="D286" s="47"/>
      <c r="E286" s="47"/>
      <c r="F286" s="47"/>
      <c r="G286" s="47"/>
      <c r="H286" s="47"/>
      <c r="I286" s="47"/>
      <c r="J286" s="47"/>
      <c r="K286" s="47"/>
      <c r="L286" s="47"/>
      <c r="X286" s="47"/>
    </row>
    <row r="287" spans="1:24" x14ac:dyDescent="0.2">
      <c r="A287" s="47"/>
      <c r="B287" s="47"/>
      <c r="C287" s="47"/>
      <c r="D287" s="47"/>
      <c r="E287" s="47"/>
      <c r="F287" s="47"/>
      <c r="G287" s="47"/>
      <c r="H287" s="47"/>
      <c r="I287" s="47"/>
      <c r="J287" s="47"/>
      <c r="K287" s="47"/>
      <c r="L287" s="47"/>
      <c r="X287" s="47"/>
    </row>
    <row r="288" spans="1:24" x14ac:dyDescent="0.2">
      <c r="A288" s="47"/>
      <c r="B288" s="47"/>
      <c r="C288" s="47"/>
      <c r="D288" s="47"/>
      <c r="E288" s="47"/>
      <c r="F288" s="47"/>
      <c r="G288" s="47"/>
      <c r="H288" s="47"/>
      <c r="I288" s="47"/>
      <c r="J288" s="47"/>
      <c r="K288" s="47"/>
      <c r="L288" s="47"/>
      <c r="X288" s="47"/>
    </row>
    <row r="289" spans="1:24" x14ac:dyDescent="0.2">
      <c r="A289" s="47"/>
      <c r="B289" s="47"/>
      <c r="C289" s="47"/>
      <c r="D289" s="47"/>
      <c r="E289" s="47"/>
      <c r="F289" s="47"/>
      <c r="G289" s="47"/>
      <c r="H289" s="47"/>
      <c r="I289" s="47"/>
      <c r="J289" s="47"/>
      <c r="K289" s="47"/>
      <c r="L289" s="47"/>
      <c r="X289" s="47"/>
    </row>
    <row r="290" spans="1:24" x14ac:dyDescent="0.2">
      <c r="A290" s="47"/>
      <c r="B290" s="47"/>
      <c r="C290" s="47"/>
      <c r="D290" s="47"/>
      <c r="E290" s="47"/>
      <c r="F290" s="47"/>
      <c r="G290" s="47"/>
      <c r="H290" s="47"/>
      <c r="I290" s="47"/>
      <c r="J290" s="47"/>
      <c r="K290" s="47"/>
      <c r="L290" s="47"/>
      <c r="X290" s="47"/>
    </row>
    <row r="291" spans="1:24" x14ac:dyDescent="0.2">
      <c r="A291" s="47"/>
      <c r="B291" s="47"/>
      <c r="C291" s="47"/>
      <c r="D291" s="47"/>
      <c r="E291" s="47"/>
      <c r="F291" s="47"/>
      <c r="G291" s="47"/>
      <c r="H291" s="47"/>
      <c r="I291" s="47"/>
      <c r="J291" s="47"/>
      <c r="K291" s="47"/>
      <c r="L291" s="47"/>
      <c r="X291" s="47"/>
    </row>
    <row r="292" spans="1:24" x14ac:dyDescent="0.2">
      <c r="A292" s="47"/>
      <c r="B292" s="47"/>
      <c r="C292" s="47"/>
      <c r="D292" s="47"/>
      <c r="E292" s="47"/>
      <c r="F292" s="47"/>
      <c r="G292" s="47"/>
      <c r="H292" s="47"/>
      <c r="I292" s="47"/>
      <c r="J292" s="47"/>
      <c r="K292" s="47"/>
      <c r="L292" s="47"/>
      <c r="X292" s="47"/>
    </row>
    <row r="293" spans="1:24" x14ac:dyDescent="0.2">
      <c r="A293" s="47"/>
      <c r="B293" s="47"/>
      <c r="C293" s="47"/>
      <c r="D293" s="47"/>
      <c r="E293" s="47"/>
      <c r="F293" s="47"/>
      <c r="G293" s="47"/>
      <c r="H293" s="47"/>
      <c r="I293" s="47"/>
      <c r="J293" s="47"/>
      <c r="K293" s="47"/>
      <c r="L293" s="47"/>
      <c r="X293" s="47"/>
    </row>
    <row r="294" spans="1:24" x14ac:dyDescent="0.2">
      <c r="A294" s="47"/>
      <c r="B294" s="47"/>
      <c r="C294" s="47"/>
      <c r="D294" s="47"/>
      <c r="E294" s="47"/>
      <c r="F294" s="47"/>
      <c r="G294" s="47"/>
      <c r="H294" s="47"/>
      <c r="I294" s="47"/>
      <c r="J294" s="47"/>
      <c r="K294" s="47"/>
      <c r="L294" s="47"/>
      <c r="X294" s="47"/>
    </row>
    <row r="295" spans="1:24" x14ac:dyDescent="0.2">
      <c r="A295" s="47"/>
      <c r="B295" s="47"/>
      <c r="C295" s="47"/>
      <c r="D295" s="47"/>
      <c r="E295" s="47"/>
      <c r="F295" s="47"/>
      <c r="G295" s="47"/>
      <c r="H295" s="47"/>
      <c r="I295" s="47"/>
      <c r="J295" s="47"/>
      <c r="K295" s="47"/>
      <c r="L295" s="47"/>
      <c r="X295" s="47"/>
    </row>
    <row r="296" spans="1:24" x14ac:dyDescent="0.2">
      <c r="A296" s="47"/>
      <c r="B296" s="47"/>
      <c r="C296" s="47"/>
      <c r="D296" s="47"/>
      <c r="E296" s="47"/>
      <c r="F296" s="47"/>
      <c r="G296" s="47"/>
      <c r="H296" s="47"/>
      <c r="I296" s="47"/>
      <c r="J296" s="47"/>
      <c r="K296" s="47"/>
      <c r="L296" s="47"/>
      <c r="X296" s="47"/>
    </row>
    <row r="297" spans="1:24" x14ac:dyDescent="0.2">
      <c r="A297" s="47"/>
      <c r="B297" s="47"/>
      <c r="C297" s="47"/>
      <c r="D297" s="47"/>
      <c r="E297" s="47"/>
      <c r="F297" s="47"/>
      <c r="G297" s="47"/>
      <c r="H297" s="47"/>
      <c r="I297" s="47"/>
      <c r="J297" s="47"/>
      <c r="K297" s="47"/>
      <c r="L297" s="47"/>
      <c r="X297" s="47"/>
    </row>
    <row r="298" spans="1:24" x14ac:dyDescent="0.2">
      <c r="A298" s="47"/>
      <c r="B298" s="47"/>
      <c r="C298" s="47"/>
      <c r="D298" s="47"/>
      <c r="E298" s="47"/>
      <c r="F298" s="47"/>
      <c r="G298" s="47"/>
      <c r="H298" s="47"/>
      <c r="I298" s="47"/>
      <c r="J298" s="47"/>
      <c r="K298" s="47"/>
      <c r="L298" s="47"/>
      <c r="X298" s="47"/>
    </row>
    <row r="299" spans="1:24" x14ac:dyDescent="0.2">
      <c r="A299" s="47"/>
      <c r="B299" s="47"/>
      <c r="C299" s="47"/>
      <c r="D299" s="47"/>
      <c r="E299" s="47"/>
      <c r="F299" s="47"/>
      <c r="G299" s="47"/>
      <c r="H299" s="47"/>
      <c r="I299" s="47"/>
      <c r="J299" s="47"/>
      <c r="K299" s="47"/>
      <c r="L299" s="47"/>
      <c r="X299" s="47"/>
    </row>
    <row r="300" spans="1:24" x14ac:dyDescent="0.2">
      <c r="A300" s="47"/>
      <c r="B300" s="47"/>
      <c r="C300" s="47"/>
      <c r="D300" s="47"/>
      <c r="E300" s="47"/>
      <c r="F300" s="47"/>
      <c r="G300" s="47"/>
      <c r="H300" s="47"/>
      <c r="I300" s="47"/>
      <c r="J300" s="47"/>
      <c r="K300" s="47"/>
      <c r="L300" s="47"/>
      <c r="X300" s="47"/>
    </row>
    <row r="301" spans="1:24" x14ac:dyDescent="0.2">
      <c r="A301" s="47"/>
      <c r="B301" s="47"/>
      <c r="C301" s="47"/>
      <c r="D301" s="47"/>
      <c r="E301" s="47"/>
      <c r="F301" s="47"/>
      <c r="G301" s="47"/>
      <c r="H301" s="47"/>
      <c r="I301" s="47"/>
      <c r="J301" s="47"/>
      <c r="K301" s="47"/>
      <c r="L301" s="47"/>
      <c r="X301" s="47"/>
    </row>
    <row r="302" spans="1:24" x14ac:dyDescent="0.2">
      <c r="A302" s="47"/>
      <c r="B302" s="47"/>
      <c r="C302" s="47"/>
      <c r="D302" s="47"/>
      <c r="E302" s="47"/>
      <c r="F302" s="47"/>
      <c r="G302" s="47"/>
      <c r="H302" s="47"/>
      <c r="I302" s="47"/>
      <c r="J302" s="47"/>
      <c r="K302" s="47"/>
      <c r="L302" s="47"/>
      <c r="X302" s="47"/>
    </row>
    <row r="303" spans="1:24" x14ac:dyDescent="0.2">
      <c r="A303" s="47"/>
      <c r="B303" s="47"/>
      <c r="C303" s="47"/>
      <c r="D303" s="47"/>
      <c r="E303" s="47"/>
      <c r="F303" s="47"/>
      <c r="G303" s="47"/>
      <c r="H303" s="47"/>
      <c r="I303" s="47"/>
      <c r="J303" s="47"/>
      <c r="K303" s="47"/>
      <c r="L303" s="47"/>
      <c r="X303" s="47"/>
    </row>
    <row r="304" spans="1:24" x14ac:dyDescent="0.2">
      <c r="A304" s="47"/>
      <c r="B304" s="47"/>
      <c r="C304" s="47"/>
      <c r="D304" s="47"/>
      <c r="E304" s="47"/>
      <c r="F304" s="47"/>
      <c r="G304" s="47"/>
      <c r="H304" s="47"/>
      <c r="I304" s="47"/>
      <c r="J304" s="47"/>
      <c r="K304" s="47"/>
      <c r="L304" s="47"/>
      <c r="X304" s="47"/>
    </row>
    <row r="305" spans="1:24" x14ac:dyDescent="0.2">
      <c r="A305" s="47"/>
      <c r="B305" s="47"/>
      <c r="C305" s="47"/>
      <c r="D305" s="47"/>
      <c r="E305" s="47"/>
      <c r="F305" s="47"/>
      <c r="G305" s="47"/>
      <c r="H305" s="47"/>
      <c r="I305" s="47"/>
      <c r="J305" s="47"/>
      <c r="K305" s="47"/>
      <c r="L305" s="47"/>
      <c r="X305" s="47"/>
    </row>
    <row r="306" spans="1:24" x14ac:dyDescent="0.2">
      <c r="A306" s="47"/>
      <c r="B306" s="47"/>
      <c r="C306" s="47"/>
      <c r="D306" s="47"/>
      <c r="E306" s="47"/>
      <c r="F306" s="47"/>
      <c r="G306" s="47"/>
      <c r="H306" s="47"/>
      <c r="I306" s="47"/>
      <c r="J306" s="47"/>
      <c r="K306" s="47"/>
      <c r="L306" s="47"/>
      <c r="X306" s="47"/>
    </row>
    <row r="307" spans="1:24" x14ac:dyDescent="0.2">
      <c r="A307" s="47"/>
      <c r="B307" s="47"/>
      <c r="C307" s="47"/>
      <c r="D307" s="47"/>
      <c r="E307" s="47"/>
      <c r="F307" s="47"/>
      <c r="G307" s="47"/>
      <c r="H307" s="47"/>
      <c r="I307" s="47"/>
      <c r="J307" s="47"/>
      <c r="K307" s="47"/>
      <c r="L307" s="47"/>
      <c r="X307" s="47"/>
    </row>
    <row r="308" spans="1:24" x14ac:dyDescent="0.2">
      <c r="A308" s="47"/>
      <c r="B308" s="47"/>
      <c r="C308" s="47"/>
      <c r="D308" s="47"/>
      <c r="E308" s="47"/>
      <c r="F308" s="47"/>
      <c r="G308" s="47"/>
      <c r="H308" s="47"/>
      <c r="I308" s="47"/>
      <c r="J308" s="47"/>
      <c r="K308" s="47"/>
      <c r="L308" s="47"/>
      <c r="X308" s="47"/>
    </row>
    <row r="309" spans="1:24" x14ac:dyDescent="0.2">
      <c r="A309" s="47"/>
      <c r="B309" s="47"/>
      <c r="C309" s="47"/>
      <c r="D309" s="47"/>
      <c r="E309" s="47"/>
      <c r="F309" s="47"/>
      <c r="G309" s="47"/>
      <c r="H309" s="47"/>
      <c r="I309" s="47"/>
      <c r="J309" s="47"/>
      <c r="K309" s="47"/>
      <c r="L309" s="47"/>
      <c r="X309" s="47"/>
    </row>
    <row r="310" spans="1:24" x14ac:dyDescent="0.2">
      <c r="A310" s="47"/>
      <c r="B310" s="47"/>
      <c r="C310" s="47"/>
      <c r="D310" s="47"/>
      <c r="E310" s="47"/>
      <c r="F310" s="47"/>
      <c r="G310" s="47"/>
      <c r="H310" s="47"/>
      <c r="I310" s="47"/>
      <c r="J310" s="47"/>
      <c r="K310" s="47"/>
      <c r="L310" s="47"/>
      <c r="X310" s="47"/>
    </row>
    <row r="311" spans="1:24" x14ac:dyDescent="0.2">
      <c r="A311" s="47"/>
      <c r="B311" s="47"/>
      <c r="C311" s="47"/>
      <c r="D311" s="47"/>
      <c r="E311" s="47"/>
      <c r="F311" s="47"/>
      <c r="G311" s="47"/>
      <c r="H311" s="47"/>
      <c r="I311" s="47"/>
      <c r="J311" s="47"/>
      <c r="K311" s="47"/>
      <c r="L311" s="47"/>
      <c r="X311" s="47"/>
    </row>
    <row r="312" spans="1:24" x14ac:dyDescent="0.2">
      <c r="A312" s="47"/>
      <c r="B312" s="47"/>
      <c r="C312" s="47"/>
      <c r="D312" s="47"/>
      <c r="E312" s="47"/>
      <c r="F312" s="47"/>
      <c r="G312" s="47"/>
      <c r="H312" s="47"/>
      <c r="I312" s="47"/>
      <c r="J312" s="47"/>
      <c r="K312" s="47"/>
      <c r="L312" s="47"/>
      <c r="X312" s="47"/>
    </row>
    <row r="313" spans="1:24" x14ac:dyDescent="0.2">
      <c r="A313" s="47"/>
      <c r="B313" s="47"/>
      <c r="C313" s="47"/>
      <c r="D313" s="47"/>
      <c r="E313" s="47"/>
      <c r="F313" s="47"/>
      <c r="G313" s="47"/>
      <c r="H313" s="47"/>
      <c r="I313" s="47"/>
      <c r="J313" s="47"/>
      <c r="K313" s="47"/>
      <c r="L313" s="47"/>
      <c r="X313" s="47"/>
    </row>
    <row r="314" spans="1:24" x14ac:dyDescent="0.2">
      <c r="A314" s="47"/>
      <c r="B314" s="47"/>
      <c r="C314" s="47"/>
      <c r="D314" s="47"/>
      <c r="E314" s="47"/>
      <c r="F314" s="47"/>
      <c r="G314" s="47"/>
      <c r="H314" s="47"/>
      <c r="I314" s="47"/>
      <c r="J314" s="47"/>
      <c r="K314" s="47"/>
      <c r="L314" s="47"/>
      <c r="X314" s="47"/>
    </row>
    <row r="315" spans="1:24" x14ac:dyDescent="0.2">
      <c r="A315" s="47"/>
      <c r="B315" s="47"/>
      <c r="C315" s="47"/>
      <c r="D315" s="47"/>
      <c r="E315" s="47"/>
      <c r="F315" s="47"/>
      <c r="G315" s="47"/>
      <c r="H315" s="47"/>
      <c r="I315" s="47"/>
      <c r="J315" s="47"/>
      <c r="K315" s="47"/>
      <c r="L315" s="47"/>
      <c r="X315" s="47"/>
    </row>
    <row r="316" spans="1:24" x14ac:dyDescent="0.2">
      <c r="A316" s="47"/>
      <c r="B316" s="47"/>
      <c r="C316" s="47"/>
      <c r="D316" s="47"/>
      <c r="E316" s="47"/>
      <c r="F316" s="47"/>
      <c r="G316" s="47"/>
      <c r="H316" s="47"/>
      <c r="I316" s="47"/>
      <c r="J316" s="47"/>
      <c r="K316" s="47"/>
      <c r="L316" s="47"/>
      <c r="X316" s="47"/>
    </row>
    <row r="317" spans="1:24" x14ac:dyDescent="0.2">
      <c r="A317" s="47"/>
      <c r="B317" s="47"/>
      <c r="C317" s="47"/>
      <c r="D317" s="47"/>
      <c r="E317" s="47"/>
      <c r="F317" s="47"/>
      <c r="G317" s="47"/>
      <c r="H317" s="47"/>
      <c r="I317" s="47"/>
      <c r="J317" s="47"/>
      <c r="K317" s="47"/>
      <c r="L317" s="47"/>
      <c r="X317" s="47"/>
    </row>
    <row r="318" spans="1:24" x14ac:dyDescent="0.2">
      <c r="A318" s="47"/>
      <c r="B318" s="47"/>
      <c r="C318" s="47"/>
      <c r="D318" s="47"/>
      <c r="E318" s="47"/>
      <c r="F318" s="47"/>
      <c r="G318" s="47"/>
      <c r="H318" s="47"/>
      <c r="I318" s="47"/>
      <c r="J318" s="47"/>
      <c r="K318" s="47"/>
      <c r="L318" s="47"/>
      <c r="X318" s="47"/>
    </row>
    <row r="319" spans="1:24" x14ac:dyDescent="0.2">
      <c r="A319" s="47"/>
      <c r="B319" s="47"/>
      <c r="C319" s="47"/>
      <c r="D319" s="47"/>
      <c r="E319" s="47"/>
      <c r="F319" s="47"/>
      <c r="G319" s="47"/>
      <c r="H319" s="47"/>
      <c r="I319" s="47"/>
      <c r="J319" s="47"/>
      <c r="K319" s="47"/>
      <c r="L319" s="47"/>
      <c r="X319" s="47"/>
    </row>
    <row r="320" spans="1:24" x14ac:dyDescent="0.2">
      <c r="A320" s="47"/>
      <c r="B320" s="47"/>
      <c r="C320" s="47"/>
      <c r="D320" s="47"/>
      <c r="E320" s="47"/>
      <c r="F320" s="47"/>
      <c r="G320" s="47"/>
      <c r="H320" s="47"/>
      <c r="I320" s="47"/>
      <c r="J320" s="47"/>
      <c r="K320" s="47"/>
      <c r="L320" s="47"/>
      <c r="X320" s="47"/>
    </row>
    <row r="321" spans="1:24" x14ac:dyDescent="0.2">
      <c r="A321" s="47"/>
      <c r="B321" s="47"/>
      <c r="C321" s="47"/>
      <c r="D321" s="47"/>
      <c r="E321" s="47"/>
      <c r="F321" s="47"/>
      <c r="G321" s="47"/>
      <c r="H321" s="47"/>
      <c r="I321" s="47"/>
      <c r="J321" s="47"/>
      <c r="K321" s="47"/>
      <c r="L321" s="47"/>
      <c r="X321" s="47"/>
    </row>
    <row r="322" spans="1:24" x14ac:dyDescent="0.2">
      <c r="A322" s="47"/>
      <c r="B322" s="47"/>
      <c r="C322" s="47"/>
      <c r="D322" s="47"/>
      <c r="E322" s="47"/>
      <c r="F322" s="47"/>
      <c r="G322" s="47"/>
      <c r="H322" s="47"/>
      <c r="I322" s="47"/>
      <c r="J322" s="47"/>
      <c r="K322" s="47"/>
      <c r="L322" s="47"/>
      <c r="X322" s="47"/>
    </row>
    <row r="323" spans="1:24" x14ac:dyDescent="0.2">
      <c r="A323" s="47"/>
      <c r="B323" s="47"/>
      <c r="C323" s="47"/>
      <c r="D323" s="47"/>
      <c r="E323" s="47"/>
      <c r="F323" s="47"/>
      <c r="G323" s="47"/>
      <c r="H323" s="47"/>
      <c r="I323" s="47"/>
      <c r="J323" s="47"/>
      <c r="K323" s="47"/>
      <c r="L323" s="47"/>
      <c r="X323" s="47"/>
    </row>
    <row r="324" spans="1:24" x14ac:dyDescent="0.2">
      <c r="A324" s="47"/>
      <c r="B324" s="47"/>
      <c r="C324" s="47"/>
      <c r="D324" s="47"/>
      <c r="E324" s="47"/>
      <c r="F324" s="47"/>
      <c r="G324" s="47"/>
      <c r="H324" s="47"/>
      <c r="I324" s="47"/>
      <c r="J324" s="47"/>
      <c r="K324" s="47"/>
      <c r="L324" s="47"/>
      <c r="X324" s="47"/>
    </row>
    <row r="325" spans="1:24" x14ac:dyDescent="0.2">
      <c r="A325" s="47"/>
      <c r="B325" s="47"/>
      <c r="C325" s="47"/>
      <c r="D325" s="47"/>
      <c r="E325" s="47"/>
      <c r="F325" s="47"/>
      <c r="G325" s="47"/>
      <c r="H325" s="47"/>
      <c r="I325" s="47"/>
      <c r="J325" s="47"/>
      <c r="K325" s="47"/>
      <c r="L325" s="47"/>
      <c r="X325" s="47"/>
    </row>
    <row r="326" spans="1:24" x14ac:dyDescent="0.2">
      <c r="A326" s="47"/>
      <c r="B326" s="47"/>
      <c r="C326" s="47"/>
      <c r="D326" s="47"/>
      <c r="E326" s="47"/>
      <c r="F326" s="47"/>
      <c r="G326" s="47"/>
      <c r="H326" s="47"/>
      <c r="I326" s="47"/>
      <c r="J326" s="47"/>
      <c r="K326" s="47"/>
      <c r="L326" s="47"/>
      <c r="X326" s="47"/>
    </row>
    <row r="327" spans="1:24" x14ac:dyDescent="0.2">
      <c r="A327" s="47"/>
      <c r="B327" s="47"/>
      <c r="C327" s="47"/>
      <c r="D327" s="47"/>
      <c r="E327" s="47"/>
      <c r="F327" s="47"/>
      <c r="G327" s="47"/>
      <c r="H327" s="47"/>
      <c r="I327" s="47"/>
      <c r="J327" s="47"/>
      <c r="K327" s="47"/>
      <c r="L327" s="47"/>
      <c r="X327" s="47"/>
    </row>
    <row r="328" spans="1:24" x14ac:dyDescent="0.2">
      <c r="A328" s="47"/>
      <c r="B328" s="47"/>
      <c r="C328" s="47"/>
      <c r="D328" s="47"/>
      <c r="E328" s="47"/>
      <c r="F328" s="47"/>
      <c r="G328" s="47"/>
      <c r="H328" s="47"/>
      <c r="I328" s="47"/>
      <c r="J328" s="47"/>
      <c r="K328" s="47"/>
      <c r="L328" s="47"/>
      <c r="X328" s="47"/>
    </row>
    <row r="329" spans="1:24" x14ac:dyDescent="0.2">
      <c r="A329" s="47"/>
      <c r="B329" s="47"/>
      <c r="C329" s="47"/>
      <c r="D329" s="47"/>
      <c r="E329" s="47"/>
      <c r="F329" s="47"/>
      <c r="G329" s="47"/>
      <c r="H329" s="47"/>
      <c r="I329" s="47"/>
      <c r="J329" s="47"/>
      <c r="K329" s="47"/>
      <c r="L329" s="47"/>
      <c r="X329" s="47"/>
    </row>
    <row r="330" spans="1:24" x14ac:dyDescent="0.2">
      <c r="A330" s="47"/>
      <c r="B330" s="47"/>
      <c r="C330" s="47"/>
      <c r="D330" s="47"/>
      <c r="E330" s="47"/>
      <c r="F330" s="47"/>
      <c r="G330" s="47"/>
      <c r="H330" s="47"/>
      <c r="I330" s="47"/>
      <c r="J330" s="47"/>
      <c r="K330" s="47"/>
      <c r="L330" s="47"/>
      <c r="X330" s="47"/>
    </row>
    <row r="331" spans="1:24" x14ac:dyDescent="0.2">
      <c r="A331" s="47"/>
      <c r="B331" s="47"/>
      <c r="C331" s="47"/>
      <c r="D331" s="47"/>
      <c r="E331" s="47"/>
      <c r="F331" s="47"/>
      <c r="G331" s="47"/>
      <c r="H331" s="47"/>
      <c r="I331" s="47"/>
      <c r="J331" s="47"/>
      <c r="K331" s="47"/>
      <c r="L331" s="47"/>
      <c r="X331" s="47"/>
    </row>
    <row r="332" spans="1:24" x14ac:dyDescent="0.2">
      <c r="A332" s="47"/>
      <c r="B332" s="47"/>
      <c r="C332" s="47"/>
      <c r="D332" s="47"/>
      <c r="E332" s="47"/>
      <c r="F332" s="47"/>
      <c r="G332" s="47"/>
      <c r="H332" s="47"/>
      <c r="I332" s="47"/>
      <c r="J332" s="47"/>
      <c r="K332" s="47"/>
      <c r="L332" s="47"/>
      <c r="X332" s="47"/>
    </row>
    <row r="333" spans="1:24" x14ac:dyDescent="0.2">
      <c r="A333" s="47"/>
      <c r="B333" s="47"/>
      <c r="C333" s="47"/>
      <c r="D333" s="47"/>
      <c r="E333" s="47"/>
      <c r="F333" s="47"/>
      <c r="G333" s="47"/>
      <c r="H333" s="47"/>
      <c r="I333" s="47"/>
      <c r="J333" s="47"/>
      <c r="K333" s="47"/>
      <c r="L333" s="47"/>
      <c r="X333" s="47"/>
    </row>
    <row r="334" spans="1:24" x14ac:dyDescent="0.2">
      <c r="A334" s="47"/>
      <c r="B334" s="47"/>
      <c r="C334" s="47"/>
      <c r="D334" s="47"/>
      <c r="E334" s="47"/>
      <c r="F334" s="47"/>
      <c r="G334" s="47"/>
      <c r="H334" s="47"/>
      <c r="I334" s="47"/>
      <c r="J334" s="47"/>
      <c r="K334" s="47"/>
      <c r="L334" s="47"/>
      <c r="X334" s="47"/>
    </row>
    <row r="335" spans="1:24" x14ac:dyDescent="0.2">
      <c r="A335" s="47"/>
      <c r="B335" s="47"/>
      <c r="C335" s="47"/>
      <c r="D335" s="47"/>
      <c r="E335" s="47"/>
      <c r="F335" s="47"/>
      <c r="G335" s="47"/>
      <c r="H335" s="47"/>
      <c r="I335" s="47"/>
      <c r="J335" s="47"/>
      <c r="K335" s="47"/>
      <c r="L335" s="47"/>
      <c r="X335" s="47"/>
    </row>
    <row r="336" spans="1:24" x14ac:dyDescent="0.2">
      <c r="A336" s="47"/>
      <c r="B336" s="47"/>
      <c r="C336" s="47"/>
      <c r="D336" s="47"/>
      <c r="E336" s="47"/>
      <c r="F336" s="47"/>
      <c r="G336" s="47"/>
      <c r="H336" s="47"/>
      <c r="I336" s="47"/>
      <c r="J336" s="47"/>
      <c r="K336" s="47"/>
      <c r="L336" s="47"/>
      <c r="X336" s="47"/>
    </row>
    <row r="337" spans="1:24" x14ac:dyDescent="0.2">
      <c r="A337" s="47"/>
      <c r="B337" s="47"/>
      <c r="C337" s="47"/>
      <c r="D337" s="47"/>
      <c r="E337" s="47"/>
      <c r="F337" s="47"/>
      <c r="G337" s="47"/>
      <c r="H337" s="47"/>
      <c r="I337" s="47"/>
      <c r="J337" s="47"/>
      <c r="K337" s="47"/>
      <c r="L337" s="47"/>
      <c r="X337" s="47"/>
    </row>
    <row r="338" spans="1:24" x14ac:dyDescent="0.2">
      <c r="A338" s="47"/>
      <c r="B338" s="47"/>
      <c r="C338" s="47"/>
      <c r="D338" s="47"/>
      <c r="E338" s="47"/>
      <c r="F338" s="47"/>
      <c r="G338" s="47"/>
      <c r="H338" s="47"/>
      <c r="I338" s="47"/>
      <c r="J338" s="47"/>
      <c r="K338" s="47"/>
      <c r="L338" s="47"/>
      <c r="X338" s="47"/>
    </row>
    <row r="339" spans="1:24" x14ac:dyDescent="0.2">
      <c r="A339" s="47"/>
      <c r="B339" s="47"/>
      <c r="C339" s="47"/>
      <c r="D339" s="47"/>
      <c r="E339" s="47"/>
      <c r="F339" s="47"/>
      <c r="G339" s="47"/>
      <c r="H339" s="47"/>
      <c r="I339" s="47"/>
      <c r="J339" s="47"/>
      <c r="K339" s="47"/>
      <c r="L339" s="47"/>
      <c r="X339" s="47"/>
    </row>
    <row r="340" spans="1:24" x14ac:dyDescent="0.2">
      <c r="A340" s="47"/>
      <c r="B340" s="47"/>
      <c r="C340" s="47"/>
      <c r="D340" s="47"/>
      <c r="E340" s="47"/>
      <c r="F340" s="47"/>
      <c r="G340" s="47"/>
      <c r="H340" s="47"/>
      <c r="I340" s="47"/>
      <c r="J340" s="47"/>
      <c r="K340" s="47"/>
      <c r="L340" s="47"/>
      <c r="X340" s="47"/>
    </row>
    <row r="341" spans="1:24" x14ac:dyDescent="0.2">
      <c r="A341" s="47"/>
      <c r="B341" s="47"/>
      <c r="C341" s="47"/>
      <c r="D341" s="47"/>
      <c r="E341" s="47"/>
      <c r="F341" s="47"/>
      <c r="G341" s="47"/>
      <c r="H341" s="47"/>
      <c r="I341" s="47"/>
      <c r="J341" s="47"/>
      <c r="K341" s="47"/>
      <c r="L341" s="47"/>
      <c r="X341" s="47"/>
    </row>
    <row r="342" spans="1:24" x14ac:dyDescent="0.2">
      <c r="A342" s="47"/>
      <c r="B342" s="47"/>
      <c r="C342" s="47"/>
      <c r="D342" s="47"/>
      <c r="E342" s="47"/>
      <c r="F342" s="47"/>
      <c r="G342" s="47"/>
      <c r="H342" s="47"/>
      <c r="I342" s="47"/>
      <c r="J342" s="47"/>
      <c r="K342" s="47"/>
      <c r="L342" s="47"/>
      <c r="X342" s="47"/>
    </row>
    <row r="343" spans="1:24" x14ac:dyDescent="0.2">
      <c r="A343" s="47"/>
      <c r="B343" s="47"/>
      <c r="C343" s="47"/>
      <c r="D343" s="47"/>
      <c r="E343" s="47"/>
      <c r="F343" s="47"/>
      <c r="G343" s="47"/>
      <c r="H343" s="47"/>
      <c r="I343" s="47"/>
      <c r="J343" s="47"/>
      <c r="K343" s="47"/>
      <c r="L343" s="47"/>
      <c r="X343" s="47"/>
    </row>
    <row r="344" spans="1:24" x14ac:dyDescent="0.2">
      <c r="A344" s="47"/>
      <c r="B344" s="47"/>
      <c r="C344" s="47"/>
      <c r="D344" s="47"/>
      <c r="E344" s="47"/>
      <c r="F344" s="47"/>
      <c r="G344" s="47"/>
      <c r="H344" s="47"/>
      <c r="I344" s="47"/>
      <c r="J344" s="47"/>
      <c r="K344" s="47"/>
      <c r="L344" s="47"/>
      <c r="X344" s="47"/>
    </row>
    <row r="345" spans="1:24" x14ac:dyDescent="0.2">
      <c r="A345" s="47"/>
      <c r="B345" s="47"/>
      <c r="C345" s="47"/>
      <c r="D345" s="47"/>
      <c r="E345" s="47"/>
      <c r="F345" s="47"/>
      <c r="G345" s="47"/>
      <c r="H345" s="47"/>
      <c r="I345" s="47"/>
      <c r="J345" s="47"/>
      <c r="K345" s="47"/>
      <c r="L345" s="47"/>
      <c r="X345" s="47"/>
    </row>
    <row r="346" spans="1:24" x14ac:dyDescent="0.2">
      <c r="A346" s="47"/>
      <c r="B346" s="47"/>
      <c r="C346" s="47"/>
      <c r="D346" s="47"/>
      <c r="E346" s="47"/>
      <c r="F346" s="47"/>
      <c r="G346" s="47"/>
      <c r="H346" s="47"/>
      <c r="I346" s="47"/>
      <c r="J346" s="47"/>
      <c r="K346" s="47"/>
      <c r="L346" s="47"/>
      <c r="X346" s="47"/>
    </row>
    <row r="347" spans="1:24" x14ac:dyDescent="0.2">
      <c r="A347" s="47"/>
      <c r="B347" s="47"/>
      <c r="C347" s="47"/>
      <c r="D347" s="47"/>
      <c r="E347" s="47"/>
      <c r="F347" s="47"/>
      <c r="G347" s="47"/>
      <c r="H347" s="47"/>
      <c r="I347" s="47"/>
      <c r="J347" s="47"/>
      <c r="K347" s="47"/>
      <c r="L347" s="47"/>
      <c r="X347" s="47"/>
    </row>
    <row r="348" spans="1:24" x14ac:dyDescent="0.2">
      <c r="A348" s="47"/>
      <c r="B348" s="47"/>
      <c r="C348" s="47"/>
      <c r="D348" s="47"/>
      <c r="E348" s="47"/>
      <c r="F348" s="47"/>
      <c r="G348" s="47"/>
      <c r="H348" s="47"/>
      <c r="I348" s="47"/>
      <c r="J348" s="47"/>
      <c r="K348" s="47"/>
      <c r="L348" s="47"/>
      <c r="X348" s="47"/>
    </row>
    <row r="349" spans="1:24" x14ac:dyDescent="0.2">
      <c r="A349" s="47"/>
      <c r="B349" s="47"/>
      <c r="C349" s="47"/>
      <c r="D349" s="47"/>
      <c r="E349" s="47"/>
      <c r="F349" s="47"/>
      <c r="G349" s="47"/>
      <c r="H349" s="47"/>
      <c r="I349" s="47"/>
      <c r="J349" s="47"/>
      <c r="K349" s="47"/>
      <c r="L349" s="47"/>
      <c r="X349" s="47"/>
    </row>
    <row r="350" spans="1:24" x14ac:dyDescent="0.2">
      <c r="A350" s="47"/>
      <c r="B350" s="47"/>
      <c r="C350" s="47"/>
      <c r="D350" s="47"/>
      <c r="E350" s="47"/>
      <c r="F350" s="47"/>
      <c r="G350" s="47"/>
      <c r="H350" s="47"/>
      <c r="I350" s="47"/>
      <c r="J350" s="47"/>
      <c r="K350" s="47"/>
      <c r="L350" s="47"/>
      <c r="X350" s="47"/>
    </row>
    <row r="351" spans="1:24" x14ac:dyDescent="0.2">
      <c r="A351" s="47"/>
      <c r="B351" s="47"/>
      <c r="C351" s="47"/>
      <c r="D351" s="47"/>
      <c r="E351" s="47"/>
      <c r="F351" s="47"/>
      <c r="G351" s="47"/>
      <c r="H351" s="47"/>
      <c r="I351" s="47"/>
      <c r="J351" s="47"/>
      <c r="K351" s="47"/>
      <c r="L351" s="47"/>
      <c r="X351" s="47"/>
    </row>
    <row r="352" spans="1:24" x14ac:dyDescent="0.2">
      <c r="A352" s="47"/>
      <c r="B352" s="47"/>
      <c r="C352" s="47"/>
      <c r="D352" s="47"/>
      <c r="E352" s="47"/>
      <c r="F352" s="47"/>
      <c r="G352" s="47"/>
      <c r="H352" s="47"/>
      <c r="I352" s="47"/>
      <c r="J352" s="47"/>
      <c r="K352" s="47"/>
      <c r="L352" s="47"/>
      <c r="X352" s="47"/>
    </row>
    <row r="353" spans="1:24" x14ac:dyDescent="0.2">
      <c r="A353" s="47"/>
      <c r="B353" s="47"/>
      <c r="C353" s="47"/>
      <c r="D353" s="47"/>
      <c r="E353" s="47"/>
      <c r="F353" s="47"/>
      <c r="G353" s="47"/>
      <c r="H353" s="47"/>
      <c r="I353" s="47"/>
      <c r="J353" s="47"/>
      <c r="K353" s="47"/>
      <c r="L353" s="47"/>
      <c r="X353" s="47"/>
    </row>
    <row r="354" spans="1:24" x14ac:dyDescent="0.2">
      <c r="A354" s="47"/>
      <c r="B354" s="47"/>
      <c r="C354" s="47"/>
      <c r="D354" s="47"/>
      <c r="E354" s="47"/>
      <c r="F354" s="47"/>
      <c r="G354" s="47"/>
      <c r="H354" s="47"/>
      <c r="I354" s="47"/>
      <c r="J354" s="47"/>
      <c r="K354" s="47"/>
      <c r="L354" s="47"/>
      <c r="X354" s="47"/>
    </row>
    <row r="355" spans="1:24" x14ac:dyDescent="0.2">
      <c r="A355" s="47"/>
      <c r="B355" s="47"/>
      <c r="C355" s="47"/>
      <c r="D355" s="47"/>
      <c r="E355" s="47"/>
      <c r="F355" s="47"/>
      <c r="G355" s="47"/>
      <c r="H355" s="47"/>
      <c r="I355" s="47"/>
      <c r="J355" s="47"/>
      <c r="K355" s="47"/>
      <c r="L355" s="47"/>
      <c r="X355" s="47"/>
    </row>
    <row r="356" spans="1:24" x14ac:dyDescent="0.2">
      <c r="A356" s="47"/>
      <c r="B356" s="47"/>
      <c r="C356" s="47"/>
      <c r="D356" s="47"/>
      <c r="E356" s="47"/>
      <c r="F356" s="47"/>
      <c r="G356" s="47"/>
      <c r="H356" s="47"/>
      <c r="I356" s="47"/>
      <c r="J356" s="47"/>
      <c r="K356" s="47"/>
      <c r="L356" s="47"/>
      <c r="X356" s="47"/>
    </row>
  </sheetData>
  <dataValidations count="1">
    <dataValidation type="list" allowBlank="1" showInputMessage="1" showErrorMessage="1" sqref="E5:Y5">
      <formula1>index_ahu</formula1>
    </dataValidation>
  </dataValidations>
  <pageMargins left="0.75" right="0.75" top="1" bottom="1" header="0.4921259845" footer="0.4921259845"/>
  <pageSetup paperSize="8" orientation="landscape" horizontalDpi="4294967292" verticalDpi="300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9217" r:id="rId4" name="Button 1">
              <controlPr defaultSize="0" print="0" autoFill="0" autoPict="0" macro="[0]!Template_Show">
                <anchor moveWithCells="1" sizeWithCells="1">
                  <from>
                    <xdr:col>11</xdr:col>
                    <xdr:colOff>447675</xdr:colOff>
                    <xdr:row>0</xdr:row>
                    <xdr:rowOff>38100</xdr:rowOff>
                  </from>
                  <to>
                    <xdr:col>13</xdr:col>
                    <xdr:colOff>323850</xdr:colOff>
                    <xdr:row>1</xdr:row>
                    <xdr:rowOff>57150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List4"/>
  <dimension ref="A1:AI356"/>
  <sheetViews>
    <sheetView topLeftCell="F1" zoomScaleNormal="100" workbookViewId="0">
      <selection activeCell="T9" sqref="T9"/>
    </sheetView>
  </sheetViews>
  <sheetFormatPr defaultRowHeight="12.75" x14ac:dyDescent="0.2"/>
  <cols>
    <col min="1" max="1" width="2.42578125" style="12" customWidth="1"/>
    <col min="2" max="2" width="16.7109375" style="12" customWidth="1"/>
    <col min="3" max="3" width="3.7109375" style="12" customWidth="1"/>
    <col min="4" max="4" width="9.140625" style="12"/>
    <col min="5" max="5" width="10.140625" style="12" customWidth="1"/>
    <col min="6" max="6" width="9.42578125" style="12" customWidth="1"/>
    <col min="7" max="7" width="9" style="12" customWidth="1"/>
    <col min="8" max="8" width="7.28515625" style="12" customWidth="1"/>
    <col min="9" max="9" width="7.42578125" style="12" customWidth="1"/>
    <col min="10" max="10" width="10.7109375" style="12" customWidth="1"/>
    <col min="11" max="11" width="9.42578125" style="12" customWidth="1"/>
    <col min="12" max="12" width="7.28515625" style="12" customWidth="1"/>
    <col min="13" max="13" width="7.28515625" style="110" customWidth="1"/>
    <col min="14" max="23" width="9.85546875" style="110" customWidth="1"/>
    <col min="24" max="24" width="9.140625" style="12"/>
    <col min="25" max="25" width="11" style="61" customWidth="1"/>
    <col min="26" max="26" width="12" style="61" customWidth="1"/>
    <col min="27" max="33" width="9.140625" style="56"/>
    <col min="34" max="16384" width="9.140625" style="12"/>
  </cols>
  <sheetData>
    <row r="1" spans="1:35" ht="20.25" x14ac:dyDescent="0.3">
      <c r="A1" s="7"/>
      <c r="B1" s="8"/>
      <c r="C1" s="9" t="s">
        <v>78</v>
      </c>
      <c r="D1" s="7"/>
      <c r="E1" s="7"/>
      <c r="F1" s="7"/>
      <c r="G1" s="7"/>
      <c r="H1" s="7"/>
      <c r="I1" s="7"/>
      <c r="J1" s="10" t="s">
        <v>75</v>
      </c>
      <c r="K1" s="11">
        <v>94.5</v>
      </c>
      <c r="L1" s="7" t="s">
        <v>11</v>
      </c>
      <c r="M1" s="93"/>
      <c r="N1" s="93"/>
      <c r="O1" s="93"/>
      <c r="P1" s="93"/>
      <c r="Q1" s="93"/>
      <c r="R1" s="93"/>
      <c r="S1" s="93"/>
      <c r="T1" s="93"/>
      <c r="U1" s="93"/>
      <c r="V1" s="93"/>
      <c r="W1" s="93"/>
      <c r="X1" s="7"/>
      <c r="Y1" s="90"/>
      <c r="Z1" s="90"/>
      <c r="AA1" s="90"/>
      <c r="AB1" s="90"/>
      <c r="AC1" s="90"/>
      <c r="AD1" s="58"/>
    </row>
    <row r="2" spans="1:35" ht="12.75" customHeight="1" x14ac:dyDescent="0.2">
      <c r="A2" s="7"/>
      <c r="B2" s="13"/>
      <c r="C2" s="52" t="s">
        <v>141</v>
      </c>
      <c r="D2" s="53"/>
      <c r="E2" s="53"/>
      <c r="F2" s="54"/>
      <c r="G2" s="7"/>
      <c r="H2" s="7"/>
      <c r="I2" s="7"/>
      <c r="J2" s="14" t="s">
        <v>76</v>
      </c>
      <c r="K2" s="11">
        <v>100</v>
      </c>
      <c r="L2" s="7" t="s">
        <v>5</v>
      </c>
      <c r="M2" s="94">
        <f>K2/100</f>
        <v>1</v>
      </c>
      <c r="N2" s="93"/>
      <c r="O2" s="93"/>
      <c r="P2" s="93"/>
      <c r="Q2" s="93"/>
      <c r="R2" s="93"/>
      <c r="S2" s="93"/>
      <c r="T2" s="93"/>
      <c r="U2" s="93"/>
      <c r="V2" s="93"/>
      <c r="W2" s="93"/>
      <c r="X2" s="7"/>
      <c r="Y2" s="90"/>
      <c r="Z2" s="90"/>
      <c r="AA2" s="90"/>
      <c r="AB2" s="90"/>
      <c r="AC2" s="90"/>
      <c r="AD2" s="58"/>
    </row>
    <row r="3" spans="1:35" ht="12.75" customHeight="1" x14ac:dyDescent="0.2">
      <c r="A3" s="7"/>
      <c r="B3" s="7"/>
      <c r="C3" s="7"/>
      <c r="D3" s="7"/>
      <c r="E3" s="7"/>
      <c r="F3" s="7"/>
      <c r="G3" s="7"/>
      <c r="H3" s="7"/>
      <c r="I3" s="7"/>
      <c r="J3" s="14" t="s">
        <v>77</v>
      </c>
      <c r="K3" s="11">
        <v>3</v>
      </c>
      <c r="L3" s="15" t="s">
        <v>4</v>
      </c>
      <c r="M3" s="93"/>
      <c r="N3" s="93"/>
      <c r="O3" s="93"/>
      <c r="P3" s="93"/>
      <c r="Q3" s="93"/>
      <c r="R3" s="93"/>
      <c r="S3" s="93"/>
      <c r="T3" s="93"/>
      <c r="U3" s="93"/>
      <c r="V3" s="93"/>
      <c r="W3" s="93"/>
      <c r="X3" s="7"/>
      <c r="Y3" s="90" t="s">
        <v>118</v>
      </c>
      <c r="Z3" s="90">
        <f>IF(Tchladice&lt;-50,#N/A,IF(Tchladice&lt;0,EXP((1738.4+28.74*Tchladice)/(271+Tchladice)),IF(Tchladice&lt;=100,EXP((1500.3+23.5*Tchladice)/(234+Tchladice)),#N/A)))</f>
        <v>755.8538982845879</v>
      </c>
      <c r="AA3" s="90"/>
      <c r="AB3" s="90"/>
      <c r="AC3" s="90"/>
      <c r="AD3" s="58"/>
    </row>
    <row r="4" spans="1:35" ht="12.75" customHeight="1" x14ac:dyDescent="0.2">
      <c r="A4" s="7"/>
      <c r="B4" s="16" t="s">
        <v>69</v>
      </c>
      <c r="C4" s="7"/>
      <c r="D4" s="7"/>
      <c r="E4" s="17">
        <v>1</v>
      </c>
      <c r="F4" s="17">
        <v>2</v>
      </c>
      <c r="G4" s="17">
        <v>3</v>
      </c>
      <c r="H4" s="17">
        <v>4</v>
      </c>
      <c r="I4" s="17">
        <v>5</v>
      </c>
      <c r="J4" s="17">
        <v>6</v>
      </c>
      <c r="K4" s="17">
        <v>7</v>
      </c>
      <c r="L4" s="17">
        <v>8</v>
      </c>
      <c r="M4" s="17">
        <v>9</v>
      </c>
      <c r="N4" s="17">
        <v>10</v>
      </c>
      <c r="O4" s="17">
        <v>11</v>
      </c>
      <c r="P4" s="17">
        <v>12</v>
      </c>
      <c r="Q4" s="17">
        <v>13</v>
      </c>
      <c r="R4" s="17">
        <v>14</v>
      </c>
      <c r="S4" s="17">
        <v>15</v>
      </c>
      <c r="T4" s="17">
        <v>17</v>
      </c>
      <c r="U4" s="17">
        <v>18</v>
      </c>
      <c r="V4" s="17">
        <v>19</v>
      </c>
      <c r="W4" s="17">
        <v>20</v>
      </c>
      <c r="X4" s="7"/>
      <c r="Y4" s="90" t="s">
        <v>119</v>
      </c>
      <c r="Z4" s="90">
        <f>0.6222*Z3/(Tlak_vzduchu-Z3/1000)</f>
        <v>5.0167644068397435</v>
      </c>
      <c r="AA4" s="90"/>
      <c r="AB4" s="91"/>
      <c r="AC4" s="91"/>
      <c r="AD4"/>
      <c r="AE4"/>
      <c r="AF4"/>
      <c r="AG4"/>
      <c r="AH4"/>
      <c r="AI4"/>
    </row>
    <row r="5" spans="1:35" ht="12.75" customHeight="1" x14ac:dyDescent="0.2">
      <c r="A5" s="7"/>
      <c r="B5" s="15" t="s">
        <v>61</v>
      </c>
      <c r="C5" s="7" t="s">
        <v>149</v>
      </c>
      <c r="D5" s="7" t="s">
        <v>150</v>
      </c>
      <c r="E5" s="92" t="s">
        <v>167</v>
      </c>
      <c r="F5" s="92" t="s">
        <v>160</v>
      </c>
      <c r="G5" s="92" t="s">
        <v>161</v>
      </c>
      <c r="H5" s="92" t="s">
        <v>164</v>
      </c>
      <c r="I5" s="92" t="s">
        <v>165</v>
      </c>
      <c r="J5" s="92" t="s">
        <v>166</v>
      </c>
      <c r="K5" s="92" t="s">
        <v>152</v>
      </c>
      <c r="L5" s="92" t="s">
        <v>153</v>
      </c>
      <c r="M5" s="92" t="s">
        <v>143</v>
      </c>
      <c r="N5" s="92" t="s">
        <v>144</v>
      </c>
      <c r="O5" s="92" t="s">
        <v>145</v>
      </c>
      <c r="P5" s="92" t="s">
        <v>146</v>
      </c>
      <c r="Q5" s="92" t="s">
        <v>147</v>
      </c>
      <c r="R5" s="92" t="s">
        <v>148</v>
      </c>
      <c r="S5" s="92" t="s">
        <v>195</v>
      </c>
      <c r="T5" s="92" t="s">
        <v>172</v>
      </c>
      <c r="U5" s="92" t="s">
        <v>170</v>
      </c>
      <c r="V5" s="92"/>
      <c r="W5" s="92"/>
      <c r="X5" s="7"/>
      <c r="Y5" s="90"/>
      <c r="Z5" s="90"/>
      <c r="AA5" s="90"/>
      <c r="AB5" s="91"/>
      <c r="AC5" s="91"/>
      <c r="AD5"/>
      <c r="AE5"/>
      <c r="AF5"/>
      <c r="AG5"/>
      <c r="AH5"/>
      <c r="AI5"/>
    </row>
    <row r="6" spans="1:35" x14ac:dyDescent="0.2">
      <c r="A6" s="7"/>
      <c r="B6" s="7" t="s">
        <v>62</v>
      </c>
      <c r="C6" s="18" t="s">
        <v>0</v>
      </c>
      <c r="D6" s="19" t="s">
        <v>4</v>
      </c>
      <c r="E6" s="2"/>
      <c r="F6" s="2"/>
      <c r="G6" s="2"/>
      <c r="H6" s="2">
        <v>-25</v>
      </c>
      <c r="I6" s="2">
        <v>20</v>
      </c>
      <c r="J6" s="2"/>
      <c r="K6" s="122">
        <f>J16</f>
        <v>4.277020603210544</v>
      </c>
      <c r="L6" s="122">
        <v>8</v>
      </c>
      <c r="M6" s="123">
        <f>L6</f>
        <v>8</v>
      </c>
      <c r="N6" s="96">
        <v>20</v>
      </c>
      <c r="O6" s="96">
        <v>35</v>
      </c>
      <c r="P6" s="96">
        <v>16</v>
      </c>
      <c r="Q6" s="123">
        <f>P16</f>
        <v>16</v>
      </c>
      <c r="R6" s="2">
        <v>20</v>
      </c>
      <c r="S6" s="122">
        <f>R16</f>
        <v>20</v>
      </c>
      <c r="T6" s="2"/>
      <c r="U6" s="96"/>
      <c r="V6" s="96"/>
      <c r="W6" s="96"/>
      <c r="X6" s="7"/>
      <c r="Y6" s="90"/>
      <c r="Z6" s="90">
        <f>1.01*Tchladice+(2501+1.86*Tchladice)*Z4/1000</f>
        <v>15.604921326896363</v>
      </c>
      <c r="AA6" s="90"/>
      <c r="AB6" s="90"/>
      <c r="AC6" s="90"/>
      <c r="AD6" s="58"/>
    </row>
    <row r="7" spans="1:35" x14ac:dyDescent="0.2">
      <c r="A7" s="7"/>
      <c r="B7" s="7" t="s">
        <v>63</v>
      </c>
      <c r="C7" s="20" t="s">
        <v>1</v>
      </c>
      <c r="D7" s="19" t="s">
        <v>5</v>
      </c>
      <c r="E7" s="2"/>
      <c r="F7" s="2"/>
      <c r="G7" s="2"/>
      <c r="H7" s="2">
        <v>20</v>
      </c>
      <c r="I7" s="2">
        <v>60</v>
      </c>
      <c r="J7" s="2"/>
      <c r="K7" s="55">
        <f>J17</f>
        <v>1</v>
      </c>
      <c r="L7" s="55"/>
      <c r="M7" s="97">
        <f>L17</f>
        <v>7.7246107631210341E-3</v>
      </c>
      <c r="N7" s="96"/>
      <c r="O7" s="96">
        <v>40</v>
      </c>
      <c r="P7" s="96"/>
      <c r="Q7" s="97">
        <f>P17</f>
        <v>0.75771330367416145</v>
      </c>
      <c r="R7" s="2"/>
      <c r="S7" s="55">
        <f>R17</f>
        <v>5.8899545819655012E-3</v>
      </c>
      <c r="T7" s="2"/>
      <c r="U7" s="96"/>
      <c r="V7" s="96"/>
      <c r="W7" s="96"/>
      <c r="X7" s="7"/>
      <c r="Y7" s="90"/>
      <c r="Z7" s="90"/>
      <c r="AA7" s="90"/>
      <c r="AB7" s="90"/>
      <c r="AC7" s="90"/>
      <c r="AD7" s="58"/>
    </row>
    <row r="8" spans="1:35" x14ac:dyDescent="0.2">
      <c r="A8" s="7"/>
      <c r="B8" s="7" t="s">
        <v>67</v>
      </c>
      <c r="C8" s="18" t="s">
        <v>2</v>
      </c>
      <c r="D8" s="19" t="s">
        <v>6</v>
      </c>
      <c r="E8" s="2"/>
      <c r="F8" s="2"/>
      <c r="G8" s="2"/>
      <c r="H8" s="2"/>
      <c r="I8" s="2"/>
      <c r="J8" s="2"/>
      <c r="K8" s="2"/>
      <c r="L8" s="2"/>
      <c r="M8" s="96"/>
      <c r="N8" s="96"/>
      <c r="O8" s="96"/>
      <c r="P8" s="96"/>
      <c r="Q8" s="96"/>
      <c r="R8" s="2"/>
      <c r="S8" s="2"/>
      <c r="T8" s="2"/>
      <c r="U8" s="96"/>
      <c r="V8" s="96"/>
      <c r="W8" s="96"/>
      <c r="X8" s="7"/>
      <c r="Y8" s="90"/>
      <c r="Z8" s="90"/>
      <c r="AA8" s="90"/>
      <c r="AB8" s="90"/>
      <c r="AC8" s="90"/>
      <c r="AD8" s="58"/>
    </row>
    <row r="9" spans="1:35" ht="13.5" thickBot="1" x14ac:dyDescent="0.25">
      <c r="A9" s="7"/>
      <c r="B9" s="7" t="s">
        <v>65</v>
      </c>
      <c r="C9" s="18" t="s">
        <v>3</v>
      </c>
      <c r="D9" s="19" t="s">
        <v>7</v>
      </c>
      <c r="E9" s="49"/>
      <c r="F9" s="49"/>
      <c r="G9" s="5"/>
      <c r="H9" s="3"/>
      <c r="I9" s="3"/>
      <c r="J9" s="3"/>
      <c r="K9" s="3"/>
      <c r="L9" s="49"/>
      <c r="M9" s="98"/>
      <c r="N9" s="98"/>
      <c r="O9" s="98"/>
      <c r="P9" s="98"/>
      <c r="Q9" s="98"/>
      <c r="R9" s="49"/>
      <c r="S9" s="49"/>
      <c r="T9" s="49"/>
      <c r="U9" s="98"/>
      <c r="V9" s="98"/>
      <c r="W9" s="98"/>
      <c r="X9" s="7"/>
      <c r="Y9" s="90"/>
      <c r="Z9" s="90"/>
      <c r="AA9" s="90"/>
      <c r="AB9" s="90"/>
      <c r="AC9" s="90"/>
      <c r="AD9" s="58"/>
    </row>
    <row r="10" spans="1:35" ht="13.5" thickTop="1" x14ac:dyDescent="0.2">
      <c r="A10" s="7"/>
      <c r="B10" s="7" t="s">
        <v>68</v>
      </c>
      <c r="C10" s="22" t="s">
        <v>60</v>
      </c>
      <c r="D10" s="19"/>
      <c r="E10" s="4"/>
      <c r="F10" s="4"/>
      <c r="G10" s="4"/>
      <c r="H10" s="4"/>
      <c r="I10" s="4"/>
      <c r="J10" s="4" t="s">
        <v>142</v>
      </c>
      <c r="K10" s="4"/>
      <c r="L10" s="4" t="s">
        <v>53</v>
      </c>
      <c r="M10" s="99"/>
      <c r="N10" s="99" t="s">
        <v>53</v>
      </c>
      <c r="O10" s="99"/>
      <c r="P10" s="99" t="s">
        <v>58</v>
      </c>
      <c r="Q10" s="99"/>
      <c r="R10" s="4" t="s">
        <v>53</v>
      </c>
      <c r="S10" s="4"/>
      <c r="T10" s="4"/>
      <c r="U10" s="99"/>
      <c r="V10" s="99"/>
      <c r="W10" s="99"/>
      <c r="X10" s="7"/>
      <c r="Y10" s="90"/>
      <c r="Z10" s="90"/>
      <c r="AA10" s="90"/>
      <c r="AB10" s="90"/>
      <c r="AC10" s="90"/>
      <c r="AD10" s="58"/>
    </row>
    <row r="11" spans="1:35" x14ac:dyDescent="0.2">
      <c r="A11" s="7"/>
      <c r="B11" s="7" t="s">
        <v>64</v>
      </c>
      <c r="C11" s="16" t="s">
        <v>21</v>
      </c>
      <c r="D11" s="19" t="s">
        <v>22</v>
      </c>
      <c r="E11" s="6"/>
      <c r="F11" s="6"/>
      <c r="G11" s="6"/>
      <c r="H11" s="6">
        <v>6000</v>
      </c>
      <c r="I11" s="6">
        <v>10000</v>
      </c>
      <c r="J11" s="6"/>
      <c r="K11" s="6">
        <f>H11+I11</f>
        <v>16000</v>
      </c>
      <c r="L11" s="6"/>
      <c r="M11" s="100">
        <f>K11</f>
        <v>16000</v>
      </c>
      <c r="N11" s="100"/>
      <c r="O11" s="100">
        <f>K11</f>
        <v>16000</v>
      </c>
      <c r="P11" s="100"/>
      <c r="Q11" s="100">
        <f>O11</f>
        <v>16000</v>
      </c>
      <c r="R11" s="100"/>
      <c r="S11" s="6">
        <f>Q11</f>
        <v>16000</v>
      </c>
      <c r="T11" s="6"/>
      <c r="U11" s="100"/>
      <c r="V11" s="100"/>
      <c r="W11" s="100"/>
      <c r="X11" s="7"/>
      <c r="Y11" s="90"/>
      <c r="Z11" s="90"/>
      <c r="AA11" s="90"/>
      <c r="AB11" s="90"/>
      <c r="AC11" s="90"/>
      <c r="AD11" s="58"/>
    </row>
    <row r="12" spans="1:35" x14ac:dyDescent="0.2">
      <c r="A12" s="7"/>
      <c r="B12" s="7"/>
      <c r="C12" s="7"/>
      <c r="D12" s="19" t="s">
        <v>23</v>
      </c>
      <c r="E12" s="2"/>
      <c r="F12" s="2"/>
      <c r="G12" s="2"/>
      <c r="H12" s="2"/>
      <c r="I12" s="2"/>
      <c r="J12" s="2"/>
      <c r="K12" s="2"/>
      <c r="L12" s="2"/>
      <c r="M12" s="96"/>
      <c r="N12" s="96"/>
      <c r="O12" s="96"/>
      <c r="P12" s="96"/>
      <c r="Q12" s="96"/>
      <c r="R12" s="2"/>
      <c r="S12" s="2"/>
      <c r="T12" s="2"/>
      <c r="U12" s="96"/>
      <c r="V12" s="96"/>
      <c r="W12" s="96"/>
      <c r="X12" s="7"/>
      <c r="Y12" s="90"/>
      <c r="Z12" s="90"/>
      <c r="AA12" s="90"/>
      <c r="AB12" s="90"/>
      <c r="AC12" s="90"/>
      <c r="AD12" s="58"/>
    </row>
    <row r="13" spans="1:35" x14ac:dyDescent="0.2">
      <c r="A13" s="7"/>
      <c r="B13" s="7" t="s">
        <v>66</v>
      </c>
      <c r="C13" s="16" t="s">
        <v>27</v>
      </c>
      <c r="D13" s="19" t="s">
        <v>28</v>
      </c>
      <c r="E13" s="2"/>
      <c r="F13" s="2"/>
      <c r="G13" s="2"/>
      <c r="H13" s="2"/>
      <c r="I13" s="2"/>
      <c r="J13" s="2"/>
      <c r="K13" s="2"/>
      <c r="L13" s="2"/>
      <c r="M13" s="96"/>
      <c r="N13" s="96"/>
      <c r="O13" s="96"/>
      <c r="P13" s="96"/>
      <c r="Q13" s="96"/>
      <c r="R13" s="2"/>
      <c r="S13" s="2"/>
      <c r="T13" s="2"/>
      <c r="U13" s="96"/>
      <c r="V13" s="96"/>
      <c r="W13" s="96"/>
      <c r="X13" s="7"/>
      <c r="Y13" s="90"/>
      <c r="Z13" s="90"/>
      <c r="AA13" s="90"/>
      <c r="AB13" s="90"/>
      <c r="AC13" s="90"/>
      <c r="AD13" s="58"/>
    </row>
    <row r="14" spans="1:35" x14ac:dyDescent="0.2">
      <c r="A14" s="7"/>
      <c r="B14" s="16"/>
      <c r="C14" s="7"/>
      <c r="D14" s="7"/>
      <c r="E14" s="23" t="str">
        <f t="shared" ref="E14:N14" si="0">IF(E96,"ERROR",IF(E97,"?",IF(E98,"-","")))</f>
        <v>-</v>
      </c>
      <c r="F14" s="23" t="str">
        <f t="shared" si="0"/>
        <v>-</v>
      </c>
      <c r="G14" s="23" t="str">
        <f t="shared" si="0"/>
        <v>-</v>
      </c>
      <c r="H14" s="23"/>
      <c r="I14" s="23" t="str">
        <f t="shared" si="0"/>
        <v/>
      </c>
      <c r="J14" s="23" t="str">
        <f t="shared" si="0"/>
        <v/>
      </c>
      <c r="K14" s="23" t="str">
        <f t="shared" si="0"/>
        <v/>
      </c>
      <c r="L14" s="23" t="str">
        <f t="shared" si="0"/>
        <v/>
      </c>
      <c r="M14" s="95" t="str">
        <f t="shared" si="0"/>
        <v/>
      </c>
      <c r="N14" s="95" t="str">
        <f t="shared" si="0"/>
        <v/>
      </c>
      <c r="O14" s="95" t="str">
        <f t="shared" ref="O14:W14" si="1">IF(O96,"ERROR",IF(O97,"?",IF(O98,"-","")))</f>
        <v/>
      </c>
      <c r="P14" s="95" t="str">
        <f t="shared" si="1"/>
        <v/>
      </c>
      <c r="Q14" s="95" t="str">
        <f t="shared" si="1"/>
        <v/>
      </c>
      <c r="R14" s="95" t="str">
        <f t="shared" si="1"/>
        <v/>
      </c>
      <c r="S14" s="95" t="str">
        <f t="shared" si="1"/>
        <v/>
      </c>
      <c r="T14" s="95" t="str">
        <f t="shared" si="1"/>
        <v>-</v>
      </c>
      <c r="U14" s="95" t="str">
        <f t="shared" si="1"/>
        <v>-</v>
      </c>
      <c r="V14" s="95" t="str">
        <f t="shared" si="1"/>
        <v>-</v>
      </c>
      <c r="W14" s="95" t="str">
        <f t="shared" si="1"/>
        <v>-</v>
      </c>
      <c r="X14" s="7"/>
      <c r="Y14" s="90"/>
      <c r="Z14" s="90"/>
      <c r="AA14" s="90"/>
      <c r="AB14" s="90"/>
      <c r="AC14" s="90"/>
      <c r="AD14" s="58"/>
    </row>
    <row r="15" spans="1:35" ht="13.5" thickBot="1" x14ac:dyDescent="0.25">
      <c r="A15" s="7"/>
      <c r="B15" s="16" t="s">
        <v>151</v>
      </c>
      <c r="C15" s="7" t="s">
        <v>149</v>
      </c>
      <c r="D15" s="7" t="s">
        <v>150</v>
      </c>
      <c r="E15" s="21" t="str">
        <f>IF(E5&gt;0,E5,"")</f>
        <v>air_in_left</v>
      </c>
      <c r="F15" s="21" t="str">
        <f t="shared" ref="F15:N15" si="2">IF(F5&gt;0,F5,"")</f>
        <v>Filter_G4</v>
      </c>
      <c r="G15" s="21" t="str">
        <f t="shared" si="2"/>
        <v>Filter_F7</v>
      </c>
      <c r="H15" s="21" t="str">
        <f t="shared" ref="H15" si="3">IF(H5&gt;0,H5,"")</f>
        <v>Mix_up1</v>
      </c>
      <c r="I15" s="21" t="str">
        <f t="shared" si="2"/>
        <v>Mix_up2</v>
      </c>
      <c r="J15" s="21" t="str">
        <f t="shared" si="2"/>
        <v>Mix_up_result</v>
      </c>
      <c r="K15" s="21" t="str">
        <f t="shared" si="2"/>
        <v>RE1_in</v>
      </c>
      <c r="L15" s="21" t="str">
        <f t="shared" si="2"/>
        <v>RE1_out</v>
      </c>
      <c r="M15" s="101" t="str">
        <f t="shared" si="2"/>
        <v>HE1_in</v>
      </c>
      <c r="N15" s="101" t="str">
        <f t="shared" si="2"/>
        <v>HE1_out</v>
      </c>
      <c r="O15" s="101" t="str">
        <f t="shared" ref="O15:W15" si="4">IF(O5&gt;0,O5,"")</f>
        <v>CE1_in</v>
      </c>
      <c r="P15" s="101" t="str">
        <f t="shared" si="4"/>
        <v>CE1_out</v>
      </c>
      <c r="Q15" s="101" t="str">
        <f t="shared" si="4"/>
        <v>HE2_in</v>
      </c>
      <c r="R15" s="101" t="str">
        <f t="shared" si="4"/>
        <v>HE2_out</v>
      </c>
      <c r="S15" s="101" t="str">
        <f t="shared" si="4"/>
        <v>fan</v>
      </c>
      <c r="T15" s="101" t="str">
        <f t="shared" si="4"/>
        <v>silencer</v>
      </c>
      <c r="U15" s="101" t="str">
        <f t="shared" si="4"/>
        <v>air_out_up</v>
      </c>
      <c r="V15" s="101" t="str">
        <f t="shared" si="4"/>
        <v/>
      </c>
      <c r="W15" s="101" t="str">
        <f t="shared" si="4"/>
        <v/>
      </c>
      <c r="X15" s="7"/>
      <c r="AA15" s="57"/>
      <c r="AB15" s="58"/>
      <c r="AC15" s="58"/>
      <c r="AD15" s="58"/>
    </row>
    <row r="16" spans="1:35" x14ac:dyDescent="0.2">
      <c r="A16" s="7"/>
      <c r="B16" s="7" t="s">
        <v>62</v>
      </c>
      <c r="C16" s="18" t="s">
        <v>0</v>
      </c>
      <c r="D16" s="19" t="s">
        <v>4</v>
      </c>
      <c r="E16" s="24" t="str">
        <f t="shared" ref="E16:N16" si="5">IF(E14="",E151,"")</f>
        <v/>
      </c>
      <c r="F16" s="24" t="str">
        <f t="shared" si="5"/>
        <v/>
      </c>
      <c r="G16" s="24" t="str">
        <f t="shared" si="5"/>
        <v/>
      </c>
      <c r="H16" s="24">
        <f t="shared" ref="H16" si="6">IF(H14="",H151,"")</f>
        <v>-25</v>
      </c>
      <c r="I16" s="24">
        <f t="shared" si="5"/>
        <v>20</v>
      </c>
      <c r="J16" s="24">
        <f t="shared" si="5"/>
        <v>4.277020603210544</v>
      </c>
      <c r="K16" s="24">
        <f t="shared" si="5"/>
        <v>4.277020603210544</v>
      </c>
      <c r="L16" s="24">
        <f t="shared" si="5"/>
        <v>8</v>
      </c>
      <c r="M16" s="102">
        <f t="shared" si="5"/>
        <v>8</v>
      </c>
      <c r="N16" s="103">
        <f t="shared" si="5"/>
        <v>20</v>
      </c>
      <c r="O16" s="103">
        <f t="shared" ref="O16:W16" si="7">IF(O14="",O151,"")</f>
        <v>35</v>
      </c>
      <c r="P16" s="103">
        <f t="shared" si="7"/>
        <v>16</v>
      </c>
      <c r="Q16" s="103">
        <f t="shared" si="7"/>
        <v>16</v>
      </c>
      <c r="R16" s="103">
        <f t="shared" si="7"/>
        <v>20</v>
      </c>
      <c r="S16" s="103">
        <f t="shared" si="7"/>
        <v>20</v>
      </c>
      <c r="T16" s="103" t="str">
        <f t="shared" si="7"/>
        <v/>
      </c>
      <c r="U16" s="103" t="str">
        <f t="shared" si="7"/>
        <v/>
      </c>
      <c r="V16" s="103" t="str">
        <f t="shared" si="7"/>
        <v/>
      </c>
      <c r="W16" s="103" t="str">
        <f t="shared" si="7"/>
        <v/>
      </c>
      <c r="X16" s="7"/>
      <c r="AA16" s="57"/>
      <c r="AB16" s="58"/>
      <c r="AC16" s="58"/>
      <c r="AD16" s="58"/>
    </row>
    <row r="17" spans="1:30" x14ac:dyDescent="0.2">
      <c r="A17" s="7"/>
      <c r="B17" s="7" t="s">
        <v>94</v>
      </c>
      <c r="C17" s="20" t="s">
        <v>1</v>
      </c>
      <c r="D17" s="19" t="s">
        <v>5</v>
      </c>
      <c r="E17" s="25" t="str">
        <f t="shared" ref="E17:N17" si="8">IF(E14="",IF(E18=0,0,Tlak_vzduchu/E154*1000/(0.6222/E18*1000+1)),"")</f>
        <v/>
      </c>
      <c r="F17" s="25" t="str">
        <f t="shared" si="8"/>
        <v/>
      </c>
      <c r="G17" s="25" t="str">
        <f t="shared" si="8"/>
        <v/>
      </c>
      <c r="H17" s="25">
        <f t="shared" ref="H17" si="9">IF(H14="",IF(H18=0,0,Tlak_vzduchu/H154*1000/(0.6222/H18*1000+1)),"")</f>
        <v>0.19999999999999998</v>
      </c>
      <c r="I17" s="25">
        <f t="shared" si="8"/>
        <v>0.59999999999999987</v>
      </c>
      <c r="J17" s="25">
        <f t="shared" si="8"/>
        <v>1</v>
      </c>
      <c r="K17" s="25">
        <f t="shared" si="8"/>
        <v>0.01</v>
      </c>
      <c r="L17" s="25">
        <f t="shared" si="8"/>
        <v>7.7246107631210341E-3</v>
      </c>
      <c r="M17" s="104">
        <f t="shared" si="8"/>
        <v>7.7246107631210312E-5</v>
      </c>
      <c r="N17" s="104">
        <f t="shared" si="8"/>
        <v>3.5387413096825205E-5</v>
      </c>
      <c r="O17" s="104">
        <f t="shared" ref="O17:W17" si="10">IF(O14="",IF(O18=0,0,Tlak_vzduchu/O154*1000/(0.6222/O18*1000+1)),"")</f>
        <v>0.4</v>
      </c>
      <c r="P17" s="104">
        <f t="shared" si="10"/>
        <v>0.75771330367416145</v>
      </c>
      <c r="Q17" s="104">
        <f t="shared" si="10"/>
        <v>7.5771330367416147E-3</v>
      </c>
      <c r="R17" s="104">
        <f t="shared" si="10"/>
        <v>5.8899545819655012E-3</v>
      </c>
      <c r="S17" s="104">
        <f t="shared" si="10"/>
        <v>5.889954581965501E-5</v>
      </c>
      <c r="T17" s="104" t="str">
        <f t="shared" si="10"/>
        <v/>
      </c>
      <c r="U17" s="104" t="str">
        <f t="shared" si="10"/>
        <v/>
      </c>
      <c r="V17" s="104" t="str">
        <f t="shared" si="10"/>
        <v/>
      </c>
      <c r="W17" s="104" t="str">
        <f t="shared" si="10"/>
        <v/>
      </c>
      <c r="X17" s="7"/>
      <c r="AA17" s="57"/>
      <c r="AB17" s="58"/>
      <c r="AC17" s="58"/>
      <c r="AD17" s="58"/>
    </row>
    <row r="18" spans="1:30" x14ac:dyDescent="0.2">
      <c r="A18" s="7"/>
      <c r="B18" s="7" t="s">
        <v>95</v>
      </c>
      <c r="C18" s="18" t="s">
        <v>2</v>
      </c>
      <c r="D18" s="19" t="s">
        <v>6</v>
      </c>
      <c r="E18" s="21" t="str">
        <f t="shared" ref="E18:N18" si="11">IF(E14="",E152,"")</f>
        <v/>
      </c>
      <c r="F18" s="21" t="str">
        <f t="shared" si="11"/>
        <v/>
      </c>
      <c r="G18" s="21" t="str">
        <f t="shared" si="11"/>
        <v/>
      </c>
      <c r="H18" s="21">
        <f t="shared" ref="H18" si="12">IF(H14="",H152,"")</f>
        <v>8.3203757830561539E-2</v>
      </c>
      <c r="I18" s="21">
        <f t="shared" si="11"/>
        <v>9.3757233081908904</v>
      </c>
      <c r="J18" s="21">
        <f t="shared" si="11"/>
        <v>5.4957390094007232</v>
      </c>
      <c r="K18" s="21">
        <f t="shared" si="11"/>
        <v>5.4480985171597482E-2</v>
      </c>
      <c r="L18" s="21">
        <f t="shared" si="11"/>
        <v>5.4480985171597482E-2</v>
      </c>
      <c r="M18" s="101">
        <f t="shared" si="11"/>
        <v>5.4476262829484417E-4</v>
      </c>
      <c r="N18" s="101">
        <f t="shared" si="11"/>
        <v>5.4476262829484417E-4</v>
      </c>
      <c r="O18" s="101">
        <f t="shared" ref="O18:W18" si="13">IF(O14="",O152,"")</f>
        <v>15.17511246915182</v>
      </c>
      <c r="P18" s="101">
        <f t="shared" si="13"/>
        <v>9.2012211080269264</v>
      </c>
      <c r="Q18" s="101">
        <f t="shared" si="13"/>
        <v>9.0684559843778378E-2</v>
      </c>
      <c r="R18" s="101">
        <f t="shared" si="13"/>
        <v>9.0684559843778378E-2</v>
      </c>
      <c r="S18" s="101">
        <f t="shared" si="13"/>
        <v>9.0671476786990859E-4</v>
      </c>
      <c r="T18" s="101" t="str">
        <f t="shared" si="13"/>
        <v/>
      </c>
      <c r="U18" s="101" t="str">
        <f t="shared" si="13"/>
        <v/>
      </c>
      <c r="V18" s="101" t="str">
        <f t="shared" si="13"/>
        <v/>
      </c>
      <c r="W18" s="101" t="str">
        <f t="shared" si="13"/>
        <v/>
      </c>
      <c r="X18" s="7"/>
      <c r="AA18" s="57"/>
      <c r="AB18" s="58"/>
      <c r="AC18" s="58"/>
      <c r="AD18" s="58"/>
    </row>
    <row r="19" spans="1:30" x14ac:dyDescent="0.2">
      <c r="A19" s="7"/>
      <c r="B19" s="7" t="s">
        <v>65</v>
      </c>
      <c r="C19" s="18" t="s">
        <v>3</v>
      </c>
      <c r="D19" s="19" t="s">
        <v>7</v>
      </c>
      <c r="E19" s="21" t="str">
        <f t="shared" ref="E19:N19" si="14">IF(E14="",E155,"")</f>
        <v/>
      </c>
      <c r="F19" s="21" t="str">
        <f t="shared" si="14"/>
        <v/>
      </c>
      <c r="G19" s="21" t="str">
        <f t="shared" si="14"/>
        <v/>
      </c>
      <c r="H19" s="21">
        <f t="shared" ref="H19" si="15">IF(H14="",H155,"")</f>
        <v>-25.045776376404888</v>
      </c>
      <c r="I19" s="21">
        <f t="shared" si="14"/>
        <v>43.997460900850115</v>
      </c>
      <c r="J19" s="21">
        <f t="shared" si="14"/>
        <v>18.108354095243776</v>
      </c>
      <c r="K19" s="21">
        <f t="shared" si="14"/>
        <v>4.4564811634674903</v>
      </c>
      <c r="L19" s="21">
        <f t="shared" si="14"/>
        <v>8.2170676209735181</v>
      </c>
      <c r="M19" s="101">
        <f t="shared" si="14"/>
        <v>8.0813705574012751</v>
      </c>
      <c r="N19" s="101">
        <f t="shared" si="14"/>
        <v>20.201382716503137</v>
      </c>
      <c r="O19" s="101">
        <f t="shared" ref="O19:W19" si="16">IF(O14="",O155,"")</f>
        <v>74.290856107090491</v>
      </c>
      <c r="P19" s="101">
        <f t="shared" si="16"/>
        <v>39.446082331350226</v>
      </c>
      <c r="Q19" s="101">
        <f t="shared" si="16"/>
        <v>16.389500856670242</v>
      </c>
      <c r="R19" s="101">
        <f t="shared" si="16"/>
        <v>20.430175549795479</v>
      </c>
      <c r="S19" s="101">
        <f t="shared" si="16"/>
        <v>20.202301423423808</v>
      </c>
      <c r="T19" s="101" t="str">
        <f t="shared" si="16"/>
        <v/>
      </c>
      <c r="U19" s="101" t="str">
        <f t="shared" si="16"/>
        <v/>
      </c>
      <c r="V19" s="101" t="str">
        <f t="shared" si="16"/>
        <v/>
      </c>
      <c r="W19" s="101" t="str">
        <f t="shared" si="16"/>
        <v/>
      </c>
      <c r="X19" s="7"/>
      <c r="AA19" s="57"/>
    </row>
    <row r="20" spans="1:30" x14ac:dyDescent="0.2">
      <c r="A20" s="7"/>
      <c r="B20" s="7" t="s">
        <v>72</v>
      </c>
      <c r="C20" s="20" t="s">
        <v>24</v>
      </c>
      <c r="D20" s="19" t="s">
        <v>26</v>
      </c>
      <c r="E20" s="26" t="str">
        <f>IF(E14="",Tlak_vzduchu*1000*(E18/1000+1)/461.39/(273.15+E16)/(E18/1000+0.6222),"")</f>
        <v/>
      </c>
      <c r="F20" s="26" t="str">
        <f t="shared" ref="F20:N20" si="17">IF(F14="",Tlak_vzduchu*1000*(F18/1000+1)/461.39/(273.15+F16)/(F18/1000+0.6222),"")</f>
        <v/>
      </c>
      <c r="G20" s="26" t="str">
        <f t="shared" si="17"/>
        <v/>
      </c>
      <c r="H20" s="26">
        <f t="shared" ref="H20" si="18">IF(H14="",Tlak_vzduchu*1000*(H18/1000+1)/461.39/(273.15+H16)/(H18/1000+0.6222),"")</f>
        <v>1.3264699195276246</v>
      </c>
      <c r="I20" s="26">
        <f t="shared" si="17"/>
        <v>1.1166090914094011</v>
      </c>
      <c r="J20" s="26">
        <f t="shared" si="17"/>
        <v>1.1826219273091421</v>
      </c>
      <c r="K20" s="26">
        <f t="shared" si="17"/>
        <v>1.1865075348566412</v>
      </c>
      <c r="L20" s="26">
        <f t="shared" si="17"/>
        <v>1.1707958396533451</v>
      </c>
      <c r="M20" s="105">
        <f t="shared" si="17"/>
        <v>1.1708341811978988</v>
      </c>
      <c r="N20" s="105">
        <f t="shared" si="17"/>
        <v>1.1229064644168147</v>
      </c>
      <c r="O20" s="105">
        <f t="shared" ref="O20:W20" si="19">IF(O14="",Tlak_vzduchu*1000*(O18/1000+1)/461.39/(273.15+O16)/(O18/1000+0.6222),"")</f>
        <v>1.0586376113064897</v>
      </c>
      <c r="P20" s="105">
        <f t="shared" si="19"/>
        <v>1.1321729753566148</v>
      </c>
      <c r="Q20" s="105">
        <f t="shared" si="19"/>
        <v>1.1383780587890284</v>
      </c>
      <c r="R20" s="105">
        <f t="shared" si="19"/>
        <v>1.1228450134703996</v>
      </c>
      <c r="S20" s="105">
        <f t="shared" si="19"/>
        <v>1.1229062176278097</v>
      </c>
      <c r="T20" s="105" t="str">
        <f t="shared" si="19"/>
        <v/>
      </c>
      <c r="U20" s="105" t="str">
        <f t="shared" si="19"/>
        <v/>
      </c>
      <c r="V20" s="105" t="str">
        <f t="shared" si="19"/>
        <v/>
      </c>
      <c r="W20" s="105" t="str">
        <f t="shared" si="19"/>
        <v/>
      </c>
      <c r="X20" s="7"/>
      <c r="AA20" s="57"/>
    </row>
    <row r="21" spans="1:30" ht="13.5" thickBot="1" x14ac:dyDescent="0.25">
      <c r="A21" s="7"/>
      <c r="B21" s="7" t="s">
        <v>71</v>
      </c>
      <c r="C21" s="18" t="s">
        <v>25</v>
      </c>
      <c r="D21" s="19" t="s">
        <v>4</v>
      </c>
      <c r="E21" s="21" t="str">
        <f t="shared" ref="E21:N21" si="20">IF(E14="",E156,"")</f>
        <v/>
      </c>
      <c r="F21" s="21" t="str">
        <f t="shared" si="20"/>
        <v/>
      </c>
      <c r="G21" s="21" t="str">
        <f t="shared" si="20"/>
        <v/>
      </c>
      <c r="H21" s="21">
        <f t="shared" ref="H21" si="21">IF(H14="",H156,"")</f>
        <v>-25.736542713815986</v>
      </c>
      <c r="I21" s="21">
        <f t="shared" si="20"/>
        <v>14.98170477717769</v>
      </c>
      <c r="J21" s="21">
        <f t="shared" si="20"/>
        <v>4.2780735733811968</v>
      </c>
      <c r="K21" s="21">
        <f t="shared" si="20"/>
        <v>-3.2203557258118334</v>
      </c>
      <c r="L21" s="21">
        <f t="shared" si="20"/>
        <v>-1.1207509577152117</v>
      </c>
      <c r="M21" s="101">
        <f t="shared" si="20"/>
        <v>-1.1213952521538815</v>
      </c>
      <c r="N21" s="101">
        <f t="shared" si="20"/>
        <v>5.3064115875936508</v>
      </c>
      <c r="O21" s="101">
        <f t="shared" ref="O21:W21" si="22">IF(O14="",O156,"")</f>
        <v>-2.6495095945477067</v>
      </c>
      <c r="P21" s="101">
        <f t="shared" si="22"/>
        <v>-2.6495095945477067</v>
      </c>
      <c r="Q21" s="101">
        <f t="shared" si="22"/>
        <v>-2.6495095945477067</v>
      </c>
      <c r="R21" s="101">
        <f t="shared" si="22"/>
        <v>-2.6495095945477067</v>
      </c>
      <c r="S21" s="101">
        <f t="shared" si="22"/>
        <v>-2.6495095945477067</v>
      </c>
      <c r="T21" s="101" t="str">
        <f t="shared" si="22"/>
        <v/>
      </c>
      <c r="U21" s="101" t="str">
        <f t="shared" si="22"/>
        <v/>
      </c>
      <c r="V21" s="101" t="str">
        <f t="shared" si="22"/>
        <v/>
      </c>
      <c r="W21" s="101" t="str">
        <f t="shared" si="22"/>
        <v/>
      </c>
      <c r="X21" s="7"/>
      <c r="AA21" s="57"/>
    </row>
    <row r="22" spans="1:30" ht="13.5" thickTop="1" x14ac:dyDescent="0.2">
      <c r="A22" s="7"/>
      <c r="B22" s="7" t="s">
        <v>64</v>
      </c>
      <c r="C22" s="16" t="s">
        <v>57</v>
      </c>
      <c r="D22" s="19" t="s">
        <v>22</v>
      </c>
      <c r="E22" s="27" t="str">
        <f>IF(E14="",E35*3600/E20*(1+E18/1000),"")</f>
        <v/>
      </c>
      <c r="F22" s="27" t="str">
        <f t="shared" ref="F22:N22" si="23">IF(F14="",F35*3600/F20*(1+F18/1000),"")</f>
        <v/>
      </c>
      <c r="G22" s="27" t="str">
        <f t="shared" si="23"/>
        <v/>
      </c>
      <c r="H22" s="27">
        <f t="shared" ref="H22" si="24">IF(H14="",H35*3600/H20*(1+H18/1000),"")</f>
        <v>5428.3922771657117</v>
      </c>
      <c r="I22" s="27">
        <f t="shared" si="23"/>
        <v>10847.58199882619</v>
      </c>
      <c r="J22" s="27">
        <f t="shared" si="23"/>
        <v>16324.336411474264</v>
      </c>
      <c r="K22" s="27">
        <f t="shared" si="23"/>
        <v>16182.826885490658</v>
      </c>
      <c r="L22" s="27">
        <f t="shared" si="23"/>
        <v>16399.995101281223</v>
      </c>
      <c r="M22" s="106">
        <f t="shared" si="23"/>
        <v>16398.573570681576</v>
      </c>
      <c r="N22" s="106">
        <f t="shared" si="23"/>
        <v>17098.494903949148</v>
      </c>
      <c r="O22" s="106">
        <f t="shared" ref="O22:W22" si="25">IF(O14="",O35*3600/O20*(1+O18/1000),"")</f>
        <v>18411.74161132719</v>
      </c>
      <c r="P22" s="106">
        <f t="shared" si="25"/>
        <v>17114.57866159613</v>
      </c>
      <c r="Q22" s="106">
        <f t="shared" si="25"/>
        <v>16867.631096101082</v>
      </c>
      <c r="R22" s="106">
        <f t="shared" si="25"/>
        <v>17100.972006993019</v>
      </c>
      <c r="S22" s="106">
        <f t="shared" si="25"/>
        <v>17098.504850640555</v>
      </c>
      <c r="T22" s="106" t="str">
        <f t="shared" si="25"/>
        <v/>
      </c>
      <c r="U22" s="106" t="str">
        <f t="shared" si="25"/>
        <v/>
      </c>
      <c r="V22" s="106" t="str">
        <f t="shared" si="25"/>
        <v/>
      </c>
      <c r="W22" s="106" t="str">
        <f t="shared" si="25"/>
        <v/>
      </c>
      <c r="X22" s="7"/>
      <c r="AA22" s="57"/>
    </row>
    <row r="23" spans="1:30" x14ac:dyDescent="0.2">
      <c r="A23" s="7"/>
      <c r="B23" s="7" t="s">
        <v>73</v>
      </c>
      <c r="C23" s="16" t="s">
        <v>56</v>
      </c>
      <c r="D23" s="19" t="s">
        <v>22</v>
      </c>
      <c r="E23" s="28" t="str">
        <f>IF(E14="",E35*3600/1.2,"")</f>
        <v/>
      </c>
      <c r="F23" s="28" t="str">
        <f t="shared" ref="F23:N23" si="26">IF(F14="",F35*3600/1.2,"")</f>
        <v/>
      </c>
      <c r="G23" s="28" t="str">
        <f t="shared" si="26"/>
        <v/>
      </c>
      <c r="H23" s="28">
        <f t="shared" ref="H23" si="27">IF(H14="",H35*3600/1.2,"")</f>
        <v>6000</v>
      </c>
      <c r="I23" s="28">
        <f t="shared" si="26"/>
        <v>9999.9999999999982</v>
      </c>
      <c r="J23" s="28">
        <f t="shared" si="26"/>
        <v>16000</v>
      </c>
      <c r="K23" s="28">
        <f t="shared" si="26"/>
        <v>16000</v>
      </c>
      <c r="L23" s="28">
        <f t="shared" si="26"/>
        <v>16000</v>
      </c>
      <c r="M23" s="107">
        <f t="shared" si="26"/>
        <v>16000</v>
      </c>
      <c r="N23" s="108">
        <f t="shared" si="26"/>
        <v>16000</v>
      </c>
      <c r="O23" s="108">
        <f t="shared" ref="O23:W23" si="28">IF(O14="",O35*3600/1.2,"")</f>
        <v>16000</v>
      </c>
      <c r="P23" s="108">
        <f t="shared" si="28"/>
        <v>16000</v>
      </c>
      <c r="Q23" s="108">
        <f t="shared" si="28"/>
        <v>16000</v>
      </c>
      <c r="R23" s="108">
        <f t="shared" si="28"/>
        <v>16000</v>
      </c>
      <c r="S23" s="108">
        <f t="shared" si="28"/>
        <v>16000</v>
      </c>
      <c r="T23" s="108" t="str">
        <f t="shared" si="28"/>
        <v/>
      </c>
      <c r="U23" s="108" t="str">
        <f t="shared" si="28"/>
        <v/>
      </c>
      <c r="V23" s="108" t="str">
        <f t="shared" si="28"/>
        <v/>
      </c>
      <c r="W23" s="108" t="str">
        <f t="shared" si="28"/>
        <v/>
      </c>
      <c r="X23" s="7"/>
      <c r="AA23" s="57"/>
    </row>
    <row r="24" spans="1:30" x14ac:dyDescent="0.2">
      <c r="A24" s="7"/>
      <c r="B24" s="7" t="s">
        <v>66</v>
      </c>
      <c r="C24" s="16" t="s">
        <v>27</v>
      </c>
      <c r="D24" s="19" t="s">
        <v>28</v>
      </c>
      <c r="E24" s="29" t="str">
        <f>IF(AND(E14="",E28&lt;&gt;5,E28&lt;&gt;0),E35*(E19-D19),"")</f>
        <v/>
      </c>
      <c r="F24" s="29" t="str">
        <f>IF(AND(F14="",F28&lt;&gt;5,F28&lt;&gt;0),F35*(F19-E19),"")</f>
        <v/>
      </c>
      <c r="G24" s="29" t="str">
        <f t="shared" ref="G24:N24" si="29">IF(AND(G14="",G28&lt;&gt;5,G28&lt;&gt;0),G35*(G19-F19),"")</f>
        <v/>
      </c>
      <c r="H24" s="29" t="str">
        <f t="shared" si="29"/>
        <v/>
      </c>
      <c r="I24" s="29" t="str">
        <f t="shared" si="29"/>
        <v/>
      </c>
      <c r="J24" s="29" t="str">
        <f t="shared" si="29"/>
        <v/>
      </c>
      <c r="K24" s="29" t="str">
        <f t="shared" si="29"/>
        <v/>
      </c>
      <c r="L24" s="29">
        <f t="shared" si="29"/>
        <v>20.056461106698812</v>
      </c>
      <c r="M24" s="29" t="str">
        <f t="shared" si="29"/>
        <v/>
      </c>
      <c r="N24" s="29">
        <f t="shared" si="29"/>
        <v>64.640064848543261</v>
      </c>
      <c r="O24" s="29" t="str">
        <f t="shared" ref="O24" si="30">IF(AND(O14="",O28&lt;&gt;5,O28&lt;&gt;0),O35*(O19-N19),"")</f>
        <v/>
      </c>
      <c r="P24" s="29">
        <f t="shared" ref="P24" si="31">IF(AND(P14="",P28&lt;&gt;5,P28&lt;&gt;0),P35*(P19-O19),"")</f>
        <v>-185.83879347061475</v>
      </c>
      <c r="Q24" s="29" t="str">
        <f t="shared" ref="Q24" si="32">IF(AND(Q14="",Q28&lt;&gt;5,Q28&lt;&gt;0),Q35*(Q19-P19),"")</f>
        <v/>
      </c>
      <c r="R24" s="29">
        <f t="shared" ref="R24" si="33">IF(AND(R14="",R28&lt;&gt;5,R28&lt;&gt;0),R35*(R19-Q19),"")</f>
        <v>21.55026503000126</v>
      </c>
      <c r="S24" s="29" t="str">
        <f t="shared" ref="S24" si="34">IF(AND(S14="",S28&lt;&gt;5,S28&lt;&gt;0),S35*(S19-R19),"")</f>
        <v/>
      </c>
      <c r="T24" s="29" t="str">
        <f>IF(AND(T14="",T28&lt;&gt;5,T28&lt;&gt;0),T35*(T19-#REF!),"")</f>
        <v/>
      </c>
      <c r="U24" s="29" t="str">
        <f t="shared" ref="U24" si="35">IF(AND(U14="",U28&lt;&gt;5,U28&lt;&gt;0),U35*(U19-T19),"")</f>
        <v/>
      </c>
      <c r="V24" s="29" t="str">
        <f t="shared" ref="V24" si="36">IF(AND(V14="",V28&lt;&gt;5,V28&lt;&gt;0),V35*(V19-U19),"")</f>
        <v/>
      </c>
      <c r="W24" s="29" t="str">
        <f t="shared" ref="W24" si="37">IF(AND(W14="",W28&lt;&gt;5,W28&lt;&gt;0),W35*(W19-V19),"")</f>
        <v/>
      </c>
      <c r="X24" s="7"/>
      <c r="AA24" s="57"/>
    </row>
    <row r="25" spans="1:30" x14ac:dyDescent="0.2">
      <c r="A25" s="7"/>
      <c r="B25" s="7" t="s">
        <v>74</v>
      </c>
      <c r="C25" s="16" t="s">
        <v>29</v>
      </c>
      <c r="D25" s="19" t="s">
        <v>30</v>
      </c>
      <c r="E25" s="29" t="str">
        <f>IF(AND(E14="",E28&lt;&gt;0),IF(E28&lt;&gt;5,E35*(E18-D18)*3.6,(E35*E18-D35*D18-C35*C18)*3.6),"")</f>
        <v/>
      </c>
      <c r="F25" s="29" t="str">
        <f t="shared" ref="F25:N25" si="38">IF(AND(F14="",F28&lt;&gt;0),IF(F28&lt;&gt;5,F35*(F18-E18)*3.6,(F35*F18-E35*E18-D35*D18)*3.6),"")</f>
        <v/>
      </c>
      <c r="G25" s="29" t="str">
        <f t="shared" si="38"/>
        <v/>
      </c>
      <c r="H25" s="29" t="str">
        <f t="shared" si="38"/>
        <v/>
      </c>
      <c r="I25" s="29" t="str">
        <f t="shared" si="38"/>
        <v/>
      </c>
      <c r="J25" s="29">
        <f t="shared" si="38"/>
        <v>-7.589557774176833</v>
      </c>
      <c r="K25" s="29" t="str">
        <f t="shared" si="38"/>
        <v/>
      </c>
      <c r="L25" s="29">
        <f t="shared" si="38"/>
        <v>0</v>
      </c>
      <c r="M25" s="109" t="str">
        <f t="shared" si="38"/>
        <v/>
      </c>
      <c r="N25" s="101">
        <f t="shared" si="38"/>
        <v>0</v>
      </c>
      <c r="O25" s="101" t="str">
        <f t="shared" ref="O25" si="39">IF(AND(O14="",O28&lt;&gt;0),IF(O28&lt;&gt;5,O35*(O18-N18)*3.6,(O35*O18-N35*N18-M35*M18)*3.6),"")</f>
        <v/>
      </c>
      <c r="P25" s="101">
        <f t="shared" ref="P25" si="40">IF(AND(P14="",P28&lt;&gt;0),IF(P28&lt;&gt;5,P35*(P18-O18)*3.6,(P35*P18-O35*O18-N35*N18)*3.6),"")</f>
        <v>-114.69871413359796</v>
      </c>
      <c r="Q25" s="101" t="str">
        <f t="shared" ref="Q25" si="41">IF(AND(Q14="",Q28&lt;&gt;0),IF(Q28&lt;&gt;5,Q35*(Q18-P18)*3.6,(Q35*Q18-P35*P18-O35*O18)*3.6),"")</f>
        <v/>
      </c>
      <c r="R25" s="101">
        <f t="shared" ref="R25" si="42">IF(AND(R14="",R28&lt;&gt;0),IF(R28&lt;&gt;5,R35*(R18-Q18)*3.6,(R35*R18-Q35*Q18-P35*P18)*3.6),"")</f>
        <v>0</v>
      </c>
      <c r="S25" s="101" t="str">
        <f t="shared" ref="S25" si="43">IF(AND(S14="",S28&lt;&gt;0),IF(S28&lt;&gt;5,S35*(S18-R18)*3.6,(S35*S18-R35*R18-Q35*Q18)*3.6),"")</f>
        <v/>
      </c>
      <c r="T25" s="101" t="str">
        <f>IF(AND(T14="",T28&lt;&gt;0),IF(T28&lt;&gt;5,T35*(T18-#REF!)*3.6,(T35*T18-#REF!*#REF!-S35*S18)*3.6),"")</f>
        <v/>
      </c>
      <c r="U25" s="101" t="str">
        <f>IF(AND(U14="",U28&lt;&gt;0),IF(U28&lt;&gt;5,U35*(U18-T18)*3.6,(U35*U18-T35*T18-#REF!*#REF!)*3.6),"")</f>
        <v/>
      </c>
      <c r="V25" s="101" t="str">
        <f t="shared" ref="V25" si="44">IF(AND(V14="",V28&lt;&gt;0),IF(V28&lt;&gt;5,V35*(V18-U18)*3.6,(V35*V18-U35*U18-T35*T18)*3.6),"")</f>
        <v/>
      </c>
      <c r="W25" s="101" t="str">
        <f t="shared" ref="W25" si="45">IF(AND(W14="",W28&lt;&gt;0),IF(W28&lt;&gt;5,W35*(W18-V18)*3.6,(W35*W18-V35*V18-U35*U18)*3.6),"")</f>
        <v/>
      </c>
      <c r="X25" s="7"/>
      <c r="AA25" s="57"/>
    </row>
    <row r="26" spans="1:30" x14ac:dyDescent="0.2">
      <c r="A26" s="7"/>
      <c r="B26" s="7"/>
      <c r="C26" s="7"/>
      <c r="D26" s="7"/>
      <c r="E26" s="7"/>
      <c r="F26" s="7"/>
      <c r="G26" s="7"/>
      <c r="H26" s="7"/>
      <c r="I26" s="7"/>
      <c r="J26" s="7"/>
      <c r="K26" s="7"/>
      <c r="L26" s="7"/>
      <c r="M26" s="93"/>
      <c r="N26" s="93"/>
      <c r="O26" s="93"/>
      <c r="P26" s="93"/>
      <c r="Q26" s="93"/>
      <c r="R26" s="93"/>
      <c r="S26" s="93"/>
      <c r="T26" s="93"/>
      <c r="U26" s="93"/>
      <c r="V26" s="93"/>
      <c r="W26" s="93"/>
      <c r="X26" s="7"/>
      <c r="AA26" s="57"/>
    </row>
    <row r="27" spans="1:30" s="59" customFormat="1" x14ac:dyDescent="0.2">
      <c r="B27" s="65" t="s">
        <v>89</v>
      </c>
      <c r="Y27" s="61"/>
      <c r="Z27" s="61"/>
      <c r="AA27" s="61"/>
    </row>
    <row r="28" spans="1:30" s="59" customFormat="1" x14ac:dyDescent="0.2">
      <c r="B28" s="60" t="s">
        <v>103</v>
      </c>
      <c r="C28" s="59" t="s">
        <v>44</v>
      </c>
      <c r="E28" s="59">
        <f>IF(OR(E10="-",E10=""),0,IF(OR(E10="o",E10="O"),1,IF(OR(E10="c",E10="C"),2,IF(OR(E10="a",E10="A"),3,IF(OR(E10="p",E10="P"),4,IF(OR(E10="s",E10="S"),5,IF(OR(E10="x",E10="X"),6,10)))))))</f>
        <v>0</v>
      </c>
      <c r="F28" s="59">
        <f t="shared" ref="F28:N28" si="46">IF(OR(F10="-",F10=""),0,IF(OR(F10="o",F10="O"),1,IF(OR(F10="c",F10="C"),2,IF(OR(F10="a",F10="A"),3,IF(OR(F10="p",F10="P"),4,IF(OR(F10="s",F10="S"),5,IF(OR(F10="x",F10="X"),6,10)))))))</f>
        <v>0</v>
      </c>
      <c r="G28" s="59">
        <f t="shared" si="46"/>
        <v>0</v>
      </c>
      <c r="H28" s="59">
        <f t="shared" si="46"/>
        <v>0</v>
      </c>
      <c r="I28" s="59">
        <f t="shared" si="46"/>
        <v>0</v>
      </c>
      <c r="J28" s="59">
        <f t="shared" si="46"/>
        <v>5</v>
      </c>
      <c r="K28" s="59">
        <f t="shared" si="46"/>
        <v>0</v>
      </c>
      <c r="L28" s="59">
        <f t="shared" si="46"/>
        <v>1</v>
      </c>
      <c r="M28" s="59">
        <f t="shared" si="46"/>
        <v>0</v>
      </c>
      <c r="N28" s="59">
        <f t="shared" si="46"/>
        <v>1</v>
      </c>
      <c r="O28" s="59">
        <f t="shared" ref="O28:W28" si="47">IF(OR(O10="-",O10=""),0,IF(OR(O10="o",O10="O"),1,IF(OR(O10="c",O10="C"),2,IF(OR(O10="a",O10="A"),3,IF(OR(O10="p",O10="P"),4,IF(OR(O10="s",O10="S"),5,IF(OR(O10="x",O10="X"),6,10)))))))</f>
        <v>0</v>
      </c>
      <c r="P28" s="59">
        <f t="shared" si="47"/>
        <v>2</v>
      </c>
      <c r="Q28" s="59">
        <f t="shared" si="47"/>
        <v>0</v>
      </c>
      <c r="R28" s="59">
        <f>IF(OR(R10="-",R10=""),0,IF(OR(R10="o",R10="O"),1,IF(OR(R10="c",R10="C"),2,IF(OR(R10="a",R10="A"),3,IF(OR(R10="p",R10="P"),4,IF(OR(R10="s",R10="S"),5,IF(OR(R10="x",R10="X"),6,10)))))))</f>
        <v>1</v>
      </c>
      <c r="S28" s="59">
        <f>IF(OR(S10="-",S10=""),0,IF(OR(S10="o",S10="O"),1,IF(OR(S10="c",S10="C"),2,IF(OR(S10="a",S10="A"),3,IF(OR(S10="p",S10="P"),4,IF(OR(S10="s",S10="S"),5,IF(OR(S10="x",S10="X"),6,10)))))))</f>
        <v>0</v>
      </c>
      <c r="T28" s="59">
        <f t="shared" si="47"/>
        <v>0</v>
      </c>
      <c r="U28" s="59">
        <f>IF(OR(U10="-",U10=""),0,IF(OR(U10="o",U10="O"),1,IF(OR(U10="c",U10="C"),2,IF(OR(U10="a",U10="A"),3,IF(OR(U10="p",U10="P"),4,IF(OR(U10="s",U10="S"),5,IF(OR(U10="x",U10="X"),6,10)))))))</f>
        <v>0</v>
      </c>
      <c r="V28" s="59">
        <f>IF(OR(V10="-",V10=""),0,IF(OR(V10="o",V10="O"),1,IF(OR(V10="c",V10="C"),2,IF(OR(V10="a",V10="A"),3,IF(OR(V10="p",V10="P"),4,IF(OR(V10="s",V10="S"),5,IF(OR(V10="x",V10="X"),6,10)))))))</f>
        <v>0</v>
      </c>
      <c r="W28" s="59">
        <f t="shared" si="47"/>
        <v>0</v>
      </c>
      <c r="Y28" s="61"/>
      <c r="Z28" s="61"/>
      <c r="AA28" s="61"/>
    </row>
    <row r="29" spans="1:30" s="59" customFormat="1" x14ac:dyDescent="0.2">
      <c r="C29" s="62" t="s">
        <v>0</v>
      </c>
      <c r="E29" s="59">
        <f>IF(E6="",0,1)</f>
        <v>0</v>
      </c>
      <c r="F29" s="59">
        <f>IF(F6="",0,1)</f>
        <v>0</v>
      </c>
      <c r="G29" s="59">
        <f t="shared" ref="G29:N29" si="48">IF(G6="",0,1)</f>
        <v>0</v>
      </c>
      <c r="H29" s="59">
        <f t="shared" si="48"/>
        <v>1</v>
      </c>
      <c r="I29" s="59">
        <f t="shared" si="48"/>
        <v>1</v>
      </c>
      <c r="J29" s="59">
        <f t="shared" si="48"/>
        <v>0</v>
      </c>
      <c r="K29" s="59">
        <f t="shared" si="48"/>
        <v>1</v>
      </c>
      <c r="L29" s="59">
        <f t="shared" si="48"/>
        <v>1</v>
      </c>
      <c r="M29" s="59">
        <f t="shared" si="48"/>
        <v>1</v>
      </c>
      <c r="N29" s="59">
        <f t="shared" si="48"/>
        <v>1</v>
      </c>
      <c r="O29" s="59">
        <f t="shared" ref="O29:W29" si="49">IF(O6="",0,1)</f>
        <v>1</v>
      </c>
      <c r="P29" s="59">
        <f t="shared" si="49"/>
        <v>1</v>
      </c>
      <c r="Q29" s="59">
        <f t="shared" si="49"/>
        <v>1</v>
      </c>
      <c r="R29" s="59">
        <f t="shared" ref="R29:S32" si="50">IF(R6="",0,1)</f>
        <v>1</v>
      </c>
      <c r="S29" s="59">
        <f t="shared" si="50"/>
        <v>1</v>
      </c>
      <c r="T29" s="59">
        <f t="shared" si="49"/>
        <v>0</v>
      </c>
      <c r="U29" s="59">
        <f t="shared" ref="U29:V32" si="51">IF(U6="",0,1)</f>
        <v>0</v>
      </c>
      <c r="V29" s="59">
        <f t="shared" si="51"/>
        <v>0</v>
      </c>
      <c r="W29" s="59">
        <f t="shared" si="49"/>
        <v>0</v>
      </c>
      <c r="Y29" s="61"/>
      <c r="Z29" s="61"/>
      <c r="AA29" s="61"/>
    </row>
    <row r="30" spans="1:30" s="59" customFormat="1" x14ac:dyDescent="0.2">
      <c r="C30" s="63" t="s">
        <v>1</v>
      </c>
      <c r="E30" s="59">
        <f t="shared" ref="E30:F32" si="52">IF(E7="",0,1)</f>
        <v>0</v>
      </c>
      <c r="F30" s="59">
        <f t="shared" si="52"/>
        <v>0</v>
      </c>
      <c r="G30" s="59">
        <f t="shared" ref="G30:N30" si="53">IF(G7="",0,1)</f>
        <v>0</v>
      </c>
      <c r="H30" s="59">
        <f t="shared" si="53"/>
        <v>1</v>
      </c>
      <c r="I30" s="59">
        <f t="shared" si="53"/>
        <v>1</v>
      </c>
      <c r="J30" s="59">
        <f t="shared" si="53"/>
        <v>0</v>
      </c>
      <c r="K30" s="59">
        <f t="shared" si="53"/>
        <v>1</v>
      </c>
      <c r="L30" s="59">
        <f t="shared" si="53"/>
        <v>0</v>
      </c>
      <c r="M30" s="59">
        <f t="shared" si="53"/>
        <v>1</v>
      </c>
      <c r="N30" s="59">
        <f t="shared" si="53"/>
        <v>0</v>
      </c>
      <c r="O30" s="59">
        <f t="shared" ref="O30:W30" si="54">IF(O7="",0,1)</f>
        <v>1</v>
      </c>
      <c r="P30" s="59">
        <f t="shared" si="54"/>
        <v>0</v>
      </c>
      <c r="Q30" s="59">
        <f t="shared" si="54"/>
        <v>1</v>
      </c>
      <c r="R30" s="59">
        <f t="shared" si="50"/>
        <v>0</v>
      </c>
      <c r="S30" s="59">
        <f t="shared" si="50"/>
        <v>1</v>
      </c>
      <c r="T30" s="59">
        <f t="shared" si="54"/>
        <v>0</v>
      </c>
      <c r="U30" s="59">
        <f t="shared" si="51"/>
        <v>0</v>
      </c>
      <c r="V30" s="59">
        <f t="shared" si="51"/>
        <v>0</v>
      </c>
      <c r="W30" s="59">
        <f t="shared" si="54"/>
        <v>0</v>
      </c>
      <c r="Y30" s="61"/>
      <c r="Z30" s="61"/>
      <c r="AA30" s="61"/>
    </row>
    <row r="31" spans="1:30" s="59" customFormat="1" x14ac:dyDescent="0.2">
      <c r="C31" s="62" t="s">
        <v>2</v>
      </c>
      <c r="E31" s="59">
        <f t="shared" si="52"/>
        <v>0</v>
      </c>
      <c r="F31" s="59">
        <f t="shared" si="52"/>
        <v>0</v>
      </c>
      <c r="G31" s="59">
        <f t="shared" ref="G31:N31" si="55">IF(G8="",0,1)</f>
        <v>0</v>
      </c>
      <c r="H31" s="59">
        <f t="shared" si="55"/>
        <v>0</v>
      </c>
      <c r="I31" s="59">
        <f t="shared" si="55"/>
        <v>0</v>
      </c>
      <c r="J31" s="59">
        <f t="shared" si="55"/>
        <v>0</v>
      </c>
      <c r="K31" s="59">
        <f t="shared" si="55"/>
        <v>0</v>
      </c>
      <c r="L31" s="59">
        <f t="shared" si="55"/>
        <v>0</v>
      </c>
      <c r="M31" s="59">
        <f t="shared" si="55"/>
        <v>0</v>
      </c>
      <c r="N31" s="59">
        <f t="shared" si="55"/>
        <v>0</v>
      </c>
      <c r="O31" s="59">
        <f t="shared" ref="O31:W31" si="56">IF(O8="",0,1)</f>
        <v>0</v>
      </c>
      <c r="P31" s="59">
        <f t="shared" si="56"/>
        <v>0</v>
      </c>
      <c r="Q31" s="59">
        <f t="shared" si="56"/>
        <v>0</v>
      </c>
      <c r="R31" s="59">
        <f t="shared" si="50"/>
        <v>0</v>
      </c>
      <c r="S31" s="59">
        <f t="shared" si="50"/>
        <v>0</v>
      </c>
      <c r="T31" s="59">
        <f t="shared" si="56"/>
        <v>0</v>
      </c>
      <c r="U31" s="59">
        <f t="shared" si="51"/>
        <v>0</v>
      </c>
      <c r="V31" s="59">
        <f t="shared" si="51"/>
        <v>0</v>
      </c>
      <c r="W31" s="59">
        <f t="shared" si="56"/>
        <v>0</v>
      </c>
      <c r="Y31" s="61"/>
      <c r="Z31" s="61"/>
      <c r="AA31" s="61"/>
    </row>
    <row r="32" spans="1:30" s="59" customFormat="1" x14ac:dyDescent="0.2">
      <c r="C32" s="62" t="s">
        <v>3</v>
      </c>
      <c r="E32" s="59">
        <f t="shared" si="52"/>
        <v>0</v>
      </c>
      <c r="F32" s="59">
        <f t="shared" si="52"/>
        <v>0</v>
      </c>
      <c r="G32" s="59">
        <f t="shared" ref="G32:N32" si="57">IF(G9="",0,1)</f>
        <v>0</v>
      </c>
      <c r="H32" s="59">
        <f t="shared" si="57"/>
        <v>0</v>
      </c>
      <c r="I32" s="59">
        <f t="shared" si="57"/>
        <v>0</v>
      </c>
      <c r="J32" s="59">
        <f t="shared" si="57"/>
        <v>0</v>
      </c>
      <c r="K32" s="59">
        <f t="shared" si="57"/>
        <v>0</v>
      </c>
      <c r="L32" s="59">
        <f t="shared" si="57"/>
        <v>0</v>
      </c>
      <c r="M32" s="59">
        <f t="shared" si="57"/>
        <v>0</v>
      </c>
      <c r="N32" s="59">
        <f t="shared" si="57"/>
        <v>0</v>
      </c>
      <c r="O32" s="59">
        <f t="shared" ref="O32:W32" si="58">IF(O9="",0,1)</f>
        <v>0</v>
      </c>
      <c r="P32" s="59">
        <f t="shared" si="58"/>
        <v>0</v>
      </c>
      <c r="Q32" s="59">
        <f t="shared" si="58"/>
        <v>0</v>
      </c>
      <c r="R32" s="59">
        <f t="shared" si="50"/>
        <v>0</v>
      </c>
      <c r="S32" s="59">
        <f t="shared" si="50"/>
        <v>0</v>
      </c>
      <c r="T32" s="59">
        <f t="shared" si="58"/>
        <v>0</v>
      </c>
      <c r="U32" s="59">
        <f t="shared" si="51"/>
        <v>0</v>
      </c>
      <c r="V32" s="59">
        <f t="shared" si="51"/>
        <v>0</v>
      </c>
      <c r="W32" s="59">
        <f t="shared" si="58"/>
        <v>0</v>
      </c>
      <c r="Y32" s="61"/>
      <c r="Z32" s="61"/>
      <c r="AA32" s="61"/>
    </row>
    <row r="33" spans="2:27" s="59" customFormat="1" x14ac:dyDescent="0.2">
      <c r="C33" s="62" t="s">
        <v>27</v>
      </c>
      <c r="E33" s="59">
        <f>IF(E13="",0,1)</f>
        <v>0</v>
      </c>
      <c r="F33" s="59">
        <f t="shared" ref="F33:N33" si="59">IF(F13="",0,1)</f>
        <v>0</v>
      </c>
      <c r="G33" s="59">
        <f t="shared" si="59"/>
        <v>0</v>
      </c>
      <c r="H33" s="59">
        <f t="shared" si="59"/>
        <v>0</v>
      </c>
      <c r="I33" s="59">
        <f t="shared" si="59"/>
        <v>0</v>
      </c>
      <c r="J33" s="59">
        <f t="shared" si="59"/>
        <v>0</v>
      </c>
      <c r="K33" s="59">
        <f t="shared" si="59"/>
        <v>0</v>
      </c>
      <c r="L33" s="59">
        <f t="shared" si="59"/>
        <v>0</v>
      </c>
      <c r="M33" s="59">
        <f t="shared" si="59"/>
        <v>0</v>
      </c>
      <c r="N33" s="59">
        <f t="shared" si="59"/>
        <v>0</v>
      </c>
      <c r="O33" s="59">
        <f t="shared" ref="O33:W33" si="60">IF(O13="",0,1)</f>
        <v>0</v>
      </c>
      <c r="P33" s="59">
        <f t="shared" si="60"/>
        <v>0</v>
      </c>
      <c r="Q33" s="59">
        <f t="shared" si="60"/>
        <v>0</v>
      </c>
      <c r="R33" s="59">
        <f>IF(R13="",0,1)</f>
        <v>0</v>
      </c>
      <c r="S33" s="59">
        <f>IF(S13="",0,1)</f>
        <v>0</v>
      </c>
      <c r="T33" s="59">
        <f t="shared" si="60"/>
        <v>0</v>
      </c>
      <c r="U33" s="59">
        <f>IF(U13="",0,1)</f>
        <v>0</v>
      </c>
      <c r="V33" s="59">
        <f>IF(V13="",0,1)</f>
        <v>0</v>
      </c>
      <c r="W33" s="59">
        <f t="shared" si="60"/>
        <v>0</v>
      </c>
      <c r="Y33" s="61"/>
      <c r="Z33" s="61"/>
      <c r="AA33" s="61"/>
    </row>
    <row r="34" spans="2:27" s="59" customFormat="1" ht="25.5" x14ac:dyDescent="0.2">
      <c r="B34" s="64" t="s">
        <v>104</v>
      </c>
      <c r="C34" s="65"/>
      <c r="E34" s="59">
        <f>E29+E30+E31+E32</f>
        <v>0</v>
      </c>
      <c r="F34" s="59">
        <f t="shared" ref="F34:N34" si="61">F29+F30+F31+F32</f>
        <v>0</v>
      </c>
      <c r="G34" s="59">
        <f t="shared" si="61"/>
        <v>0</v>
      </c>
      <c r="H34" s="59">
        <f t="shared" si="61"/>
        <v>2</v>
      </c>
      <c r="I34" s="59">
        <f t="shared" si="61"/>
        <v>2</v>
      </c>
      <c r="J34" s="59">
        <f t="shared" si="61"/>
        <v>0</v>
      </c>
      <c r="K34" s="59">
        <f t="shared" si="61"/>
        <v>2</v>
      </c>
      <c r="L34" s="59">
        <f t="shared" si="61"/>
        <v>1</v>
      </c>
      <c r="M34" s="59">
        <f t="shared" si="61"/>
        <v>2</v>
      </c>
      <c r="N34" s="59">
        <f t="shared" si="61"/>
        <v>1</v>
      </c>
      <c r="O34" s="59">
        <f t="shared" ref="O34:W34" si="62">O29+O30+O31+O32</f>
        <v>2</v>
      </c>
      <c r="P34" s="59">
        <f t="shared" si="62"/>
        <v>1</v>
      </c>
      <c r="Q34" s="59">
        <f t="shared" si="62"/>
        <v>2</v>
      </c>
      <c r="R34" s="59">
        <f t="shared" si="62"/>
        <v>1</v>
      </c>
      <c r="S34" s="59">
        <f t="shared" si="62"/>
        <v>2</v>
      </c>
      <c r="T34" s="59">
        <f t="shared" si="62"/>
        <v>0</v>
      </c>
      <c r="U34" s="59">
        <f t="shared" si="62"/>
        <v>0</v>
      </c>
      <c r="V34" s="59">
        <f t="shared" si="62"/>
        <v>0</v>
      </c>
      <c r="W34" s="59">
        <f t="shared" si="62"/>
        <v>0</v>
      </c>
      <c r="Y34" s="61"/>
      <c r="Z34" s="61"/>
      <c r="AA34" s="61"/>
    </row>
    <row r="35" spans="2:27" s="59" customFormat="1" x14ac:dyDescent="0.2">
      <c r="B35" s="59" t="s">
        <v>90</v>
      </c>
      <c r="C35" s="65" t="s">
        <v>91</v>
      </c>
      <c r="E35" s="59">
        <f>IF(E11&lt;&gt;"",E11/3600*1.2,IF(E12&lt;&gt;"",E12*1.2,0))</f>
        <v>0</v>
      </c>
      <c r="F35" s="59">
        <f>IF(OR(F11&lt;&gt;"",F12&lt;&gt;"",F28=0),IF(F11&lt;&gt;"",F11/3600*1.2,IF(F12&lt;&gt;"",F12*1.2,0)),IF(OR(F28&lt;=4,F28=6),E35,#N/A))</f>
        <v>0</v>
      </c>
      <c r="G35" s="59">
        <f>IF(OR(G11&lt;&gt;"",G12&lt;&gt;"",G28=0),IF(G11&lt;&gt;"",G11/3600*1.2,IF(G12&lt;&gt;"",G12*1.2,0)),IF(OR(G28&lt;=4,G28=6),F35,IF(G28=5,F35+E35,#N/A)))</f>
        <v>0</v>
      </c>
      <c r="H35" s="59">
        <f t="shared" ref="H35:N35" si="63">IF(OR(H11&lt;&gt;"",H12&lt;&gt;"",H28=0),IF(H11&lt;&gt;"",H11/3600*1.2,IF(H12&lt;&gt;"",H12*1.2,0)),IF(OR(H28&lt;=4,H28=6),G35,IF(H28=5,G35+F35,#N/A)))</f>
        <v>2</v>
      </c>
      <c r="I35" s="59">
        <f t="shared" si="63"/>
        <v>3.333333333333333</v>
      </c>
      <c r="J35" s="59">
        <f t="shared" si="63"/>
        <v>5.333333333333333</v>
      </c>
      <c r="K35" s="59">
        <f t="shared" si="63"/>
        <v>5.333333333333333</v>
      </c>
      <c r="L35" s="59">
        <f t="shared" si="63"/>
        <v>5.333333333333333</v>
      </c>
      <c r="M35" s="59">
        <f t="shared" si="63"/>
        <v>5.333333333333333</v>
      </c>
      <c r="N35" s="59">
        <f t="shared" si="63"/>
        <v>5.333333333333333</v>
      </c>
      <c r="O35" s="59">
        <f t="shared" ref="O35" si="64">IF(OR(O11&lt;&gt;"",O12&lt;&gt;"",O28=0),IF(O11&lt;&gt;"",O11/3600*1.2,IF(O12&lt;&gt;"",O12*1.2,0)),IF(OR(O28&lt;=4,O28=6),N35,IF(O28=5,N35+M35,#N/A)))</f>
        <v>5.333333333333333</v>
      </c>
      <c r="P35" s="59">
        <f t="shared" ref="P35" si="65">IF(OR(P11&lt;&gt;"",P12&lt;&gt;"",P28=0),IF(P11&lt;&gt;"",P11/3600*1.2,IF(P12&lt;&gt;"",P12*1.2,0)),IF(OR(P28&lt;=4,P28=6),O35,IF(P28=5,O35+N35,#N/A)))</f>
        <v>5.333333333333333</v>
      </c>
      <c r="Q35" s="59">
        <f t="shared" ref="Q35" si="66">IF(OR(Q11&lt;&gt;"",Q12&lt;&gt;"",Q28=0),IF(Q11&lt;&gt;"",Q11/3600*1.2,IF(Q12&lt;&gt;"",Q12*1.2,0)),IF(OR(Q28&lt;=4,Q28=6),P35,IF(Q28=5,P35+O35,#N/A)))</f>
        <v>5.333333333333333</v>
      </c>
      <c r="R35" s="59">
        <f>IF(OR(R11&lt;&gt;"",R12&lt;&gt;"",R28=0),IF(R11&lt;&gt;"",R11/3600*1.2,IF(R12&lt;&gt;"",R12*1.2,0)),IF(OR(R28&lt;=4,R28=6),Q35,IF(R28=5,Q35+P35,#N/A)))</f>
        <v>5.333333333333333</v>
      </c>
      <c r="S35" s="59">
        <f>IF(OR(S11&lt;&gt;"",S12&lt;&gt;"",S28=0),IF(S11&lt;&gt;"",S11/3600*1.2,IF(S12&lt;&gt;"",S12*1.2,0)),IF(OR(S28&lt;=4,S28=6),R35,IF(S28=5,R35+Q35,#N/A)))</f>
        <v>5.333333333333333</v>
      </c>
      <c r="T35" s="59">
        <f>IF(OR(T11&lt;&gt;"",T12&lt;&gt;"",T28=0),IF(T11&lt;&gt;"",T11/3600*1.2,IF(T12&lt;&gt;"",T12*1.2,0)),IF(OR(T28&lt;=4,T28=6),#REF!,IF(T28=5,#REF!+S35,#N/A)))</f>
        <v>0</v>
      </c>
      <c r="U35" s="59">
        <f>IF(OR(U11&lt;&gt;"",U12&lt;&gt;"",U28=0),IF(U11&lt;&gt;"",U11/3600*1.2,IF(U12&lt;&gt;"",U12*1.2,0)),IF(OR(U28&lt;=4,U28=6),T35,IF(U28=5,T35+#REF!,#N/A)))</f>
        <v>0</v>
      </c>
      <c r="V35" s="59">
        <f>IF(OR(V11&lt;&gt;"",V12&lt;&gt;"",V28=0),IF(V11&lt;&gt;"",V11/3600*1.2,IF(V12&lt;&gt;"",V12*1.2,0)),IF(OR(V28&lt;=4,V28=6),U35,IF(V28=5,U35+T35,#N/A)))</f>
        <v>0</v>
      </c>
      <c r="W35" s="59">
        <f t="shared" ref="W35" si="67">IF(OR(W11&lt;&gt;"",W12&lt;&gt;"",W28=0),IF(W11&lt;&gt;"",W11/3600*1.2,IF(W12&lt;&gt;"",W12*1.2,0)),IF(OR(W28&lt;=4,W28=6),V35,IF(W28=5,V35+U35,#N/A)))</f>
        <v>0</v>
      </c>
      <c r="Y35" s="61"/>
      <c r="Z35" s="61"/>
      <c r="AA35" s="61"/>
    </row>
    <row r="36" spans="2:27" s="59" customFormat="1" ht="25.5" x14ac:dyDescent="0.2">
      <c r="B36" s="66" t="s">
        <v>132</v>
      </c>
      <c r="C36" s="62" t="s">
        <v>0</v>
      </c>
      <c r="E36" s="59" t="str">
        <f>IF(E29=1,E6,"")</f>
        <v/>
      </c>
      <c r="F36" s="59" t="str">
        <f t="shared" ref="F36:N36" si="68">IF(F29=1,F6,"")</f>
        <v/>
      </c>
      <c r="G36" s="59" t="str">
        <f t="shared" si="68"/>
        <v/>
      </c>
      <c r="H36" s="59">
        <f t="shared" si="68"/>
        <v>-25</v>
      </c>
      <c r="I36" s="59">
        <f t="shared" si="68"/>
        <v>20</v>
      </c>
      <c r="J36" s="59" t="str">
        <f t="shared" si="68"/>
        <v/>
      </c>
      <c r="K36" s="59">
        <f t="shared" si="68"/>
        <v>4.277020603210544</v>
      </c>
      <c r="L36" s="59">
        <f t="shared" si="68"/>
        <v>8</v>
      </c>
      <c r="M36" s="59">
        <f t="shared" si="68"/>
        <v>8</v>
      </c>
      <c r="N36" s="59">
        <f t="shared" si="68"/>
        <v>20</v>
      </c>
      <c r="O36" s="59">
        <f t="shared" ref="O36:W36" si="69">IF(O29=1,O6,"")</f>
        <v>35</v>
      </c>
      <c r="P36" s="59">
        <f t="shared" si="69"/>
        <v>16</v>
      </c>
      <c r="Q36" s="59">
        <f t="shared" si="69"/>
        <v>16</v>
      </c>
      <c r="R36" s="59">
        <f>IF(R29=1,R6,"")</f>
        <v>20</v>
      </c>
      <c r="S36" s="59">
        <f>IF(S29=1,S6,"")</f>
        <v>20</v>
      </c>
      <c r="T36" s="59" t="str">
        <f t="shared" si="69"/>
        <v/>
      </c>
      <c r="U36" s="59" t="str">
        <f>IF(U29=1,U6,"")</f>
        <v/>
      </c>
      <c r="V36" s="59" t="str">
        <f>IF(V29=1,V6,"")</f>
        <v/>
      </c>
      <c r="W36" s="59" t="str">
        <f t="shared" si="69"/>
        <v/>
      </c>
      <c r="Y36" s="61"/>
      <c r="Z36" s="61"/>
      <c r="AA36" s="61"/>
    </row>
    <row r="37" spans="2:27" s="59" customFormat="1" x14ac:dyDescent="0.2">
      <c r="C37" s="63" t="s">
        <v>1</v>
      </c>
      <c r="E37" s="59" t="str">
        <f>IF(E30=1,E7/100,"")</f>
        <v/>
      </c>
      <c r="F37" s="59" t="str">
        <f t="shared" ref="F37:N37" si="70">IF(F30=1,F7/100,"")</f>
        <v/>
      </c>
      <c r="G37" s="59" t="str">
        <f t="shared" si="70"/>
        <v/>
      </c>
      <c r="H37" s="59">
        <f t="shared" si="70"/>
        <v>0.2</v>
      </c>
      <c r="I37" s="59">
        <f t="shared" si="70"/>
        <v>0.6</v>
      </c>
      <c r="J37" s="59" t="str">
        <f t="shared" si="70"/>
        <v/>
      </c>
      <c r="K37" s="59">
        <f t="shared" si="70"/>
        <v>0.01</v>
      </c>
      <c r="L37" s="59" t="str">
        <f t="shared" si="70"/>
        <v/>
      </c>
      <c r="M37" s="59">
        <f t="shared" si="70"/>
        <v>7.7246107631210339E-5</v>
      </c>
      <c r="N37" s="59" t="str">
        <f t="shared" si="70"/>
        <v/>
      </c>
      <c r="O37" s="59">
        <f t="shared" ref="O37:W37" si="71">IF(O30=1,O7/100,"")</f>
        <v>0.4</v>
      </c>
      <c r="P37" s="59" t="str">
        <f t="shared" si="71"/>
        <v/>
      </c>
      <c r="Q37" s="59">
        <f t="shared" si="71"/>
        <v>7.5771330367416147E-3</v>
      </c>
      <c r="R37" s="59" t="str">
        <f>IF(R30=1,R7/100,"")</f>
        <v/>
      </c>
      <c r="S37" s="59">
        <f>IF(S30=1,S7/100,"")</f>
        <v>5.889954581965501E-5</v>
      </c>
      <c r="T37" s="59" t="str">
        <f t="shared" si="71"/>
        <v/>
      </c>
      <c r="U37" s="59" t="str">
        <f>IF(U30=1,U7/100,"")</f>
        <v/>
      </c>
      <c r="V37" s="59" t="str">
        <f>IF(V30=1,V7/100,"")</f>
        <v/>
      </c>
      <c r="W37" s="59" t="str">
        <f t="shared" si="71"/>
        <v/>
      </c>
      <c r="Y37" s="61"/>
      <c r="Z37" s="61"/>
      <c r="AA37" s="61"/>
    </row>
    <row r="38" spans="2:27" s="59" customFormat="1" x14ac:dyDescent="0.2">
      <c r="C38" s="62" t="s">
        <v>2</v>
      </c>
      <c r="E38" s="59" t="str">
        <f>IF(E31=1,E8,"")</f>
        <v/>
      </c>
      <c r="F38" s="59" t="str">
        <f t="shared" ref="F38:N38" si="72">IF(F31=1,F8,"")</f>
        <v/>
      </c>
      <c r="G38" s="59" t="str">
        <f t="shared" si="72"/>
        <v/>
      </c>
      <c r="H38" s="59" t="str">
        <f t="shared" si="72"/>
        <v/>
      </c>
      <c r="I38" s="59" t="str">
        <f t="shared" si="72"/>
        <v/>
      </c>
      <c r="J38" s="59" t="str">
        <f t="shared" si="72"/>
        <v/>
      </c>
      <c r="K38" s="59" t="str">
        <f t="shared" si="72"/>
        <v/>
      </c>
      <c r="L38" s="59" t="str">
        <f t="shared" si="72"/>
        <v/>
      </c>
      <c r="M38" s="59" t="str">
        <f t="shared" si="72"/>
        <v/>
      </c>
      <c r="N38" s="59" t="str">
        <f t="shared" si="72"/>
        <v/>
      </c>
      <c r="O38" s="59" t="str">
        <f t="shared" ref="O38:W38" si="73">IF(O31=1,O8,"")</f>
        <v/>
      </c>
      <c r="P38" s="59" t="str">
        <f t="shared" si="73"/>
        <v/>
      </c>
      <c r="Q38" s="59" t="str">
        <f t="shared" si="73"/>
        <v/>
      </c>
      <c r="R38" s="59" t="str">
        <f>IF(R31=1,R8,"")</f>
        <v/>
      </c>
      <c r="S38" s="59" t="str">
        <f>IF(S31=1,S8,"")</f>
        <v/>
      </c>
      <c r="T38" s="59" t="str">
        <f t="shared" si="73"/>
        <v/>
      </c>
      <c r="U38" s="59" t="str">
        <f>IF(U31=1,U8,"")</f>
        <v/>
      </c>
      <c r="V38" s="59" t="str">
        <f>IF(V31=1,V8,"")</f>
        <v/>
      </c>
      <c r="W38" s="59" t="str">
        <f t="shared" si="73"/>
        <v/>
      </c>
      <c r="Y38" s="61"/>
      <c r="Z38" s="61"/>
      <c r="AA38" s="61"/>
    </row>
    <row r="39" spans="2:27" s="59" customFormat="1" x14ac:dyDescent="0.2">
      <c r="C39" s="62" t="s">
        <v>3</v>
      </c>
      <c r="E39" s="59" t="str">
        <f>IF(E32=1,E9,"")</f>
        <v/>
      </c>
      <c r="F39" s="59" t="str">
        <f t="shared" ref="F39:N39" si="74">IF(F32=1,F9,"")</f>
        <v/>
      </c>
      <c r="G39" s="59" t="str">
        <f t="shared" si="74"/>
        <v/>
      </c>
      <c r="H39" s="59" t="str">
        <f t="shared" si="74"/>
        <v/>
      </c>
      <c r="I39" s="59" t="str">
        <f t="shared" si="74"/>
        <v/>
      </c>
      <c r="J39" s="59" t="str">
        <f t="shared" si="74"/>
        <v/>
      </c>
      <c r="K39" s="59" t="str">
        <f t="shared" si="74"/>
        <v/>
      </c>
      <c r="L39" s="59" t="str">
        <f t="shared" si="74"/>
        <v/>
      </c>
      <c r="M39" s="59" t="str">
        <f t="shared" si="74"/>
        <v/>
      </c>
      <c r="N39" s="59" t="str">
        <f t="shared" si="74"/>
        <v/>
      </c>
      <c r="O39" s="59" t="str">
        <f t="shared" ref="O39:W39" si="75">IF(O32=1,O9,"")</f>
        <v/>
      </c>
      <c r="P39" s="59" t="str">
        <f t="shared" si="75"/>
        <v/>
      </c>
      <c r="Q39" s="59" t="str">
        <f t="shared" si="75"/>
        <v/>
      </c>
      <c r="R39" s="59" t="str">
        <f>IF(R32=1,R9,"")</f>
        <v/>
      </c>
      <c r="S39" s="59" t="str">
        <f>IF(S32=1,S9,"")</f>
        <v/>
      </c>
      <c r="T39" s="59" t="str">
        <f t="shared" si="75"/>
        <v/>
      </c>
      <c r="U39" s="59" t="str">
        <f>IF(U32=1,U9,"")</f>
        <v/>
      </c>
      <c r="V39" s="59" t="str">
        <f>IF(V32=1,V9,"")</f>
        <v/>
      </c>
      <c r="W39" s="59" t="str">
        <f t="shared" si="75"/>
        <v/>
      </c>
      <c r="Y39" s="61"/>
      <c r="Z39" s="61"/>
      <c r="AA39" s="61"/>
    </row>
    <row r="40" spans="2:27" s="59" customFormat="1" x14ac:dyDescent="0.2">
      <c r="B40" s="59" t="s">
        <v>105</v>
      </c>
      <c r="C40" s="59" t="s">
        <v>36</v>
      </c>
      <c r="E40" s="67" t="b">
        <f>OR(E34&gt;2,E33=1)</f>
        <v>0</v>
      </c>
      <c r="F40" s="67" t="b">
        <f t="shared" ref="F40:N40" si="76">OR(F34&gt;2,F33=1)</f>
        <v>0</v>
      </c>
      <c r="G40" s="67" t="b">
        <f t="shared" si="76"/>
        <v>0</v>
      </c>
      <c r="H40" s="67" t="b">
        <f t="shared" si="76"/>
        <v>0</v>
      </c>
      <c r="I40" s="67" t="b">
        <f t="shared" si="76"/>
        <v>0</v>
      </c>
      <c r="J40" s="67" t="b">
        <f t="shared" si="76"/>
        <v>0</v>
      </c>
      <c r="K40" s="67" t="b">
        <f t="shared" si="76"/>
        <v>0</v>
      </c>
      <c r="L40" s="67" t="b">
        <f t="shared" si="76"/>
        <v>0</v>
      </c>
      <c r="M40" s="111" t="b">
        <f t="shared" si="76"/>
        <v>0</v>
      </c>
      <c r="N40" s="111" t="b">
        <f t="shared" si="76"/>
        <v>0</v>
      </c>
      <c r="O40" s="111" t="b">
        <f t="shared" ref="O40:W40" si="77">OR(O34&gt;2,O33=1)</f>
        <v>0</v>
      </c>
      <c r="P40" s="111" t="b">
        <f t="shared" si="77"/>
        <v>0</v>
      </c>
      <c r="Q40" s="111" t="b">
        <f t="shared" si="77"/>
        <v>0</v>
      </c>
      <c r="R40" s="111" t="b">
        <f t="shared" si="77"/>
        <v>0</v>
      </c>
      <c r="S40" s="111" t="b">
        <f t="shared" si="77"/>
        <v>0</v>
      </c>
      <c r="T40" s="111" t="b">
        <f t="shared" si="77"/>
        <v>0</v>
      </c>
      <c r="U40" s="111" t="b">
        <f t="shared" si="77"/>
        <v>0</v>
      </c>
      <c r="V40" s="111" t="b">
        <f t="shared" si="77"/>
        <v>0</v>
      </c>
      <c r="W40" s="111" t="b">
        <f t="shared" si="77"/>
        <v>0</v>
      </c>
      <c r="Y40" s="61"/>
      <c r="Z40" s="61"/>
      <c r="AA40" s="61"/>
    </row>
    <row r="41" spans="2:27" s="59" customFormat="1" x14ac:dyDescent="0.2">
      <c r="B41" s="59" t="s">
        <v>47</v>
      </c>
      <c r="C41" s="59" t="s">
        <v>36</v>
      </c>
      <c r="E41" s="67" t="b">
        <f>E34=1</f>
        <v>0</v>
      </c>
      <c r="F41" s="67" t="b">
        <f t="shared" ref="F41:N41" si="78">F34=1</f>
        <v>0</v>
      </c>
      <c r="G41" s="67" t="b">
        <f t="shared" si="78"/>
        <v>0</v>
      </c>
      <c r="H41" s="67" t="b">
        <f t="shared" si="78"/>
        <v>0</v>
      </c>
      <c r="I41" s="67" t="b">
        <f t="shared" si="78"/>
        <v>0</v>
      </c>
      <c r="J41" s="67" t="b">
        <f t="shared" si="78"/>
        <v>0</v>
      </c>
      <c r="K41" s="67" t="b">
        <f t="shared" si="78"/>
        <v>0</v>
      </c>
      <c r="L41" s="67" t="b">
        <f t="shared" si="78"/>
        <v>1</v>
      </c>
      <c r="M41" s="111" t="b">
        <f t="shared" si="78"/>
        <v>0</v>
      </c>
      <c r="N41" s="111" t="b">
        <f t="shared" si="78"/>
        <v>1</v>
      </c>
      <c r="O41" s="111" t="b">
        <f t="shared" ref="O41:W41" si="79">O34=1</f>
        <v>0</v>
      </c>
      <c r="P41" s="111" t="b">
        <f t="shared" si="79"/>
        <v>1</v>
      </c>
      <c r="Q41" s="111" t="b">
        <f t="shared" si="79"/>
        <v>0</v>
      </c>
      <c r="R41" s="111" t="b">
        <f t="shared" si="79"/>
        <v>1</v>
      </c>
      <c r="S41" s="111" t="b">
        <f t="shared" si="79"/>
        <v>0</v>
      </c>
      <c r="T41" s="111" t="b">
        <f t="shared" si="79"/>
        <v>0</v>
      </c>
      <c r="U41" s="111" t="b">
        <f t="shared" si="79"/>
        <v>0</v>
      </c>
      <c r="V41" s="111" t="b">
        <f t="shared" si="79"/>
        <v>0</v>
      </c>
      <c r="W41" s="111" t="b">
        <f t="shared" si="79"/>
        <v>0</v>
      </c>
      <c r="Y41" s="61"/>
      <c r="Z41" s="61"/>
      <c r="AA41" s="61"/>
    </row>
    <row r="42" spans="2:27" s="59" customFormat="1" x14ac:dyDescent="0.2">
      <c r="B42" s="59" t="s">
        <v>36</v>
      </c>
      <c r="C42" s="59" t="s">
        <v>36</v>
      </c>
      <c r="E42" s="67" t="b">
        <f>E34=0</f>
        <v>1</v>
      </c>
      <c r="F42" s="67" t="b">
        <f t="shared" ref="F42:N42" si="80">F34=0</f>
        <v>1</v>
      </c>
      <c r="G42" s="67" t="b">
        <f t="shared" si="80"/>
        <v>1</v>
      </c>
      <c r="H42" s="67" t="b">
        <f t="shared" si="80"/>
        <v>0</v>
      </c>
      <c r="I42" s="67" t="b">
        <f t="shared" si="80"/>
        <v>0</v>
      </c>
      <c r="J42" s="67" t="b">
        <f t="shared" si="80"/>
        <v>1</v>
      </c>
      <c r="K42" s="67" t="b">
        <f t="shared" si="80"/>
        <v>0</v>
      </c>
      <c r="L42" s="67" t="b">
        <f t="shared" si="80"/>
        <v>0</v>
      </c>
      <c r="M42" s="111" t="b">
        <f t="shared" si="80"/>
        <v>0</v>
      </c>
      <c r="N42" s="111" t="b">
        <f t="shared" si="80"/>
        <v>0</v>
      </c>
      <c r="O42" s="111" t="b">
        <f t="shared" ref="O42:W42" si="81">O34=0</f>
        <v>0</v>
      </c>
      <c r="P42" s="111" t="b">
        <f t="shared" si="81"/>
        <v>0</v>
      </c>
      <c r="Q42" s="111" t="b">
        <f t="shared" si="81"/>
        <v>0</v>
      </c>
      <c r="R42" s="111" t="b">
        <f t="shared" si="81"/>
        <v>0</v>
      </c>
      <c r="S42" s="111" t="b">
        <f t="shared" si="81"/>
        <v>0</v>
      </c>
      <c r="T42" s="111" t="b">
        <f t="shared" si="81"/>
        <v>1</v>
      </c>
      <c r="U42" s="111" t="b">
        <f t="shared" si="81"/>
        <v>1</v>
      </c>
      <c r="V42" s="111" t="b">
        <f t="shared" si="81"/>
        <v>1</v>
      </c>
      <c r="W42" s="111" t="b">
        <f t="shared" si="81"/>
        <v>1</v>
      </c>
      <c r="Y42" s="61"/>
      <c r="Z42" s="61"/>
      <c r="AA42" s="61"/>
    </row>
    <row r="43" spans="2:27" s="59" customFormat="1" x14ac:dyDescent="0.2">
      <c r="B43" s="65"/>
      <c r="Y43" s="61"/>
      <c r="Z43" s="61"/>
      <c r="AA43" s="61"/>
    </row>
    <row r="44" spans="2:27" s="59" customFormat="1" ht="25.5" x14ac:dyDescent="0.2">
      <c r="B44" s="66" t="s">
        <v>96</v>
      </c>
      <c r="C44" s="62" t="s">
        <v>0</v>
      </c>
      <c r="E44" s="68" t="str">
        <f>""</f>
        <v/>
      </c>
      <c r="F44" s="59" t="str">
        <f t="shared" ref="F44:N44" si="82">IF(F29=1,F6,"")</f>
        <v/>
      </c>
      <c r="G44" s="59" t="str">
        <f t="shared" si="82"/>
        <v/>
      </c>
      <c r="H44" s="59">
        <f t="shared" si="82"/>
        <v>-25</v>
      </c>
      <c r="I44" s="59">
        <f t="shared" si="82"/>
        <v>20</v>
      </c>
      <c r="J44" s="59" t="str">
        <f t="shared" si="82"/>
        <v/>
      </c>
      <c r="K44" s="59">
        <f t="shared" si="82"/>
        <v>4.277020603210544</v>
      </c>
      <c r="L44" s="59">
        <f t="shared" si="82"/>
        <v>8</v>
      </c>
      <c r="M44" s="59">
        <f t="shared" si="82"/>
        <v>8</v>
      </c>
      <c r="N44" s="59">
        <f t="shared" si="82"/>
        <v>20</v>
      </c>
      <c r="O44" s="59">
        <f t="shared" ref="O44:W44" si="83">IF(O29=1,O6,"")</f>
        <v>35</v>
      </c>
      <c r="P44" s="59">
        <f t="shared" si="83"/>
        <v>16</v>
      </c>
      <c r="Q44" s="59">
        <f t="shared" si="83"/>
        <v>16</v>
      </c>
      <c r="R44" s="59">
        <f>IF(R29=1,R6,"")</f>
        <v>20</v>
      </c>
      <c r="S44" s="59">
        <f>IF(S29=1,S6,"")</f>
        <v>20</v>
      </c>
      <c r="T44" s="59" t="str">
        <f t="shared" si="83"/>
        <v/>
      </c>
      <c r="U44" s="59" t="str">
        <f>IF(U29=1,U6,"")</f>
        <v/>
      </c>
      <c r="V44" s="59" t="str">
        <f>IF(V29=1,V6,"")</f>
        <v/>
      </c>
      <c r="W44" s="59" t="str">
        <f t="shared" si="83"/>
        <v/>
      </c>
      <c r="Y44" s="61"/>
      <c r="Z44" s="61"/>
      <c r="AA44" s="61"/>
    </row>
    <row r="45" spans="2:27" s="59" customFormat="1" x14ac:dyDescent="0.2">
      <c r="C45" s="63" t="s">
        <v>1</v>
      </c>
      <c r="E45" s="68" t="str">
        <f>""</f>
        <v/>
      </c>
      <c r="F45" s="68" t="str">
        <f>""</f>
        <v/>
      </c>
      <c r="G45" s="68" t="str">
        <f>""</f>
        <v/>
      </c>
      <c r="H45" s="68" t="str">
        <f>""</f>
        <v/>
      </c>
      <c r="I45" s="68" t="str">
        <f>""</f>
        <v/>
      </c>
      <c r="J45" s="68" t="str">
        <f>""</f>
        <v/>
      </c>
      <c r="K45" s="68" t="str">
        <f>""</f>
        <v/>
      </c>
      <c r="L45" s="68" t="str">
        <f>""</f>
        <v/>
      </c>
      <c r="M45" s="68" t="str">
        <f>""</f>
        <v/>
      </c>
      <c r="N45" s="68" t="str">
        <f>""</f>
        <v/>
      </c>
      <c r="O45" s="68" t="str">
        <f>""</f>
        <v/>
      </c>
      <c r="P45" s="68" t="str">
        <f>""</f>
        <v/>
      </c>
      <c r="Q45" s="68" t="str">
        <f>""</f>
        <v/>
      </c>
      <c r="R45" s="68" t="str">
        <f>""</f>
        <v/>
      </c>
      <c r="S45" s="68" t="str">
        <f>""</f>
        <v/>
      </c>
      <c r="T45" s="68" t="str">
        <f>""</f>
        <v/>
      </c>
      <c r="U45" s="68" t="str">
        <f>""</f>
        <v/>
      </c>
      <c r="V45" s="68" t="str">
        <f>""</f>
        <v/>
      </c>
      <c r="W45" s="68" t="str">
        <f>""</f>
        <v/>
      </c>
      <c r="Y45" s="61"/>
      <c r="Z45" s="61"/>
      <c r="AA45" s="61"/>
    </row>
    <row r="46" spans="2:27" s="59" customFormat="1" x14ac:dyDescent="0.2">
      <c r="C46" s="62" t="s">
        <v>2</v>
      </c>
      <c r="E46" s="68" t="str">
        <f>""</f>
        <v/>
      </c>
      <c r="F46" s="69" t="str">
        <f>E18</f>
        <v/>
      </c>
      <c r="G46" s="69" t="str">
        <f t="shared" ref="G46:N46" si="84">F18</f>
        <v/>
      </c>
      <c r="H46" s="69" t="str">
        <f t="shared" si="84"/>
        <v/>
      </c>
      <c r="I46" s="69">
        <f t="shared" si="84"/>
        <v>8.3203757830561539E-2</v>
      </c>
      <c r="J46" s="69">
        <f t="shared" si="84"/>
        <v>9.3757233081908904</v>
      </c>
      <c r="K46" s="69">
        <f t="shared" si="84"/>
        <v>5.4957390094007232</v>
      </c>
      <c r="L46" s="69">
        <f t="shared" si="84"/>
        <v>5.4480985171597482E-2</v>
      </c>
      <c r="M46" s="69">
        <f t="shared" si="84"/>
        <v>5.4480985171597482E-2</v>
      </c>
      <c r="N46" s="69">
        <f t="shared" si="84"/>
        <v>5.4476262829484417E-4</v>
      </c>
      <c r="O46" s="69">
        <f t="shared" ref="O46" si="85">N18</f>
        <v>5.4476262829484417E-4</v>
      </c>
      <c r="P46" s="69">
        <f t="shared" ref="P46" si="86">O18</f>
        <v>15.17511246915182</v>
      </c>
      <c r="Q46" s="69">
        <f t="shared" ref="Q46" si="87">P18</f>
        <v>9.2012211080269264</v>
      </c>
      <c r="R46" s="69">
        <f t="shared" ref="R46" si="88">Q18</f>
        <v>9.0684559843778378E-2</v>
      </c>
      <c r="S46" s="69">
        <f t="shared" ref="S46" si="89">R18</f>
        <v>9.0684559843778378E-2</v>
      </c>
      <c r="T46" s="69" t="e">
        <f>#REF!</f>
        <v>#REF!</v>
      </c>
      <c r="U46" s="69" t="str">
        <f t="shared" ref="U46" si="90">T18</f>
        <v/>
      </c>
      <c r="V46" s="69" t="str">
        <f t="shared" ref="V46" si="91">U18</f>
        <v/>
      </c>
      <c r="W46" s="69" t="str">
        <f t="shared" ref="W46" si="92">V18</f>
        <v/>
      </c>
      <c r="Y46" s="61"/>
      <c r="Z46" s="61"/>
      <c r="AA46" s="61"/>
    </row>
    <row r="47" spans="2:27" s="59" customFormat="1" x14ac:dyDescent="0.2">
      <c r="C47" s="62" t="s">
        <v>3</v>
      </c>
      <c r="E47" s="68" t="e">
        <f>IF(E29=1,"",D47+ABS(E13/E35))</f>
        <v>#DIV/0!</v>
      </c>
      <c r="F47" s="68" t="e">
        <f>IF(F29=1,"",E19+ABS(F13/F35))</f>
        <v>#VALUE!</v>
      </c>
      <c r="G47" s="68" t="e">
        <f t="shared" ref="G47:N47" si="93">IF(G29=1,"",F19+ABS(G13/G35))</f>
        <v>#VALUE!</v>
      </c>
      <c r="H47" s="68" t="str">
        <f t="shared" si="93"/>
        <v/>
      </c>
      <c r="I47" s="68" t="str">
        <f t="shared" si="93"/>
        <v/>
      </c>
      <c r="J47" s="68">
        <f t="shared" si="93"/>
        <v>43.997460900850115</v>
      </c>
      <c r="K47" s="68" t="str">
        <f t="shared" si="93"/>
        <v/>
      </c>
      <c r="L47" s="68" t="str">
        <f t="shared" si="93"/>
        <v/>
      </c>
      <c r="M47" s="68" t="str">
        <f t="shared" si="93"/>
        <v/>
      </c>
      <c r="N47" s="68" t="str">
        <f t="shared" si="93"/>
        <v/>
      </c>
      <c r="O47" s="68" t="str">
        <f t="shared" ref="O47" si="94">IF(O29=1,"",N19+ABS(O13/O35))</f>
        <v/>
      </c>
      <c r="P47" s="68" t="str">
        <f t="shared" ref="P47" si="95">IF(P29=1,"",O19+ABS(P13/P35))</f>
        <v/>
      </c>
      <c r="Q47" s="68" t="str">
        <f t="shared" ref="Q47" si="96">IF(Q29=1,"",P19+ABS(Q13/Q35))</f>
        <v/>
      </c>
      <c r="R47" s="68" t="str">
        <f>IF(R29=1,"",Q19+ABS(R13/R35))</f>
        <v/>
      </c>
      <c r="S47" s="68" t="str">
        <f>IF(S29=1,"",R19+ABS(S13/S35))</f>
        <v/>
      </c>
      <c r="T47" s="68" t="e">
        <f>IF(T29=1,"",#REF!+ABS(T13/T35))</f>
        <v>#REF!</v>
      </c>
      <c r="U47" s="68" t="e">
        <f>IF(U29=1,"",T19+ABS(U13/U35))</f>
        <v>#VALUE!</v>
      </c>
      <c r="V47" s="68" t="e">
        <f>IF(V29=1,"",U19+ABS(V13/V35))</f>
        <v>#VALUE!</v>
      </c>
      <c r="W47" s="68" t="e">
        <f t="shared" ref="W47" si="97">IF(W29=1,"",V19+ABS(W13/W35))</f>
        <v>#VALUE!</v>
      </c>
      <c r="Y47" s="61"/>
      <c r="Z47" s="61"/>
      <c r="AA47" s="61"/>
    </row>
    <row r="48" spans="2:27" s="59" customFormat="1" x14ac:dyDescent="0.2">
      <c r="B48" s="59" t="s">
        <v>105</v>
      </c>
      <c r="C48" s="59" t="s">
        <v>36</v>
      </c>
      <c r="E48" s="67" t="b">
        <f>TRUE</f>
        <v>1</v>
      </c>
      <c r="F48" s="67" t="b">
        <f>OR(F30=1,F31=1,F32=1,(F29+F33)=2)</f>
        <v>0</v>
      </c>
      <c r="G48" s="67" t="b">
        <f t="shared" ref="G48:N48" si="98">OR(G30=1,G31=1,G32=1,(G29+G33)=2)</f>
        <v>0</v>
      </c>
      <c r="H48" s="67" t="b">
        <f t="shared" si="98"/>
        <v>1</v>
      </c>
      <c r="I48" s="67" t="b">
        <f t="shared" si="98"/>
        <v>1</v>
      </c>
      <c r="J48" s="67" t="b">
        <f t="shared" si="98"/>
        <v>0</v>
      </c>
      <c r="K48" s="67" t="b">
        <f t="shared" si="98"/>
        <v>1</v>
      </c>
      <c r="L48" s="67" t="b">
        <f t="shared" si="98"/>
        <v>0</v>
      </c>
      <c r="M48" s="111" t="b">
        <f t="shared" si="98"/>
        <v>1</v>
      </c>
      <c r="N48" s="111" t="b">
        <f t="shared" si="98"/>
        <v>0</v>
      </c>
      <c r="O48" s="111" t="b">
        <f t="shared" ref="O48:W48" si="99">OR(O30=1,O31=1,O32=1,(O29+O33)=2)</f>
        <v>1</v>
      </c>
      <c r="P48" s="111" t="b">
        <f t="shared" si="99"/>
        <v>0</v>
      </c>
      <c r="Q48" s="111" t="b">
        <f t="shared" si="99"/>
        <v>1</v>
      </c>
      <c r="R48" s="111" t="b">
        <f t="shared" si="99"/>
        <v>0</v>
      </c>
      <c r="S48" s="111" t="b">
        <f t="shared" si="99"/>
        <v>1</v>
      </c>
      <c r="T48" s="111" t="b">
        <f t="shared" si="99"/>
        <v>0</v>
      </c>
      <c r="U48" s="111" t="b">
        <f t="shared" si="99"/>
        <v>0</v>
      </c>
      <c r="V48" s="111" t="b">
        <f t="shared" si="99"/>
        <v>0</v>
      </c>
      <c r="W48" s="111" t="b">
        <f t="shared" si="99"/>
        <v>0</v>
      </c>
      <c r="Y48" s="61"/>
      <c r="Z48" s="61"/>
      <c r="AA48" s="61"/>
    </row>
    <row r="49" spans="2:27" s="59" customFormat="1" x14ac:dyDescent="0.2">
      <c r="B49" s="59" t="s">
        <v>47</v>
      </c>
      <c r="C49" s="59" t="s">
        <v>36</v>
      </c>
      <c r="E49" s="67" t="b">
        <f>FALSE</f>
        <v>0</v>
      </c>
      <c r="F49" s="67" t="b">
        <f>(F29+F33)=0</f>
        <v>1</v>
      </c>
      <c r="G49" s="67" t="b">
        <f t="shared" ref="G49:N49" si="100">(G29+G33)=0</f>
        <v>1</v>
      </c>
      <c r="H49" s="67" t="b">
        <f t="shared" si="100"/>
        <v>0</v>
      </c>
      <c r="I49" s="67" t="b">
        <f t="shared" si="100"/>
        <v>0</v>
      </c>
      <c r="J49" s="67" t="b">
        <f t="shared" si="100"/>
        <v>1</v>
      </c>
      <c r="K49" s="67" t="b">
        <f t="shared" si="100"/>
        <v>0</v>
      </c>
      <c r="L49" s="67" t="b">
        <f t="shared" si="100"/>
        <v>0</v>
      </c>
      <c r="M49" s="111" t="b">
        <f t="shared" si="100"/>
        <v>0</v>
      </c>
      <c r="N49" s="111" t="b">
        <f t="shared" si="100"/>
        <v>0</v>
      </c>
      <c r="O49" s="111" t="b">
        <f t="shared" ref="O49:W49" si="101">(O29+O33)=0</f>
        <v>0</v>
      </c>
      <c r="P49" s="111" t="b">
        <f t="shared" si="101"/>
        <v>0</v>
      </c>
      <c r="Q49" s="111" t="b">
        <f t="shared" si="101"/>
        <v>0</v>
      </c>
      <c r="R49" s="111" t="b">
        <f t="shared" si="101"/>
        <v>0</v>
      </c>
      <c r="S49" s="111" t="b">
        <f t="shared" si="101"/>
        <v>0</v>
      </c>
      <c r="T49" s="111" t="b">
        <f t="shared" si="101"/>
        <v>1</v>
      </c>
      <c r="U49" s="111" t="b">
        <f t="shared" si="101"/>
        <v>1</v>
      </c>
      <c r="V49" s="111" t="b">
        <f t="shared" si="101"/>
        <v>1</v>
      </c>
      <c r="W49" s="111" t="b">
        <f t="shared" si="101"/>
        <v>1</v>
      </c>
      <c r="Y49" s="61"/>
      <c r="Z49" s="61"/>
      <c r="AA49" s="61"/>
    </row>
    <row r="50" spans="2:27" s="59" customFormat="1" x14ac:dyDescent="0.2">
      <c r="B50" s="59" t="s">
        <v>36</v>
      </c>
      <c r="C50" s="59" t="s">
        <v>36</v>
      </c>
      <c r="E50" s="67" t="b">
        <f>FALSE</f>
        <v>0</v>
      </c>
      <c r="F50" s="67" t="b">
        <f>FALSE</f>
        <v>0</v>
      </c>
      <c r="G50" s="67" t="b">
        <f>FALSE</f>
        <v>0</v>
      </c>
      <c r="H50" s="67" t="b">
        <f>FALSE</f>
        <v>0</v>
      </c>
      <c r="I50" s="67" t="b">
        <f>FALSE</f>
        <v>0</v>
      </c>
      <c r="J50" s="67" t="b">
        <f>FALSE</f>
        <v>0</v>
      </c>
      <c r="K50" s="67" t="b">
        <f>FALSE</f>
        <v>0</v>
      </c>
      <c r="L50" s="67" t="b">
        <f>FALSE</f>
        <v>0</v>
      </c>
      <c r="M50" s="111" t="b">
        <f>FALSE</f>
        <v>0</v>
      </c>
      <c r="N50" s="111" t="b">
        <f>FALSE</f>
        <v>0</v>
      </c>
      <c r="O50" s="111" t="b">
        <f>FALSE</f>
        <v>0</v>
      </c>
      <c r="P50" s="111" t="b">
        <f>FALSE</f>
        <v>0</v>
      </c>
      <c r="Q50" s="111" t="b">
        <f>FALSE</f>
        <v>0</v>
      </c>
      <c r="R50" s="111" t="b">
        <f>FALSE</f>
        <v>0</v>
      </c>
      <c r="S50" s="111" t="b">
        <f>FALSE</f>
        <v>0</v>
      </c>
      <c r="T50" s="111" t="b">
        <f>FALSE</f>
        <v>0</v>
      </c>
      <c r="U50" s="111" t="b">
        <f>FALSE</f>
        <v>0</v>
      </c>
      <c r="V50" s="111" t="b">
        <f>FALSE</f>
        <v>0</v>
      </c>
      <c r="W50" s="111" t="b">
        <f>FALSE</f>
        <v>0</v>
      </c>
      <c r="Y50" s="61"/>
      <c r="Z50" s="61"/>
      <c r="AA50" s="61"/>
    </row>
    <row r="51" spans="2:27" s="59" customFormat="1" x14ac:dyDescent="0.2">
      <c r="B51" s="65"/>
      <c r="E51" s="68"/>
      <c r="Y51" s="61"/>
      <c r="Z51" s="61"/>
      <c r="AA51" s="61"/>
    </row>
    <row r="52" spans="2:27" s="59" customFormat="1" ht="25.5" x14ac:dyDescent="0.2">
      <c r="B52" s="66" t="s">
        <v>97</v>
      </c>
      <c r="C52" s="62" t="s">
        <v>0</v>
      </c>
      <c r="E52" s="68" t="str">
        <f>""</f>
        <v/>
      </c>
      <c r="F52" s="59" t="str">
        <f>IF(F29=1,F6,"")</f>
        <v/>
      </c>
      <c r="G52" s="59" t="str">
        <f t="shared" ref="G52:N52" si="102">IF(G29=1,G6,"")</f>
        <v/>
      </c>
      <c r="H52" s="59">
        <f t="shared" si="102"/>
        <v>-25</v>
      </c>
      <c r="I52" s="59">
        <f t="shared" si="102"/>
        <v>20</v>
      </c>
      <c r="J52" s="59" t="str">
        <f t="shared" si="102"/>
        <v/>
      </c>
      <c r="K52" s="59">
        <f t="shared" si="102"/>
        <v>4.277020603210544</v>
      </c>
      <c r="L52" s="59">
        <f t="shared" si="102"/>
        <v>8</v>
      </c>
      <c r="M52" s="59">
        <f t="shared" si="102"/>
        <v>8</v>
      </c>
      <c r="N52" s="59">
        <f t="shared" si="102"/>
        <v>20</v>
      </c>
      <c r="O52" s="59">
        <f t="shared" ref="O52:W52" si="103">IF(O29=1,O6,"")</f>
        <v>35</v>
      </c>
      <c r="P52" s="59">
        <f t="shared" si="103"/>
        <v>16</v>
      </c>
      <c r="Q52" s="59">
        <f t="shared" si="103"/>
        <v>16</v>
      </c>
      <c r="R52" s="59">
        <f>IF(R29=1,R6,"")</f>
        <v>20</v>
      </c>
      <c r="S52" s="59">
        <f>IF(S29=1,S6,"")</f>
        <v>20</v>
      </c>
      <c r="T52" s="59" t="str">
        <f t="shared" si="103"/>
        <v/>
      </c>
      <c r="U52" s="59" t="str">
        <f>IF(U29=1,U6,"")</f>
        <v/>
      </c>
      <c r="V52" s="59" t="str">
        <f>IF(V29=1,V6,"")</f>
        <v/>
      </c>
      <c r="W52" s="59" t="str">
        <f t="shared" si="103"/>
        <v/>
      </c>
      <c r="Y52" s="61"/>
      <c r="Z52" s="61"/>
      <c r="AA52" s="61"/>
    </row>
    <row r="53" spans="2:27" s="59" customFormat="1" x14ac:dyDescent="0.2">
      <c r="C53" s="63" t="s">
        <v>1</v>
      </c>
      <c r="E53" s="68" t="str">
        <f>""</f>
        <v/>
      </c>
      <c r="F53" s="59" t="str">
        <f>""</f>
        <v/>
      </c>
      <c r="G53" s="59" t="str">
        <f>""</f>
        <v/>
      </c>
      <c r="H53" s="59" t="str">
        <f>""</f>
        <v/>
      </c>
      <c r="I53" s="59" t="str">
        <f>""</f>
        <v/>
      </c>
      <c r="J53" s="59" t="str">
        <f>""</f>
        <v/>
      </c>
      <c r="K53" s="59" t="str">
        <f>""</f>
        <v/>
      </c>
      <c r="L53" s="59" t="str">
        <f>""</f>
        <v/>
      </c>
      <c r="M53" s="59" t="str">
        <f>""</f>
        <v/>
      </c>
      <c r="N53" s="59" t="str">
        <f>""</f>
        <v/>
      </c>
      <c r="O53" s="59" t="str">
        <f>""</f>
        <v/>
      </c>
      <c r="P53" s="59" t="str">
        <f>""</f>
        <v/>
      </c>
      <c r="Q53" s="59" t="str">
        <f>""</f>
        <v/>
      </c>
      <c r="R53" s="59" t="str">
        <f>""</f>
        <v/>
      </c>
      <c r="S53" s="59" t="str">
        <f>""</f>
        <v/>
      </c>
      <c r="T53" s="59" t="str">
        <f>""</f>
        <v/>
      </c>
      <c r="U53" s="59" t="str">
        <f>""</f>
        <v/>
      </c>
      <c r="V53" s="59" t="str">
        <f>""</f>
        <v/>
      </c>
      <c r="W53" s="59" t="str">
        <f>""</f>
        <v/>
      </c>
      <c r="Y53" s="61"/>
      <c r="Z53" s="61"/>
      <c r="AA53" s="61"/>
    </row>
    <row r="54" spans="2:27" s="59" customFormat="1" x14ac:dyDescent="0.2">
      <c r="C54" s="62" t="s">
        <v>2</v>
      </c>
      <c r="E54" s="68" t="str">
        <f>""</f>
        <v/>
      </c>
      <c r="F54" s="59" t="str">
        <f>IF(F33=1,MIN(E18,E18+(xchladice-E18)*(E19-F55)/(E19-Hchladice)),IF(AND(F29=1,xchladice&gt;=E18),E18,""))</f>
        <v/>
      </c>
      <c r="G54" s="59" t="str">
        <f t="shared" ref="G54:N54" si="104">IF(G33=1,MIN(F18,F18+(xchladice-F18)*(F19-G55)/(F19-Hchladice)),IF(AND(G29=1,xchladice&gt;=F18),F18,""))</f>
        <v/>
      </c>
      <c r="H54" s="59" t="str">
        <f t="shared" si="104"/>
        <v/>
      </c>
      <c r="I54" s="59">
        <f t="shared" si="104"/>
        <v>8.3203757830561539E-2</v>
      </c>
      <c r="J54" s="59" t="str">
        <f t="shared" si="104"/>
        <v/>
      </c>
      <c r="K54" s="59" t="str">
        <f t="shared" si="104"/>
        <v/>
      </c>
      <c r="L54" s="59">
        <f t="shared" si="104"/>
        <v>5.4480985171597482E-2</v>
      </c>
      <c r="M54" s="59">
        <f t="shared" si="104"/>
        <v>5.4480985171597482E-2</v>
      </c>
      <c r="N54" s="59">
        <f t="shared" si="104"/>
        <v>5.4476262829484417E-4</v>
      </c>
      <c r="O54" s="59">
        <f t="shared" ref="O54" si="105">IF(O33=1,MIN(N18,N18+(xchladice-N18)*(N19-O55)/(N19-Hchladice)),IF(AND(O29=1,xchladice&gt;=N18),N18,""))</f>
        <v>5.4476262829484417E-4</v>
      </c>
      <c r="P54" s="59" t="str">
        <f t="shared" ref="P54" si="106">IF(P33=1,MIN(O18,O18+(xchladice-O18)*(O19-P55)/(O19-Hchladice)),IF(AND(P29=1,xchladice&gt;=O18),O18,""))</f>
        <v/>
      </c>
      <c r="Q54" s="59" t="str">
        <f t="shared" ref="Q54" si="107">IF(Q33=1,MIN(P18,P18+(xchladice-P18)*(P19-Q55)/(P19-Hchladice)),IF(AND(Q29=1,xchladice&gt;=P18),P18,""))</f>
        <v/>
      </c>
      <c r="R54" s="59">
        <f t="shared" ref="R54" si="108">IF(R33=1,MIN(Q18,Q18+(xchladice-Q18)*(Q19-R55)/(Q19-Hchladice)),IF(AND(R29=1,xchladice&gt;=Q18),Q18,""))</f>
        <v>9.0684559843778378E-2</v>
      </c>
      <c r="S54" s="59">
        <f t="shared" ref="S54" si="109">IF(S33=1,MIN(R18,R18+(xchladice-R18)*(R19-S55)/(R19-Hchladice)),IF(AND(S29=1,xchladice&gt;=R18),R18,""))</f>
        <v>9.0684559843778378E-2</v>
      </c>
      <c r="T54" s="59" t="e">
        <f>IF(T33=1,MIN(#REF!,#REF!+(xchladice-#REF!)*(#REF!-T55)/(#REF!-Hchladice)),IF(AND(T29=1,xchladice&gt;=#REF!),#REF!,""))</f>
        <v>#REF!</v>
      </c>
      <c r="U54" s="59" t="str">
        <f t="shared" ref="U54" si="110">IF(U33=1,MIN(T18,T18+(xchladice-T18)*(T19-U55)/(T19-Hchladice)),IF(AND(U29=1,xchladice&gt;=T18),T18,""))</f>
        <v/>
      </c>
      <c r="V54" s="59" t="str">
        <f t="shared" ref="V54" si="111">IF(V33=1,MIN(U18,U18+(xchladice-U18)*(U19-V55)/(U19-Hchladice)),IF(AND(V29=1,xchladice&gt;=U18),U18,""))</f>
        <v/>
      </c>
      <c r="W54" s="59" t="str">
        <f t="shared" ref="W54" si="112">IF(W33=1,MIN(V18,V18+(xchladice-V18)*(V19-W55)/(V19-Hchladice)),IF(AND(W29=1,xchladice&gt;=V18),V18,""))</f>
        <v/>
      </c>
      <c r="Y54" s="61"/>
      <c r="Z54" s="61"/>
      <c r="AA54" s="61"/>
    </row>
    <row r="55" spans="2:27" s="59" customFormat="1" x14ac:dyDescent="0.2">
      <c r="C55" s="62" t="s">
        <v>3</v>
      </c>
      <c r="E55" s="68" t="str">
        <f>""</f>
        <v/>
      </c>
      <c r="F55" s="59" t="e">
        <f>IF(F33=1,E19-ABS(F13/F35),IF(xchladice&lt;E18,E19-(E19-Hchladice)*(F6-E16)/(Tchladice-E16),""))</f>
        <v>#VALUE!</v>
      </c>
      <c r="G55" s="59" t="e">
        <f t="shared" ref="G55:N55" si="113">IF(G33=1,F19-ABS(G13/G35),IF(xchladice&lt;F18,F19-(F19-Hchladice)*(G6-F16)/(Tchladice-F16),""))</f>
        <v>#VALUE!</v>
      </c>
      <c r="H55" s="59" t="e">
        <f t="shared" si="113"/>
        <v>#VALUE!</v>
      </c>
      <c r="I55" s="59" t="str">
        <f t="shared" si="113"/>
        <v/>
      </c>
      <c r="J55" s="59">
        <f t="shared" si="113"/>
        <v>10.594473166786877</v>
      </c>
      <c r="K55" s="59">
        <f t="shared" si="113"/>
        <v>18.108354095243776</v>
      </c>
      <c r="L55" s="59" t="str">
        <f t="shared" si="113"/>
        <v/>
      </c>
      <c r="M55" s="59" t="str">
        <f t="shared" si="113"/>
        <v/>
      </c>
      <c r="N55" s="59" t="str">
        <f t="shared" si="113"/>
        <v/>
      </c>
      <c r="O55" s="59" t="str">
        <f t="shared" ref="O55" si="114">IF(O33=1,N19-ABS(O13/O35),IF(xchladice&lt;N18,N19-(N19-Hchladice)*(O6-N16)/(Tchladice-N16),""))</f>
        <v/>
      </c>
      <c r="P55" s="59">
        <f t="shared" ref="P55" si="115">IF(P33=1,O19-ABS(P13/P35),IF(xchladice&lt;O18,O19-(O19-Hchladice)*(P6-O16)/(Tchladice-O16),""))</f>
        <v>39.446082331350226</v>
      </c>
      <c r="Q55" s="59">
        <f t="shared" ref="Q55" si="116">IF(Q33=1,P19-ABS(Q13/Q35),IF(xchladice&lt;P18,P19-(P19-Hchladice)*(Q6-P16)/(Tchladice-P16),""))</f>
        <v>39.446082331350226</v>
      </c>
      <c r="R55" s="59" t="str">
        <f>IF(R33=1,Q19-ABS(R13/R35),IF(xchladice&lt;Q18,Q19-(Q19-Hchladice)*(R6-Q16)/(Tchladice-Q16),""))</f>
        <v/>
      </c>
      <c r="S55" s="59" t="str">
        <f>IF(S33=1,R19-ABS(S13/S35),IF(xchladice&lt;R18,R19-(R19-Hchladice)*(S6-R16)/(Tchladice-R16),""))</f>
        <v/>
      </c>
      <c r="T55" s="59" t="e">
        <f>IF(T33=1,#REF!-ABS(T13/T35),IF(xchladice&lt;#REF!,#REF!-(#REF!-Hchladice)*(T6-#REF!)/(Tchladice-#REF!),""))</f>
        <v>#REF!</v>
      </c>
      <c r="U55" s="59" t="e">
        <f>IF(U33=1,T19-ABS(U13/U35),IF(xchladice&lt;T18,T19-(T19-Hchladice)*(U6-T16)/(Tchladice-T16),""))</f>
        <v>#VALUE!</v>
      </c>
      <c r="V55" s="59" t="e">
        <f>IF(V33=1,U19-ABS(V13/V35),IF(xchladice&lt;U18,U19-(U19-Hchladice)*(V6-U16)/(Tchladice-U16),""))</f>
        <v>#VALUE!</v>
      </c>
      <c r="W55" s="59" t="e">
        <f t="shared" ref="W55" si="117">IF(W33=1,V19-ABS(W13/W35),IF(xchladice&lt;V18,V19-(V19-Hchladice)*(W6-V16)/(Tchladice-V16),""))</f>
        <v>#VALUE!</v>
      </c>
      <c r="Y55" s="61"/>
      <c r="Z55" s="61"/>
      <c r="AA55" s="61"/>
    </row>
    <row r="56" spans="2:27" s="59" customFormat="1" x14ac:dyDescent="0.2">
      <c r="B56" s="59" t="s">
        <v>105</v>
      </c>
      <c r="C56" s="59" t="s">
        <v>36</v>
      </c>
      <c r="E56" s="67" t="b">
        <f>TRUE</f>
        <v>1</v>
      </c>
      <c r="F56" s="67" t="b">
        <f>OR(F30=1,F31=1,F32=1,(F29+F33)=2)</f>
        <v>0</v>
      </c>
      <c r="G56" s="67" t="b">
        <f t="shared" ref="G56:N56" si="118">OR(G30=1,G31=1,G32=1,(G29+G33)=2)</f>
        <v>0</v>
      </c>
      <c r="H56" s="67" t="b">
        <f t="shared" si="118"/>
        <v>1</v>
      </c>
      <c r="I56" s="67" t="b">
        <f t="shared" si="118"/>
        <v>1</v>
      </c>
      <c r="J56" s="67" t="b">
        <f t="shared" si="118"/>
        <v>0</v>
      </c>
      <c r="K56" s="67" t="b">
        <f t="shared" si="118"/>
        <v>1</v>
      </c>
      <c r="L56" s="67" t="b">
        <f t="shared" si="118"/>
        <v>0</v>
      </c>
      <c r="M56" s="111" t="b">
        <f t="shared" si="118"/>
        <v>1</v>
      </c>
      <c r="N56" s="111" t="b">
        <f t="shared" si="118"/>
        <v>0</v>
      </c>
      <c r="O56" s="111" t="b">
        <f t="shared" ref="O56:W56" si="119">OR(O30=1,O31=1,O32=1,(O29+O33)=2)</f>
        <v>1</v>
      </c>
      <c r="P56" s="111" t="b">
        <f t="shared" si="119"/>
        <v>0</v>
      </c>
      <c r="Q56" s="111" t="b">
        <f t="shared" si="119"/>
        <v>1</v>
      </c>
      <c r="R56" s="111" t="b">
        <f t="shared" si="119"/>
        <v>0</v>
      </c>
      <c r="S56" s="111" t="b">
        <f t="shared" si="119"/>
        <v>1</v>
      </c>
      <c r="T56" s="111" t="b">
        <f t="shared" si="119"/>
        <v>0</v>
      </c>
      <c r="U56" s="111" t="b">
        <f t="shared" si="119"/>
        <v>0</v>
      </c>
      <c r="V56" s="111" t="b">
        <f t="shared" si="119"/>
        <v>0</v>
      </c>
      <c r="W56" s="111" t="b">
        <f t="shared" si="119"/>
        <v>0</v>
      </c>
      <c r="Y56" s="61"/>
      <c r="Z56" s="61"/>
      <c r="AA56" s="61"/>
    </row>
    <row r="57" spans="2:27" s="59" customFormat="1" x14ac:dyDescent="0.2">
      <c r="B57" s="59" t="s">
        <v>47</v>
      </c>
      <c r="C57" s="59" t="s">
        <v>36</v>
      </c>
      <c r="E57" s="67" t="b">
        <f>FALSE</f>
        <v>0</v>
      </c>
      <c r="F57" s="67" t="b">
        <f>(F29+F33)=0</f>
        <v>1</v>
      </c>
      <c r="G57" s="67" t="b">
        <f t="shared" ref="G57:N57" si="120">(G29+G33)=0</f>
        <v>1</v>
      </c>
      <c r="H57" s="67" t="b">
        <f t="shared" si="120"/>
        <v>0</v>
      </c>
      <c r="I57" s="67" t="b">
        <f t="shared" si="120"/>
        <v>0</v>
      </c>
      <c r="J57" s="67" t="b">
        <f t="shared" si="120"/>
        <v>1</v>
      </c>
      <c r="K57" s="67" t="b">
        <f t="shared" si="120"/>
        <v>0</v>
      </c>
      <c r="L57" s="67" t="b">
        <f t="shared" si="120"/>
        <v>0</v>
      </c>
      <c r="M57" s="111" t="b">
        <f t="shared" si="120"/>
        <v>0</v>
      </c>
      <c r="N57" s="111" t="b">
        <f t="shared" si="120"/>
        <v>0</v>
      </c>
      <c r="O57" s="111" t="b">
        <f t="shared" ref="O57:W57" si="121">(O29+O33)=0</f>
        <v>0</v>
      </c>
      <c r="P57" s="111" t="b">
        <f t="shared" si="121"/>
        <v>0</v>
      </c>
      <c r="Q57" s="111" t="b">
        <f t="shared" si="121"/>
        <v>0</v>
      </c>
      <c r="R57" s="111" t="b">
        <f t="shared" si="121"/>
        <v>0</v>
      </c>
      <c r="S57" s="111" t="b">
        <f t="shared" si="121"/>
        <v>0</v>
      </c>
      <c r="T57" s="111" t="b">
        <f t="shared" si="121"/>
        <v>1</v>
      </c>
      <c r="U57" s="111" t="b">
        <f t="shared" si="121"/>
        <v>1</v>
      </c>
      <c r="V57" s="111" t="b">
        <f t="shared" si="121"/>
        <v>1</v>
      </c>
      <c r="W57" s="111" t="b">
        <f t="shared" si="121"/>
        <v>1</v>
      </c>
      <c r="Y57" s="61"/>
      <c r="Z57" s="61"/>
      <c r="AA57" s="61"/>
    </row>
    <row r="58" spans="2:27" s="59" customFormat="1" x14ac:dyDescent="0.2">
      <c r="B58" s="59" t="s">
        <v>36</v>
      </c>
      <c r="C58" s="59" t="s">
        <v>36</v>
      </c>
      <c r="E58" s="67" t="b">
        <f>FALSE</f>
        <v>0</v>
      </c>
      <c r="F58" s="67" t="b">
        <f>FALSE</f>
        <v>0</v>
      </c>
      <c r="G58" s="67" t="b">
        <f>FALSE</f>
        <v>0</v>
      </c>
      <c r="H58" s="67" t="b">
        <f>FALSE</f>
        <v>0</v>
      </c>
      <c r="I58" s="67" t="b">
        <f>FALSE</f>
        <v>0</v>
      </c>
      <c r="J58" s="67" t="b">
        <f>FALSE</f>
        <v>0</v>
      </c>
      <c r="K58" s="67" t="b">
        <f>FALSE</f>
        <v>0</v>
      </c>
      <c r="L58" s="67" t="b">
        <f>FALSE</f>
        <v>0</v>
      </c>
      <c r="M58" s="111" t="b">
        <f>FALSE</f>
        <v>0</v>
      </c>
      <c r="N58" s="111" t="b">
        <f>FALSE</f>
        <v>0</v>
      </c>
      <c r="O58" s="111" t="b">
        <f>FALSE</f>
        <v>0</v>
      </c>
      <c r="P58" s="111" t="b">
        <f>FALSE</f>
        <v>0</v>
      </c>
      <c r="Q58" s="111" t="b">
        <f>FALSE</f>
        <v>0</v>
      </c>
      <c r="R58" s="111" t="b">
        <f>FALSE</f>
        <v>0</v>
      </c>
      <c r="S58" s="111" t="b">
        <f>FALSE</f>
        <v>0</v>
      </c>
      <c r="T58" s="111" t="b">
        <f>FALSE</f>
        <v>0</v>
      </c>
      <c r="U58" s="111" t="b">
        <f>FALSE</f>
        <v>0</v>
      </c>
      <c r="V58" s="111" t="b">
        <f>FALSE</f>
        <v>0</v>
      </c>
      <c r="W58" s="111" t="b">
        <f>FALSE</f>
        <v>0</v>
      </c>
      <c r="Y58" s="61"/>
      <c r="Z58" s="61"/>
      <c r="AA58" s="61"/>
    </row>
    <row r="59" spans="2:27" s="59" customFormat="1" x14ac:dyDescent="0.2">
      <c r="B59" s="65"/>
      <c r="E59" s="68"/>
      <c r="Y59" s="61"/>
      <c r="Z59" s="61"/>
      <c r="AA59" s="61"/>
    </row>
    <row r="60" spans="2:27" s="59" customFormat="1" ht="38.25" x14ac:dyDescent="0.2">
      <c r="B60" s="66" t="s">
        <v>102</v>
      </c>
      <c r="C60" s="62" t="s">
        <v>0</v>
      </c>
      <c r="E60" s="68" t="str">
        <f>""</f>
        <v/>
      </c>
      <c r="F60" s="59" t="str">
        <f>IF(F29=1,MAX(F6,E21),"")</f>
        <v/>
      </c>
      <c r="G60" s="59" t="str">
        <f t="shared" ref="G60:N60" si="122">IF(G29=1,G6,"")</f>
        <v/>
      </c>
      <c r="H60" s="59">
        <f t="shared" si="122"/>
        <v>-25</v>
      </c>
      <c r="I60" s="59">
        <f t="shared" si="122"/>
        <v>20</v>
      </c>
      <c r="J60" s="59" t="str">
        <f t="shared" si="122"/>
        <v/>
      </c>
      <c r="K60" s="59">
        <f t="shared" si="122"/>
        <v>4.277020603210544</v>
      </c>
      <c r="L60" s="59">
        <f t="shared" si="122"/>
        <v>8</v>
      </c>
      <c r="M60" s="59">
        <f t="shared" si="122"/>
        <v>8</v>
      </c>
      <c r="N60" s="59">
        <f t="shared" si="122"/>
        <v>20</v>
      </c>
      <c r="O60" s="59">
        <f t="shared" ref="O60:W60" si="123">IF(O29=1,O6,"")</f>
        <v>35</v>
      </c>
      <c r="P60" s="59">
        <f t="shared" si="123"/>
        <v>16</v>
      </c>
      <c r="Q60" s="59">
        <f t="shared" si="123"/>
        <v>16</v>
      </c>
      <c r="R60" s="59">
        <f>IF(R29=1,R6,"")</f>
        <v>20</v>
      </c>
      <c r="S60" s="59">
        <f>IF(S29=1,S6,"")</f>
        <v>20</v>
      </c>
      <c r="T60" s="59" t="str">
        <f t="shared" si="123"/>
        <v/>
      </c>
      <c r="U60" s="59" t="str">
        <f>IF(U29=1,U6,"")</f>
        <v/>
      </c>
      <c r="V60" s="59" t="str">
        <f>IF(V29=1,V6,"")</f>
        <v/>
      </c>
      <c r="W60" s="59" t="str">
        <f t="shared" si="123"/>
        <v/>
      </c>
      <c r="Y60" s="61"/>
      <c r="Z60" s="61"/>
      <c r="AA60" s="61"/>
    </row>
    <row r="61" spans="2:27" s="59" customFormat="1" x14ac:dyDescent="0.2">
      <c r="C61" s="63" t="s">
        <v>1</v>
      </c>
      <c r="E61" s="68" t="str">
        <f>""</f>
        <v/>
      </c>
      <c r="F61" s="59" t="str">
        <f>IF(F30=1,F7/100,"")</f>
        <v/>
      </c>
      <c r="G61" s="59" t="str">
        <f t="shared" ref="G61:N61" si="124">IF(G30=1,G7/100,"")</f>
        <v/>
      </c>
      <c r="H61" s="59">
        <f t="shared" si="124"/>
        <v>0.2</v>
      </c>
      <c r="I61" s="59">
        <f t="shared" si="124"/>
        <v>0.6</v>
      </c>
      <c r="J61" s="59" t="str">
        <f t="shared" si="124"/>
        <v/>
      </c>
      <c r="K61" s="59">
        <f t="shared" si="124"/>
        <v>0.01</v>
      </c>
      <c r="L61" s="59" t="str">
        <f t="shared" si="124"/>
        <v/>
      </c>
      <c r="M61" s="59">
        <f t="shared" si="124"/>
        <v>7.7246107631210339E-5</v>
      </c>
      <c r="N61" s="59" t="str">
        <f t="shared" si="124"/>
        <v/>
      </c>
      <c r="O61" s="59">
        <f t="shared" ref="O61:W61" si="125">IF(O30=1,O7/100,"")</f>
        <v>0.4</v>
      </c>
      <c r="P61" s="59" t="str">
        <f t="shared" si="125"/>
        <v/>
      </c>
      <c r="Q61" s="59">
        <f t="shared" si="125"/>
        <v>7.5771330367416147E-3</v>
      </c>
      <c r="R61" s="59" t="str">
        <f>IF(R30=1,R7/100,"")</f>
        <v/>
      </c>
      <c r="S61" s="59">
        <f>IF(S30=1,S7/100,"")</f>
        <v>5.889954581965501E-5</v>
      </c>
      <c r="T61" s="59" t="str">
        <f t="shared" si="125"/>
        <v/>
      </c>
      <c r="U61" s="59" t="str">
        <f>IF(U30=1,U7/100,"")</f>
        <v/>
      </c>
      <c r="V61" s="59" t="str">
        <f>IF(V30=1,V7/100,"")</f>
        <v/>
      </c>
      <c r="W61" s="59" t="str">
        <f t="shared" si="125"/>
        <v/>
      </c>
      <c r="Y61" s="61"/>
      <c r="Z61" s="61"/>
      <c r="AA61" s="61"/>
    </row>
    <row r="62" spans="2:27" s="59" customFormat="1" x14ac:dyDescent="0.2">
      <c r="C62" s="62" t="s">
        <v>2</v>
      </c>
      <c r="E62" s="68" t="str">
        <f>""</f>
        <v/>
      </c>
      <c r="F62" s="59" t="str">
        <f>IF(F31=1,F8,"")</f>
        <v/>
      </c>
      <c r="G62" s="59" t="str">
        <f t="shared" ref="G62:N62" si="126">IF(G31=1,G8,"")</f>
        <v/>
      </c>
      <c r="H62" s="59" t="str">
        <f t="shared" si="126"/>
        <v/>
      </c>
      <c r="I62" s="59" t="str">
        <f t="shared" si="126"/>
        <v/>
      </c>
      <c r="J62" s="59" t="str">
        <f t="shared" si="126"/>
        <v/>
      </c>
      <c r="K62" s="59" t="str">
        <f t="shared" si="126"/>
        <v/>
      </c>
      <c r="L62" s="59" t="str">
        <f t="shared" si="126"/>
        <v/>
      </c>
      <c r="M62" s="59" t="str">
        <f t="shared" si="126"/>
        <v/>
      </c>
      <c r="N62" s="59" t="str">
        <f t="shared" si="126"/>
        <v/>
      </c>
      <c r="O62" s="59" t="str">
        <f t="shared" ref="O62:W62" si="127">IF(O31=1,O8,"")</f>
        <v/>
      </c>
      <c r="P62" s="59" t="str">
        <f t="shared" si="127"/>
        <v/>
      </c>
      <c r="Q62" s="59" t="str">
        <f t="shared" si="127"/>
        <v/>
      </c>
      <c r="R62" s="59" t="str">
        <f>IF(R31=1,R8,"")</f>
        <v/>
      </c>
      <c r="S62" s="59" t="str">
        <f>IF(S31=1,S8,"")</f>
        <v/>
      </c>
      <c r="T62" s="59" t="str">
        <f t="shared" si="127"/>
        <v/>
      </c>
      <c r="U62" s="59" t="str">
        <f>IF(U31=1,U8,"")</f>
        <v/>
      </c>
      <c r="V62" s="59" t="str">
        <f>IF(V31=1,V8,"")</f>
        <v/>
      </c>
      <c r="W62" s="59" t="str">
        <f t="shared" si="127"/>
        <v/>
      </c>
      <c r="Y62" s="61"/>
      <c r="Z62" s="61"/>
      <c r="AA62" s="61"/>
    </row>
    <row r="63" spans="2:27" s="59" customFormat="1" x14ac:dyDescent="0.2">
      <c r="C63" s="62" t="s">
        <v>3</v>
      </c>
      <c r="E63" s="68" t="str">
        <f>""</f>
        <v/>
      </c>
      <c r="F63" s="70" t="str">
        <f>E19</f>
        <v/>
      </c>
      <c r="G63" s="70" t="str">
        <f t="shared" ref="G63:N63" si="128">F19</f>
        <v/>
      </c>
      <c r="H63" s="70" t="str">
        <f t="shared" si="128"/>
        <v/>
      </c>
      <c r="I63" s="70">
        <f t="shared" si="128"/>
        <v>-25.045776376404888</v>
      </c>
      <c r="J63" s="70">
        <f t="shared" si="128"/>
        <v>43.997460900850115</v>
      </c>
      <c r="K63" s="70">
        <f t="shared" si="128"/>
        <v>18.108354095243776</v>
      </c>
      <c r="L63" s="70">
        <f t="shared" si="128"/>
        <v>4.4564811634674903</v>
      </c>
      <c r="M63" s="70">
        <f t="shared" si="128"/>
        <v>8.2170676209735181</v>
      </c>
      <c r="N63" s="70">
        <f t="shared" si="128"/>
        <v>8.0813705574012751</v>
      </c>
      <c r="O63" s="70">
        <f t="shared" ref="O63" si="129">N19</f>
        <v>20.201382716503137</v>
      </c>
      <c r="P63" s="70">
        <f t="shared" ref="P63" si="130">O19</f>
        <v>74.290856107090491</v>
      </c>
      <c r="Q63" s="70">
        <f t="shared" ref="Q63" si="131">P19</f>
        <v>39.446082331350226</v>
      </c>
      <c r="R63" s="70">
        <f t="shared" ref="R63" si="132">Q19</f>
        <v>16.389500856670242</v>
      </c>
      <c r="S63" s="70">
        <f t="shared" ref="S63" si="133">R19</f>
        <v>20.430175549795479</v>
      </c>
      <c r="T63" s="70" t="e">
        <f>#REF!</f>
        <v>#REF!</v>
      </c>
      <c r="U63" s="70" t="str">
        <f t="shared" ref="U63" si="134">T19</f>
        <v/>
      </c>
      <c r="V63" s="70" t="str">
        <f t="shared" ref="V63" si="135">U19</f>
        <v/>
      </c>
      <c r="W63" s="70" t="str">
        <f t="shared" ref="W63" si="136">V19</f>
        <v/>
      </c>
      <c r="Y63" s="61"/>
      <c r="Z63" s="61"/>
      <c r="AA63" s="61"/>
    </row>
    <row r="64" spans="2:27" s="59" customFormat="1" x14ac:dyDescent="0.2">
      <c r="B64" s="59" t="s">
        <v>105</v>
      </c>
      <c r="C64" s="59" t="s">
        <v>36</v>
      </c>
      <c r="E64" s="67" t="b">
        <f>TRUE</f>
        <v>1</v>
      </c>
      <c r="F64" s="67" t="b">
        <f>OR(F33=1,F32=1,(F29+F30+F31)&gt;=2)</f>
        <v>0</v>
      </c>
      <c r="G64" s="67" t="b">
        <f t="shared" ref="G64:N64" si="137">OR(G33=1,G32=1,(G29+G30+G31)&gt;=2)</f>
        <v>0</v>
      </c>
      <c r="H64" s="67" t="b">
        <f t="shared" si="137"/>
        <v>1</v>
      </c>
      <c r="I64" s="67" t="b">
        <f t="shared" si="137"/>
        <v>1</v>
      </c>
      <c r="J64" s="67" t="b">
        <f t="shared" si="137"/>
        <v>0</v>
      </c>
      <c r="K64" s="67" t="b">
        <f t="shared" si="137"/>
        <v>1</v>
      </c>
      <c r="L64" s="67" t="b">
        <f t="shared" si="137"/>
        <v>0</v>
      </c>
      <c r="M64" s="111" t="b">
        <f t="shared" si="137"/>
        <v>1</v>
      </c>
      <c r="N64" s="111" t="b">
        <f t="shared" si="137"/>
        <v>0</v>
      </c>
      <c r="O64" s="111" t="b">
        <f t="shared" ref="O64:W64" si="138">OR(O33=1,O32=1,(O29+O30+O31)&gt;=2)</f>
        <v>1</v>
      </c>
      <c r="P64" s="111" t="b">
        <f t="shared" si="138"/>
        <v>0</v>
      </c>
      <c r="Q64" s="111" t="b">
        <f t="shared" si="138"/>
        <v>1</v>
      </c>
      <c r="R64" s="111" t="b">
        <f t="shared" si="138"/>
        <v>0</v>
      </c>
      <c r="S64" s="111" t="b">
        <f t="shared" si="138"/>
        <v>1</v>
      </c>
      <c r="T64" s="111" t="b">
        <f t="shared" si="138"/>
        <v>0</v>
      </c>
      <c r="U64" s="111" t="b">
        <f t="shared" si="138"/>
        <v>0</v>
      </c>
      <c r="V64" s="111" t="b">
        <f t="shared" si="138"/>
        <v>0</v>
      </c>
      <c r="W64" s="111" t="b">
        <f t="shared" si="138"/>
        <v>0</v>
      </c>
      <c r="Y64" s="61"/>
      <c r="Z64" s="61"/>
      <c r="AA64" s="61"/>
    </row>
    <row r="65" spans="2:27" s="59" customFormat="1" x14ac:dyDescent="0.2">
      <c r="B65" s="59" t="s">
        <v>47</v>
      </c>
      <c r="C65" s="59" t="s">
        <v>36</v>
      </c>
      <c r="E65" s="67" t="b">
        <f>FALSE</f>
        <v>0</v>
      </c>
      <c r="F65" s="67" t="b">
        <f>F30+F31+F29=0</f>
        <v>1</v>
      </c>
      <c r="G65" s="67" t="b">
        <f t="shared" ref="G65:N65" si="139">G30+G31+G29=0</f>
        <v>1</v>
      </c>
      <c r="H65" s="67" t="b">
        <f t="shared" si="139"/>
        <v>0</v>
      </c>
      <c r="I65" s="67" t="b">
        <f t="shared" si="139"/>
        <v>0</v>
      </c>
      <c r="J65" s="67" t="b">
        <f t="shared" si="139"/>
        <v>1</v>
      </c>
      <c r="K65" s="67" t="b">
        <f t="shared" si="139"/>
        <v>0</v>
      </c>
      <c r="L65" s="67" t="b">
        <f t="shared" si="139"/>
        <v>0</v>
      </c>
      <c r="M65" s="111" t="b">
        <f t="shared" si="139"/>
        <v>0</v>
      </c>
      <c r="N65" s="111" t="b">
        <f t="shared" si="139"/>
        <v>0</v>
      </c>
      <c r="O65" s="111" t="b">
        <f t="shared" ref="O65:W65" si="140">O30+O31+O29=0</f>
        <v>0</v>
      </c>
      <c r="P65" s="111" t="b">
        <f t="shared" si="140"/>
        <v>0</v>
      </c>
      <c r="Q65" s="111" t="b">
        <f t="shared" si="140"/>
        <v>0</v>
      </c>
      <c r="R65" s="111" t="b">
        <f t="shared" si="140"/>
        <v>0</v>
      </c>
      <c r="S65" s="111" t="b">
        <f t="shared" si="140"/>
        <v>0</v>
      </c>
      <c r="T65" s="111" t="b">
        <f t="shared" si="140"/>
        <v>1</v>
      </c>
      <c r="U65" s="111" t="b">
        <f t="shared" si="140"/>
        <v>1</v>
      </c>
      <c r="V65" s="111" t="b">
        <f t="shared" si="140"/>
        <v>1</v>
      </c>
      <c r="W65" s="111" t="b">
        <f t="shared" si="140"/>
        <v>1</v>
      </c>
      <c r="Y65" s="61"/>
      <c r="Z65" s="61"/>
      <c r="AA65" s="61"/>
    </row>
    <row r="66" spans="2:27" s="59" customFormat="1" x14ac:dyDescent="0.2">
      <c r="B66" s="59" t="s">
        <v>36</v>
      </c>
      <c r="C66" s="59" t="s">
        <v>36</v>
      </c>
      <c r="E66" s="67" t="b">
        <f>FALSE</f>
        <v>0</v>
      </c>
      <c r="F66" s="67" t="b">
        <f>FALSE</f>
        <v>0</v>
      </c>
      <c r="G66" s="67" t="b">
        <f>FALSE</f>
        <v>0</v>
      </c>
      <c r="H66" s="67" t="b">
        <f>FALSE</f>
        <v>0</v>
      </c>
      <c r="I66" s="67" t="b">
        <f>FALSE</f>
        <v>0</v>
      </c>
      <c r="J66" s="67" t="b">
        <f>FALSE</f>
        <v>0</v>
      </c>
      <c r="K66" s="67" t="b">
        <f>FALSE</f>
        <v>0</v>
      </c>
      <c r="L66" s="67" t="b">
        <f>FALSE</f>
        <v>0</v>
      </c>
      <c r="M66" s="111" t="b">
        <f>FALSE</f>
        <v>0</v>
      </c>
      <c r="N66" s="111" t="b">
        <f>FALSE</f>
        <v>0</v>
      </c>
      <c r="O66" s="111" t="b">
        <f>FALSE</f>
        <v>0</v>
      </c>
      <c r="P66" s="111" t="b">
        <f>FALSE</f>
        <v>0</v>
      </c>
      <c r="Q66" s="111" t="b">
        <f>FALSE</f>
        <v>0</v>
      </c>
      <c r="R66" s="111" t="b">
        <f>FALSE</f>
        <v>0</v>
      </c>
      <c r="S66" s="111" t="b">
        <f>FALSE</f>
        <v>0</v>
      </c>
      <c r="T66" s="111" t="b">
        <f>FALSE</f>
        <v>0</v>
      </c>
      <c r="U66" s="111" t="b">
        <f>FALSE</f>
        <v>0</v>
      </c>
      <c r="V66" s="111" t="b">
        <f>FALSE</f>
        <v>0</v>
      </c>
      <c r="W66" s="111" t="b">
        <f>FALSE</f>
        <v>0</v>
      </c>
      <c r="Y66" s="61"/>
      <c r="Z66" s="61"/>
      <c r="AA66" s="61"/>
    </row>
    <row r="67" spans="2:27" s="59" customFormat="1" x14ac:dyDescent="0.2">
      <c r="B67" s="65"/>
      <c r="E67" s="68"/>
      <c r="Y67" s="61"/>
      <c r="Z67" s="61"/>
      <c r="AA67" s="61"/>
    </row>
    <row r="68" spans="2:27" s="59" customFormat="1" ht="25.5" x14ac:dyDescent="0.2">
      <c r="B68" s="66" t="s">
        <v>98</v>
      </c>
      <c r="C68" s="62" t="s">
        <v>0</v>
      </c>
      <c r="E68" s="68" t="str">
        <f>""</f>
        <v/>
      </c>
      <c r="F68" s="70" t="str">
        <f>E16</f>
        <v/>
      </c>
      <c r="G68" s="70" t="str">
        <f t="shared" ref="G68:N68" si="141">F16</f>
        <v/>
      </c>
      <c r="H68" s="70" t="str">
        <f t="shared" si="141"/>
        <v/>
      </c>
      <c r="I68" s="70">
        <f t="shared" si="141"/>
        <v>-25</v>
      </c>
      <c r="J68" s="70">
        <f t="shared" si="141"/>
        <v>20</v>
      </c>
      <c r="K68" s="70">
        <f t="shared" si="141"/>
        <v>4.277020603210544</v>
      </c>
      <c r="L68" s="70">
        <f t="shared" si="141"/>
        <v>4.277020603210544</v>
      </c>
      <c r="M68" s="70">
        <f t="shared" si="141"/>
        <v>8</v>
      </c>
      <c r="N68" s="70">
        <f t="shared" si="141"/>
        <v>8</v>
      </c>
      <c r="O68" s="70">
        <f t="shared" ref="O68" si="142">N16</f>
        <v>20</v>
      </c>
      <c r="P68" s="70">
        <f t="shared" ref="P68" si="143">O16</f>
        <v>35</v>
      </c>
      <c r="Q68" s="70">
        <f t="shared" ref="Q68" si="144">P16</f>
        <v>16</v>
      </c>
      <c r="R68" s="70">
        <f t="shared" ref="R68" si="145">Q16</f>
        <v>16</v>
      </c>
      <c r="S68" s="70">
        <f t="shared" ref="S68" si="146">R16</f>
        <v>20</v>
      </c>
      <c r="T68" s="70" t="e">
        <f>#REF!</f>
        <v>#REF!</v>
      </c>
      <c r="U68" s="70" t="str">
        <f t="shared" ref="U68" si="147">T16</f>
        <v/>
      </c>
      <c r="V68" s="70" t="str">
        <f t="shared" ref="V68" si="148">U16</f>
        <v/>
      </c>
      <c r="W68" s="70" t="str">
        <f t="shared" ref="W68" si="149">V16</f>
        <v/>
      </c>
      <c r="Y68" s="61"/>
      <c r="Z68" s="61"/>
      <c r="AA68" s="61"/>
    </row>
    <row r="69" spans="2:27" s="59" customFormat="1" x14ac:dyDescent="0.2">
      <c r="C69" s="63" t="s">
        <v>1</v>
      </c>
      <c r="E69" s="68" t="str">
        <f>""</f>
        <v/>
      </c>
      <c r="F69" s="59" t="str">
        <f>IF(F30=1,F7/100,"")</f>
        <v/>
      </c>
      <c r="G69" s="59" t="str">
        <f t="shared" ref="G69:N69" si="150">IF(G30=1,G7/100,"")</f>
        <v/>
      </c>
      <c r="H69" s="59">
        <f t="shared" si="150"/>
        <v>0.2</v>
      </c>
      <c r="I69" s="59">
        <f t="shared" si="150"/>
        <v>0.6</v>
      </c>
      <c r="J69" s="59" t="str">
        <f t="shared" si="150"/>
        <v/>
      </c>
      <c r="K69" s="59">
        <f t="shared" si="150"/>
        <v>0.01</v>
      </c>
      <c r="L69" s="59" t="str">
        <f t="shared" si="150"/>
        <v/>
      </c>
      <c r="M69" s="59">
        <f t="shared" si="150"/>
        <v>7.7246107631210339E-5</v>
      </c>
      <c r="N69" s="59" t="str">
        <f t="shared" si="150"/>
        <v/>
      </c>
      <c r="O69" s="59">
        <f t="shared" ref="O69:W69" si="151">IF(O30=1,O7/100,"")</f>
        <v>0.4</v>
      </c>
      <c r="P69" s="59" t="str">
        <f t="shared" si="151"/>
        <v/>
      </c>
      <c r="Q69" s="59">
        <f t="shared" si="151"/>
        <v>7.5771330367416147E-3</v>
      </c>
      <c r="R69" s="59" t="str">
        <f>IF(R30=1,R7/100,"")</f>
        <v/>
      </c>
      <c r="S69" s="59">
        <f>IF(S30=1,S7/100,"")</f>
        <v>5.889954581965501E-5</v>
      </c>
      <c r="T69" s="59" t="str">
        <f t="shared" si="151"/>
        <v/>
      </c>
      <c r="U69" s="59" t="str">
        <f>IF(U30=1,U7/100,"")</f>
        <v/>
      </c>
      <c r="V69" s="59" t="str">
        <f>IF(V30=1,V7/100,"")</f>
        <v/>
      </c>
      <c r="W69" s="59" t="str">
        <f t="shared" si="151"/>
        <v/>
      </c>
      <c r="Y69" s="61"/>
      <c r="Z69" s="61"/>
      <c r="AA69" s="61"/>
    </row>
    <row r="70" spans="2:27" s="59" customFormat="1" x14ac:dyDescent="0.2">
      <c r="C70" s="62" t="s">
        <v>2</v>
      </c>
      <c r="E70" s="68" t="str">
        <f>""</f>
        <v/>
      </c>
      <c r="F70" s="59" t="str">
        <f>IF(F31=1,F8,"")</f>
        <v/>
      </c>
      <c r="G70" s="59" t="str">
        <f t="shared" ref="G70:N70" si="152">IF(G31=1,G8,"")</f>
        <v/>
      </c>
      <c r="H70" s="59" t="str">
        <f t="shared" si="152"/>
        <v/>
      </c>
      <c r="I70" s="59" t="str">
        <f t="shared" si="152"/>
        <v/>
      </c>
      <c r="J70" s="59" t="str">
        <f t="shared" si="152"/>
        <v/>
      </c>
      <c r="K70" s="59" t="str">
        <f t="shared" si="152"/>
        <v/>
      </c>
      <c r="L70" s="59" t="str">
        <f t="shared" si="152"/>
        <v/>
      </c>
      <c r="M70" s="59" t="str">
        <f t="shared" si="152"/>
        <v/>
      </c>
      <c r="N70" s="59" t="str">
        <f t="shared" si="152"/>
        <v/>
      </c>
      <c r="O70" s="59" t="str">
        <f t="shared" ref="O70:W70" si="153">IF(O31=1,O8,"")</f>
        <v/>
      </c>
      <c r="P70" s="59" t="str">
        <f t="shared" si="153"/>
        <v/>
      </c>
      <c r="Q70" s="59" t="str">
        <f t="shared" si="153"/>
        <v/>
      </c>
      <c r="R70" s="59" t="str">
        <f>IF(R31=1,R8,"")</f>
        <v/>
      </c>
      <c r="S70" s="59" t="str">
        <f>IF(S31=1,S8,"")</f>
        <v/>
      </c>
      <c r="T70" s="59" t="str">
        <f t="shared" si="153"/>
        <v/>
      </c>
      <c r="U70" s="59" t="str">
        <f>IF(U31=1,U8,"")</f>
        <v/>
      </c>
      <c r="V70" s="59" t="str">
        <f>IF(V31=1,V8,"")</f>
        <v/>
      </c>
      <c r="W70" s="59" t="str">
        <f t="shared" si="153"/>
        <v/>
      </c>
      <c r="Y70" s="61"/>
      <c r="Z70" s="61"/>
      <c r="AA70" s="61"/>
    </row>
    <row r="71" spans="2:27" s="59" customFormat="1" x14ac:dyDescent="0.2">
      <c r="C71" s="62" t="s">
        <v>3</v>
      </c>
      <c r="E71" s="68" t="str">
        <f>""</f>
        <v/>
      </c>
      <c r="F71" s="59" t="str">
        <f>""</f>
        <v/>
      </c>
      <c r="G71" s="59" t="str">
        <f>""</f>
        <v/>
      </c>
      <c r="H71" s="59" t="str">
        <f>""</f>
        <v/>
      </c>
      <c r="I71" s="59" t="str">
        <f>""</f>
        <v/>
      </c>
      <c r="J71" s="59" t="str">
        <f>""</f>
        <v/>
      </c>
      <c r="K71" s="59" t="str">
        <f>""</f>
        <v/>
      </c>
      <c r="L71" s="59" t="str">
        <f>""</f>
        <v/>
      </c>
      <c r="M71" s="59" t="str">
        <f>""</f>
        <v/>
      </c>
      <c r="N71" s="59" t="str">
        <f>""</f>
        <v/>
      </c>
      <c r="O71" s="59" t="str">
        <f>""</f>
        <v/>
      </c>
      <c r="P71" s="59" t="str">
        <f>""</f>
        <v/>
      </c>
      <c r="Q71" s="59" t="str">
        <f>""</f>
        <v/>
      </c>
      <c r="R71" s="59" t="str">
        <f>""</f>
        <v/>
      </c>
      <c r="S71" s="59" t="str">
        <f>""</f>
        <v/>
      </c>
      <c r="T71" s="59" t="str">
        <f>""</f>
        <v/>
      </c>
      <c r="U71" s="59" t="str">
        <f>""</f>
        <v/>
      </c>
      <c r="V71" s="59" t="str">
        <f>""</f>
        <v/>
      </c>
      <c r="W71" s="59" t="str">
        <f>""</f>
        <v/>
      </c>
      <c r="Y71" s="61"/>
      <c r="Z71" s="61"/>
      <c r="AA71" s="61"/>
    </row>
    <row r="72" spans="2:27" s="59" customFormat="1" x14ac:dyDescent="0.2">
      <c r="B72" s="59" t="s">
        <v>105</v>
      </c>
      <c r="C72" s="59" t="s">
        <v>36</v>
      </c>
      <c r="E72" s="67" t="b">
        <f>TRUE</f>
        <v>1</v>
      </c>
      <c r="F72" s="67" t="b">
        <f>OR(F29=1,(F30+F31)=2,F32=1,F33=1)</f>
        <v>0</v>
      </c>
      <c r="G72" s="67" t="b">
        <f t="shared" ref="G72:N72" si="154">OR(G29=1,(G30+G31)=2,G32=1,G33=1)</f>
        <v>0</v>
      </c>
      <c r="H72" s="67" t="b">
        <f t="shared" si="154"/>
        <v>1</v>
      </c>
      <c r="I72" s="67" t="b">
        <f t="shared" si="154"/>
        <v>1</v>
      </c>
      <c r="J72" s="67" t="b">
        <f t="shared" si="154"/>
        <v>0</v>
      </c>
      <c r="K72" s="67" t="b">
        <f t="shared" si="154"/>
        <v>1</v>
      </c>
      <c r="L72" s="67" t="b">
        <f t="shared" si="154"/>
        <v>1</v>
      </c>
      <c r="M72" s="111" t="b">
        <f t="shared" si="154"/>
        <v>1</v>
      </c>
      <c r="N72" s="111" t="b">
        <f t="shared" si="154"/>
        <v>1</v>
      </c>
      <c r="O72" s="111" t="b">
        <f t="shared" ref="O72:W72" si="155">OR(O29=1,(O30+O31)=2,O32=1,O33=1)</f>
        <v>1</v>
      </c>
      <c r="P72" s="111" t="b">
        <f t="shared" si="155"/>
        <v>1</v>
      </c>
      <c r="Q72" s="111" t="b">
        <f t="shared" si="155"/>
        <v>1</v>
      </c>
      <c r="R72" s="111" t="b">
        <f t="shared" si="155"/>
        <v>1</v>
      </c>
      <c r="S72" s="111" t="b">
        <f t="shared" si="155"/>
        <v>1</v>
      </c>
      <c r="T72" s="111" t="b">
        <f t="shared" si="155"/>
        <v>0</v>
      </c>
      <c r="U72" s="111" t="b">
        <f t="shared" si="155"/>
        <v>0</v>
      </c>
      <c r="V72" s="111" t="b">
        <f t="shared" si="155"/>
        <v>0</v>
      </c>
      <c r="W72" s="111" t="b">
        <f t="shared" si="155"/>
        <v>0</v>
      </c>
      <c r="Y72" s="61"/>
      <c r="Z72" s="61"/>
      <c r="AA72" s="61"/>
    </row>
    <row r="73" spans="2:27" s="59" customFormat="1" x14ac:dyDescent="0.2">
      <c r="B73" s="59" t="s">
        <v>47</v>
      </c>
      <c r="C73" s="59" t="s">
        <v>36</v>
      </c>
      <c r="E73" s="67" t="b">
        <f>FALSE</f>
        <v>0</v>
      </c>
      <c r="F73" s="67" t="b">
        <f>(F30+F31)=0</f>
        <v>1</v>
      </c>
      <c r="G73" s="67" t="b">
        <f t="shared" ref="G73:N73" si="156">(G30+G31)=0</f>
        <v>1</v>
      </c>
      <c r="H73" s="67" t="b">
        <f t="shared" si="156"/>
        <v>0</v>
      </c>
      <c r="I73" s="67" t="b">
        <f t="shared" si="156"/>
        <v>0</v>
      </c>
      <c r="J73" s="67" t="b">
        <f t="shared" si="156"/>
        <v>1</v>
      </c>
      <c r="K73" s="67" t="b">
        <f t="shared" si="156"/>
        <v>0</v>
      </c>
      <c r="L73" s="67" t="b">
        <f t="shared" si="156"/>
        <v>1</v>
      </c>
      <c r="M73" s="111" t="b">
        <f t="shared" si="156"/>
        <v>0</v>
      </c>
      <c r="N73" s="111" t="b">
        <f t="shared" si="156"/>
        <v>1</v>
      </c>
      <c r="O73" s="111" t="b">
        <f t="shared" ref="O73:W73" si="157">(O30+O31)=0</f>
        <v>0</v>
      </c>
      <c r="P73" s="111" t="b">
        <f t="shared" si="157"/>
        <v>1</v>
      </c>
      <c r="Q73" s="111" t="b">
        <f t="shared" si="157"/>
        <v>0</v>
      </c>
      <c r="R73" s="111" t="b">
        <f t="shared" si="157"/>
        <v>1</v>
      </c>
      <c r="S73" s="111" t="b">
        <f t="shared" si="157"/>
        <v>0</v>
      </c>
      <c r="T73" s="111" t="b">
        <f t="shared" si="157"/>
        <v>1</v>
      </c>
      <c r="U73" s="111" t="b">
        <f t="shared" si="157"/>
        <v>1</v>
      </c>
      <c r="V73" s="111" t="b">
        <f t="shared" si="157"/>
        <v>1</v>
      </c>
      <c r="W73" s="111" t="b">
        <f t="shared" si="157"/>
        <v>1</v>
      </c>
      <c r="Y73" s="61"/>
      <c r="Z73" s="61"/>
      <c r="AA73" s="61"/>
    </row>
    <row r="74" spans="2:27" s="59" customFormat="1" x14ac:dyDescent="0.2">
      <c r="B74" s="59" t="s">
        <v>36</v>
      </c>
      <c r="C74" s="59" t="s">
        <v>36</v>
      </c>
      <c r="E74" s="67" t="b">
        <f>FALSE</f>
        <v>0</v>
      </c>
      <c r="F74" s="67" t="b">
        <f>FALSE</f>
        <v>0</v>
      </c>
      <c r="G74" s="67" t="b">
        <f>FALSE</f>
        <v>0</v>
      </c>
      <c r="H74" s="67" t="b">
        <f>FALSE</f>
        <v>0</v>
      </c>
      <c r="I74" s="67" t="b">
        <f>FALSE</f>
        <v>0</v>
      </c>
      <c r="J74" s="67" t="b">
        <f>FALSE</f>
        <v>0</v>
      </c>
      <c r="K74" s="67" t="b">
        <f>FALSE</f>
        <v>0</v>
      </c>
      <c r="L74" s="67" t="b">
        <f>FALSE</f>
        <v>0</v>
      </c>
      <c r="M74" s="111" t="b">
        <f>FALSE</f>
        <v>0</v>
      </c>
      <c r="N74" s="111" t="b">
        <f>FALSE</f>
        <v>0</v>
      </c>
      <c r="O74" s="111" t="b">
        <f>FALSE</f>
        <v>0</v>
      </c>
      <c r="P74" s="111" t="b">
        <f>FALSE</f>
        <v>0</v>
      </c>
      <c r="Q74" s="111" t="b">
        <f>FALSE</f>
        <v>0</v>
      </c>
      <c r="R74" s="111" t="b">
        <f>FALSE</f>
        <v>0</v>
      </c>
      <c r="S74" s="111" t="b">
        <f>FALSE</f>
        <v>0</v>
      </c>
      <c r="T74" s="111" t="b">
        <f>FALSE</f>
        <v>0</v>
      </c>
      <c r="U74" s="111" t="b">
        <f>FALSE</f>
        <v>0</v>
      </c>
      <c r="V74" s="111" t="b">
        <f>FALSE</f>
        <v>0</v>
      </c>
      <c r="W74" s="111" t="b">
        <f>FALSE</f>
        <v>0</v>
      </c>
      <c r="Y74" s="61"/>
      <c r="Z74" s="61"/>
      <c r="AA74" s="61"/>
    </row>
    <row r="75" spans="2:27" s="59" customFormat="1" x14ac:dyDescent="0.2">
      <c r="E75" s="68"/>
      <c r="Y75" s="61"/>
      <c r="Z75" s="61"/>
      <c r="AA75" s="61"/>
    </row>
    <row r="76" spans="2:27" s="59" customFormat="1" ht="25.5" x14ac:dyDescent="0.2">
      <c r="B76" s="66" t="s">
        <v>99</v>
      </c>
      <c r="C76" s="62" t="s">
        <v>0</v>
      </c>
      <c r="E76" s="68" t="str">
        <f>""</f>
        <v/>
      </c>
      <c r="F76" s="68" t="str">
        <f>""</f>
        <v/>
      </c>
      <c r="G76" s="59" t="str">
        <f>""</f>
        <v/>
      </c>
      <c r="H76" s="59" t="str">
        <f>""</f>
        <v/>
      </c>
      <c r="I76" s="59" t="str">
        <f>""</f>
        <v/>
      </c>
      <c r="J76" s="59" t="str">
        <f>""</f>
        <v/>
      </c>
      <c r="K76" s="59" t="str">
        <f>""</f>
        <v/>
      </c>
      <c r="L76" s="59" t="str">
        <f>""</f>
        <v/>
      </c>
      <c r="M76" s="59" t="str">
        <f>""</f>
        <v/>
      </c>
      <c r="N76" s="59" t="str">
        <f>""</f>
        <v/>
      </c>
      <c r="O76" s="59" t="str">
        <f>""</f>
        <v/>
      </c>
      <c r="P76" s="59" t="str">
        <f>""</f>
        <v/>
      </c>
      <c r="Q76" s="59" t="str">
        <f>""</f>
        <v/>
      </c>
      <c r="R76" s="59" t="str">
        <f>""</f>
        <v/>
      </c>
      <c r="S76" s="59" t="str">
        <f>""</f>
        <v/>
      </c>
      <c r="T76" s="59" t="str">
        <f>""</f>
        <v/>
      </c>
      <c r="U76" s="59" t="str">
        <f>""</f>
        <v/>
      </c>
      <c r="V76" s="59" t="str">
        <f>""</f>
        <v/>
      </c>
      <c r="W76" s="59" t="str">
        <f>""</f>
        <v/>
      </c>
      <c r="Y76" s="61"/>
      <c r="Z76" s="61"/>
      <c r="AA76" s="61"/>
    </row>
    <row r="77" spans="2:27" s="59" customFormat="1" x14ac:dyDescent="0.2">
      <c r="C77" s="63" t="s">
        <v>1</v>
      </c>
      <c r="E77" s="68" t="str">
        <f>""</f>
        <v/>
      </c>
      <c r="F77" s="68" t="str">
        <f>""</f>
        <v/>
      </c>
      <c r="G77" s="59" t="str">
        <f>""</f>
        <v/>
      </c>
      <c r="H77" s="59" t="str">
        <f>""</f>
        <v/>
      </c>
      <c r="I77" s="59" t="str">
        <f>""</f>
        <v/>
      </c>
      <c r="J77" s="59" t="str">
        <f>""</f>
        <v/>
      </c>
      <c r="K77" s="59" t="str">
        <f>""</f>
        <v/>
      </c>
      <c r="L77" s="59" t="str">
        <f>""</f>
        <v/>
      </c>
      <c r="M77" s="59" t="str">
        <f>""</f>
        <v/>
      </c>
      <c r="N77" s="59" t="str">
        <f>""</f>
        <v/>
      </c>
      <c r="O77" s="59" t="str">
        <f>""</f>
        <v/>
      </c>
      <c r="P77" s="59" t="str">
        <f>""</f>
        <v/>
      </c>
      <c r="Q77" s="59" t="str">
        <f>""</f>
        <v/>
      </c>
      <c r="R77" s="59" t="str">
        <f>""</f>
        <v/>
      </c>
      <c r="S77" s="59" t="str">
        <f>""</f>
        <v/>
      </c>
      <c r="T77" s="59" t="str">
        <f>""</f>
        <v/>
      </c>
      <c r="U77" s="59" t="str">
        <f>""</f>
        <v/>
      </c>
      <c r="V77" s="59" t="str">
        <f>""</f>
        <v/>
      </c>
      <c r="W77" s="59" t="str">
        <f>""</f>
        <v/>
      </c>
      <c r="Y77" s="61"/>
      <c r="Z77" s="61"/>
      <c r="AA77" s="61"/>
    </row>
    <row r="78" spans="2:27" s="59" customFormat="1" x14ac:dyDescent="0.2">
      <c r="C78" s="62" t="s">
        <v>2</v>
      </c>
      <c r="E78" s="68" t="str">
        <f>""</f>
        <v/>
      </c>
      <c r="F78" s="68" t="str">
        <f>""</f>
        <v/>
      </c>
      <c r="G78" s="67" t="e">
        <f>(E18*E35+F35*F18)/(E35+F35)</f>
        <v>#VALUE!</v>
      </c>
      <c r="H78" s="67" t="e">
        <f t="shared" ref="H78:N78" si="158">(F18*F35+G35*G18)/(F35+G35)</f>
        <v>#VALUE!</v>
      </c>
      <c r="I78" s="67" t="e">
        <f t="shared" si="158"/>
        <v>#VALUE!</v>
      </c>
      <c r="J78" s="67">
        <f t="shared" si="158"/>
        <v>5.8910284768057668</v>
      </c>
      <c r="K78" s="67">
        <f t="shared" si="158"/>
        <v>6.9880406627815574</v>
      </c>
      <c r="L78" s="67">
        <f t="shared" si="158"/>
        <v>2.7751099972861604</v>
      </c>
      <c r="M78" s="111">
        <f t="shared" si="158"/>
        <v>5.4480985171597475E-2</v>
      </c>
      <c r="N78" s="111">
        <f t="shared" si="158"/>
        <v>2.7512873899946159E-2</v>
      </c>
      <c r="O78" s="111">
        <f t="shared" ref="O78" si="159">(M18*M35+N35*N18)/(M35+N35)</f>
        <v>5.4476262829484417E-4</v>
      </c>
      <c r="P78" s="111">
        <f t="shared" ref="P78" si="160">(N18*N35+O35*O18)/(N35+O35)</f>
        <v>7.5878286158900572</v>
      </c>
      <c r="Q78" s="111">
        <f t="shared" ref="Q78" si="161">(O18*O35+P35*P18)/(O35+P35)</f>
        <v>12.188166788589372</v>
      </c>
      <c r="R78" s="111">
        <f t="shared" ref="R78" si="162">(P18*P35+Q35*Q18)/(P35+Q35)</f>
        <v>4.6459528339353522</v>
      </c>
      <c r="S78" s="111">
        <f t="shared" ref="S78" si="163">(Q18*Q35+R35*R18)/(Q35+R35)</f>
        <v>9.0684559843778378E-2</v>
      </c>
      <c r="T78" s="111" t="e">
        <f>(S18*S35+#REF!*#REF!)/(S35+#REF!)</f>
        <v>#REF!</v>
      </c>
      <c r="U78" s="111" t="e">
        <f>(#REF!*#REF!+T35*T18)/(#REF!+T35)</f>
        <v>#REF!</v>
      </c>
      <c r="V78" s="111" t="e">
        <f t="shared" ref="V78" si="164">(T18*T35+U35*U18)/(T35+U35)</f>
        <v>#VALUE!</v>
      </c>
      <c r="W78" s="111" t="e">
        <f t="shared" ref="W78" si="165">(U18*U35+V35*V18)/(U35+V35)</f>
        <v>#VALUE!</v>
      </c>
      <c r="Y78" s="61"/>
      <c r="Z78" s="61"/>
      <c r="AA78" s="61"/>
    </row>
    <row r="79" spans="2:27" s="59" customFormat="1" x14ac:dyDescent="0.2">
      <c r="C79" s="62" t="s">
        <v>3</v>
      </c>
      <c r="E79" s="68" t="str">
        <f>""</f>
        <v/>
      </c>
      <c r="F79" s="68" t="str">
        <f>""</f>
        <v/>
      </c>
      <c r="G79" s="67" t="e">
        <f>(E19*E35+F35*F19)/(E35+F35)</f>
        <v>#VALUE!</v>
      </c>
      <c r="H79" s="67" t="e">
        <f t="shared" ref="H79:N79" si="166">(F19*F35+G35*G19)/(F35+G35)</f>
        <v>#VALUE!</v>
      </c>
      <c r="I79" s="67" t="e">
        <f t="shared" si="166"/>
        <v>#VALUE!</v>
      </c>
      <c r="J79" s="67">
        <f t="shared" si="166"/>
        <v>18.106246921879489</v>
      </c>
      <c r="K79" s="67">
        <f t="shared" si="166"/>
        <v>28.065702866630833</v>
      </c>
      <c r="L79" s="67">
        <f t="shared" si="166"/>
        <v>11.282417629355633</v>
      </c>
      <c r="M79" s="111">
        <f t="shared" si="166"/>
        <v>6.3367743922205033</v>
      </c>
      <c r="N79" s="111">
        <f t="shared" si="166"/>
        <v>8.1492190891873975</v>
      </c>
      <c r="O79" s="111">
        <f t="shared" ref="O79" si="167">(M19*M35+N35*N19)/(M35+N35)</f>
        <v>14.141376636952206</v>
      </c>
      <c r="P79" s="111">
        <f t="shared" ref="P79" si="168">(N19*N35+O35*O19)/(N35+O35)</f>
        <v>47.246119411796812</v>
      </c>
      <c r="Q79" s="111">
        <f t="shared" ref="Q79" si="169">(O19*O35+P35*P19)/(O35+P35)</f>
        <v>56.868469219220351</v>
      </c>
      <c r="R79" s="111">
        <f t="shared" ref="R79" si="170">(P19*P35+Q35*Q19)/(P35+Q35)</f>
        <v>27.917791594010236</v>
      </c>
      <c r="S79" s="111">
        <f t="shared" ref="S79" si="171">(Q19*Q35+R35*R19)/(Q35+R35)</f>
        <v>18.409838203232859</v>
      </c>
      <c r="T79" s="111" t="e">
        <f>(S19*S35+#REF!*#REF!)/(S35+#REF!)</f>
        <v>#REF!</v>
      </c>
      <c r="U79" s="111" t="e">
        <f>(#REF!*#REF!+T35*T19)/(#REF!+T35)</f>
        <v>#REF!</v>
      </c>
      <c r="V79" s="111" t="e">
        <f t="shared" ref="V79" si="172">(T19*T35+U35*U19)/(T35+U35)</f>
        <v>#VALUE!</v>
      </c>
      <c r="W79" s="111" t="e">
        <f t="shared" ref="W79" si="173">(U19*U35+V35*V19)/(U35+V35)</f>
        <v>#VALUE!</v>
      </c>
      <c r="Y79" s="61"/>
      <c r="Z79" s="61"/>
      <c r="AA79" s="61"/>
    </row>
    <row r="80" spans="2:27" s="59" customFormat="1" x14ac:dyDescent="0.2">
      <c r="B80" s="59" t="s">
        <v>105</v>
      </c>
      <c r="C80" s="59" t="s">
        <v>36</v>
      </c>
      <c r="E80" s="67" t="b">
        <f>TRUE</f>
        <v>1</v>
      </c>
      <c r="F80" s="67" t="b">
        <f>TRUE</f>
        <v>1</v>
      </c>
      <c r="G80" s="67" t="b">
        <f>(G34+G33)&gt;=1</f>
        <v>0</v>
      </c>
      <c r="H80" s="67" t="b">
        <f t="shared" ref="H80:N80" si="174">(H34+H33)&gt;=1</f>
        <v>1</v>
      </c>
      <c r="I80" s="67" t="b">
        <f t="shared" si="174"/>
        <v>1</v>
      </c>
      <c r="J80" s="67" t="b">
        <f t="shared" si="174"/>
        <v>0</v>
      </c>
      <c r="K80" s="67" t="b">
        <f t="shared" si="174"/>
        <v>1</v>
      </c>
      <c r="L80" s="67" t="b">
        <f t="shared" si="174"/>
        <v>1</v>
      </c>
      <c r="M80" s="111" t="b">
        <f t="shared" si="174"/>
        <v>1</v>
      </c>
      <c r="N80" s="111" t="b">
        <f t="shared" si="174"/>
        <v>1</v>
      </c>
      <c r="O80" s="111" t="b">
        <f t="shared" ref="O80:W80" si="175">(O34+O33)&gt;=1</f>
        <v>1</v>
      </c>
      <c r="P80" s="111" t="b">
        <f t="shared" si="175"/>
        <v>1</v>
      </c>
      <c r="Q80" s="111" t="b">
        <f t="shared" si="175"/>
        <v>1</v>
      </c>
      <c r="R80" s="111" t="b">
        <f t="shared" si="175"/>
        <v>1</v>
      </c>
      <c r="S80" s="111" t="b">
        <f t="shared" si="175"/>
        <v>1</v>
      </c>
      <c r="T80" s="111" t="b">
        <f t="shared" si="175"/>
        <v>0</v>
      </c>
      <c r="U80" s="111" t="b">
        <f t="shared" si="175"/>
        <v>0</v>
      </c>
      <c r="V80" s="111" t="b">
        <f t="shared" si="175"/>
        <v>0</v>
      </c>
      <c r="W80" s="111" t="b">
        <f t="shared" si="175"/>
        <v>0</v>
      </c>
      <c r="Y80" s="61"/>
      <c r="Z80" s="61"/>
      <c r="AA80" s="61"/>
    </row>
    <row r="81" spans="2:27" s="59" customFormat="1" x14ac:dyDescent="0.2">
      <c r="B81" s="59" t="s">
        <v>47</v>
      </c>
      <c r="C81" s="59" t="s">
        <v>36</v>
      </c>
      <c r="E81" s="67" t="b">
        <f>FALSE</f>
        <v>0</v>
      </c>
      <c r="F81" s="67" t="b">
        <f>FALSE</f>
        <v>0</v>
      </c>
      <c r="G81" s="67" t="b">
        <f>FALSE</f>
        <v>0</v>
      </c>
      <c r="H81" s="67" t="b">
        <f>FALSE</f>
        <v>0</v>
      </c>
      <c r="I81" s="67" t="b">
        <f>FALSE</f>
        <v>0</v>
      </c>
      <c r="J81" s="67" t="b">
        <f>FALSE</f>
        <v>0</v>
      </c>
      <c r="K81" s="67" t="b">
        <f>FALSE</f>
        <v>0</v>
      </c>
      <c r="L81" s="67" t="b">
        <f>FALSE</f>
        <v>0</v>
      </c>
      <c r="M81" s="111" t="b">
        <f>FALSE</f>
        <v>0</v>
      </c>
      <c r="N81" s="111" t="b">
        <f>FALSE</f>
        <v>0</v>
      </c>
      <c r="O81" s="111" t="b">
        <f>FALSE</f>
        <v>0</v>
      </c>
      <c r="P81" s="111" t="b">
        <f>FALSE</f>
        <v>0</v>
      </c>
      <c r="Q81" s="111" t="b">
        <f>FALSE</f>
        <v>0</v>
      </c>
      <c r="R81" s="111" t="b">
        <f>FALSE</f>
        <v>0</v>
      </c>
      <c r="S81" s="111" t="b">
        <f>FALSE</f>
        <v>0</v>
      </c>
      <c r="T81" s="111" t="b">
        <f>FALSE</f>
        <v>0</v>
      </c>
      <c r="U81" s="111" t="b">
        <f>FALSE</f>
        <v>0</v>
      </c>
      <c r="V81" s="111" t="b">
        <f>FALSE</f>
        <v>0</v>
      </c>
      <c r="W81" s="111" t="b">
        <f>FALSE</f>
        <v>0</v>
      </c>
      <c r="Y81" s="61"/>
      <c r="Z81" s="61"/>
      <c r="AA81" s="61"/>
    </row>
    <row r="82" spans="2:27" s="59" customFormat="1" x14ac:dyDescent="0.2">
      <c r="B82" s="59" t="s">
        <v>36</v>
      </c>
      <c r="C82" s="59" t="s">
        <v>36</v>
      </c>
      <c r="E82" s="67" t="b">
        <f>FALSE</f>
        <v>0</v>
      </c>
      <c r="F82" s="67" t="b">
        <f>FALSE</f>
        <v>0</v>
      </c>
      <c r="G82" s="67" t="b">
        <f>FALSE</f>
        <v>0</v>
      </c>
      <c r="H82" s="67" t="b">
        <f>FALSE</f>
        <v>0</v>
      </c>
      <c r="I82" s="67" t="b">
        <f>FALSE</f>
        <v>0</v>
      </c>
      <c r="J82" s="67" t="b">
        <f>FALSE</f>
        <v>0</v>
      </c>
      <c r="K82" s="67" t="b">
        <f>FALSE</f>
        <v>0</v>
      </c>
      <c r="L82" s="67" t="b">
        <f>FALSE</f>
        <v>0</v>
      </c>
      <c r="M82" s="111" t="b">
        <f>FALSE</f>
        <v>0</v>
      </c>
      <c r="N82" s="111" t="b">
        <f>FALSE</f>
        <v>0</v>
      </c>
      <c r="O82" s="111" t="b">
        <f>FALSE</f>
        <v>0</v>
      </c>
      <c r="P82" s="111" t="b">
        <f>FALSE</f>
        <v>0</v>
      </c>
      <c r="Q82" s="111" t="b">
        <f>FALSE</f>
        <v>0</v>
      </c>
      <c r="R82" s="111" t="b">
        <f>FALSE</f>
        <v>0</v>
      </c>
      <c r="S82" s="111" t="b">
        <f>FALSE</f>
        <v>0</v>
      </c>
      <c r="T82" s="111" t="b">
        <f>FALSE</f>
        <v>0</v>
      </c>
      <c r="U82" s="111" t="b">
        <f>FALSE</f>
        <v>0</v>
      </c>
      <c r="V82" s="111" t="b">
        <f>FALSE</f>
        <v>0</v>
      </c>
      <c r="W82" s="111" t="b">
        <f>FALSE</f>
        <v>0</v>
      </c>
      <c r="Y82" s="61"/>
      <c r="Z82" s="61"/>
      <c r="AA82" s="61"/>
    </row>
    <row r="83" spans="2:27" s="59" customFormat="1" x14ac:dyDescent="0.2">
      <c r="E83" s="68"/>
      <c r="Y83" s="61"/>
      <c r="Z83" s="61"/>
      <c r="AA83" s="61"/>
    </row>
    <row r="84" spans="2:27" s="59" customFormat="1" ht="25.5" x14ac:dyDescent="0.2">
      <c r="B84" s="66" t="s">
        <v>100</v>
      </c>
      <c r="C84" s="62" t="s">
        <v>0</v>
      </c>
      <c r="E84" s="59" t="str">
        <f>IF(E29=1,E6,"")</f>
        <v/>
      </c>
      <c r="F84" s="59" t="str">
        <f t="shared" ref="F84:N84" si="176">IF(F29=1,F6,"")</f>
        <v/>
      </c>
      <c r="G84" s="59" t="str">
        <f t="shared" si="176"/>
        <v/>
      </c>
      <c r="H84" s="59">
        <f t="shared" si="176"/>
        <v>-25</v>
      </c>
      <c r="I84" s="59">
        <f t="shared" si="176"/>
        <v>20</v>
      </c>
      <c r="J84" s="59" t="str">
        <f t="shared" si="176"/>
        <v/>
      </c>
      <c r="K84" s="59">
        <f t="shared" si="176"/>
        <v>4.277020603210544</v>
      </c>
      <c r="L84" s="59">
        <f t="shared" si="176"/>
        <v>8</v>
      </c>
      <c r="M84" s="59">
        <f t="shared" si="176"/>
        <v>8</v>
      </c>
      <c r="N84" s="59">
        <f t="shared" si="176"/>
        <v>20</v>
      </c>
      <c r="O84" s="59">
        <f t="shared" ref="O84:W84" si="177">IF(O29=1,O6,"")</f>
        <v>35</v>
      </c>
      <c r="P84" s="59">
        <f t="shared" si="177"/>
        <v>16</v>
      </c>
      <c r="Q84" s="59">
        <f t="shared" si="177"/>
        <v>16</v>
      </c>
      <c r="R84" s="59">
        <f>IF(R29=1,R6,"")</f>
        <v>20</v>
      </c>
      <c r="S84" s="59">
        <f>IF(S29=1,S6,"")</f>
        <v>20</v>
      </c>
      <c r="T84" s="59" t="str">
        <f t="shared" si="177"/>
        <v/>
      </c>
      <c r="U84" s="59" t="str">
        <f>IF(U29=1,U6,"")</f>
        <v/>
      </c>
      <c r="V84" s="59" t="str">
        <f>IF(V29=1,V6,"")</f>
        <v/>
      </c>
      <c r="W84" s="59" t="str">
        <f t="shared" si="177"/>
        <v/>
      </c>
      <c r="Y84" s="61"/>
      <c r="Z84" s="61"/>
      <c r="AA84" s="61"/>
    </row>
    <row r="85" spans="2:27" s="59" customFormat="1" x14ac:dyDescent="0.2">
      <c r="C85" s="63" t="s">
        <v>1</v>
      </c>
      <c r="E85" s="59" t="str">
        <f>IF(E30=1,E7/100,"")</f>
        <v/>
      </c>
      <c r="F85" s="59" t="str">
        <f t="shared" ref="F85:N85" si="178">IF(F30=1,F7/100,"")</f>
        <v/>
      </c>
      <c r="G85" s="59" t="str">
        <f t="shared" si="178"/>
        <v/>
      </c>
      <c r="H85" s="59">
        <f t="shared" si="178"/>
        <v>0.2</v>
      </c>
      <c r="I85" s="59">
        <f t="shared" si="178"/>
        <v>0.6</v>
      </c>
      <c r="J85" s="59" t="str">
        <f t="shared" si="178"/>
        <v/>
      </c>
      <c r="K85" s="59">
        <f t="shared" si="178"/>
        <v>0.01</v>
      </c>
      <c r="L85" s="59" t="str">
        <f t="shared" si="178"/>
        <v/>
      </c>
      <c r="M85" s="59">
        <f t="shared" si="178"/>
        <v>7.7246107631210339E-5</v>
      </c>
      <c r="N85" s="59" t="str">
        <f t="shared" si="178"/>
        <v/>
      </c>
      <c r="O85" s="59">
        <f t="shared" ref="O85:W85" si="179">IF(O30=1,O7/100,"")</f>
        <v>0.4</v>
      </c>
      <c r="P85" s="59" t="str">
        <f t="shared" si="179"/>
        <v/>
      </c>
      <c r="Q85" s="59">
        <f t="shared" si="179"/>
        <v>7.5771330367416147E-3</v>
      </c>
      <c r="R85" s="59" t="str">
        <f>IF(R30=1,R7/100,"")</f>
        <v/>
      </c>
      <c r="S85" s="59">
        <f>IF(S30=1,S7/100,"")</f>
        <v>5.889954581965501E-5</v>
      </c>
      <c r="T85" s="59" t="str">
        <f t="shared" si="179"/>
        <v/>
      </c>
      <c r="U85" s="59" t="str">
        <f>IF(U30=1,U7/100,"")</f>
        <v/>
      </c>
      <c r="V85" s="59" t="str">
        <f>IF(V30=1,V7/100,"")</f>
        <v/>
      </c>
      <c r="W85" s="59" t="str">
        <f t="shared" si="179"/>
        <v/>
      </c>
      <c r="Y85" s="61"/>
      <c r="Z85" s="61"/>
      <c r="AA85" s="61"/>
    </row>
    <row r="86" spans="2:27" s="59" customFormat="1" x14ac:dyDescent="0.2">
      <c r="C86" s="62" t="s">
        <v>2</v>
      </c>
      <c r="E86" s="59" t="str">
        <f>IF(E31=1,E8,"")</f>
        <v/>
      </c>
      <c r="F86" s="59" t="str">
        <f t="shared" ref="F86:N86" si="180">IF(F31=1,F8,"")</f>
        <v/>
      </c>
      <c r="G86" s="59" t="str">
        <f t="shared" si="180"/>
        <v/>
      </c>
      <c r="H86" s="59" t="str">
        <f t="shared" si="180"/>
        <v/>
      </c>
      <c r="I86" s="59" t="str">
        <f t="shared" si="180"/>
        <v/>
      </c>
      <c r="J86" s="59" t="str">
        <f t="shared" si="180"/>
        <v/>
      </c>
      <c r="K86" s="59" t="str">
        <f t="shared" si="180"/>
        <v/>
      </c>
      <c r="L86" s="59" t="str">
        <f t="shared" si="180"/>
        <v/>
      </c>
      <c r="M86" s="59" t="str">
        <f t="shared" si="180"/>
        <v/>
      </c>
      <c r="N86" s="59" t="str">
        <f t="shared" si="180"/>
        <v/>
      </c>
      <c r="O86" s="59" t="str">
        <f t="shared" ref="O86:W86" si="181">IF(O31=1,O8,"")</f>
        <v/>
      </c>
      <c r="P86" s="59" t="str">
        <f t="shared" si="181"/>
        <v/>
      </c>
      <c r="Q86" s="59" t="str">
        <f t="shared" si="181"/>
        <v/>
      </c>
      <c r="R86" s="59" t="str">
        <f>IF(R31=1,R8,"")</f>
        <v/>
      </c>
      <c r="S86" s="59" t="str">
        <f>IF(S31=1,S8,"")</f>
        <v/>
      </c>
      <c r="T86" s="59" t="str">
        <f t="shared" si="181"/>
        <v/>
      </c>
      <c r="U86" s="59" t="str">
        <f>IF(U31=1,U8,"")</f>
        <v/>
      </c>
      <c r="V86" s="59" t="str">
        <f>IF(V31=1,V8,"")</f>
        <v/>
      </c>
      <c r="W86" s="59" t="str">
        <f t="shared" si="181"/>
        <v/>
      </c>
      <c r="Y86" s="61"/>
      <c r="Z86" s="61"/>
      <c r="AA86" s="61"/>
    </row>
    <row r="87" spans="2:27" s="59" customFormat="1" x14ac:dyDescent="0.2">
      <c r="C87" s="62" t="s">
        <v>3</v>
      </c>
      <c r="E87" s="59" t="str">
        <f>IF(E32=1,E9,"")</f>
        <v/>
      </c>
      <c r="F87" s="59" t="str">
        <f t="shared" ref="F87:N87" si="182">IF(F32=1,F9,"")</f>
        <v/>
      </c>
      <c r="G87" s="59" t="str">
        <f t="shared" si="182"/>
        <v/>
      </c>
      <c r="H87" s="59" t="str">
        <f t="shared" si="182"/>
        <v/>
      </c>
      <c r="I87" s="59" t="str">
        <f t="shared" si="182"/>
        <v/>
      </c>
      <c r="J87" s="59" t="str">
        <f t="shared" si="182"/>
        <v/>
      </c>
      <c r="K87" s="59" t="str">
        <f t="shared" si="182"/>
        <v/>
      </c>
      <c r="L87" s="59" t="str">
        <f t="shared" si="182"/>
        <v/>
      </c>
      <c r="M87" s="59" t="str">
        <f t="shared" si="182"/>
        <v/>
      </c>
      <c r="N87" s="59" t="str">
        <f t="shared" si="182"/>
        <v/>
      </c>
      <c r="O87" s="59" t="str">
        <f t="shared" ref="O87:W87" si="183">IF(O32=1,O9,"")</f>
        <v/>
      </c>
      <c r="P87" s="59" t="str">
        <f t="shared" si="183"/>
        <v/>
      </c>
      <c r="Q87" s="59" t="str">
        <f t="shared" si="183"/>
        <v/>
      </c>
      <c r="R87" s="59" t="str">
        <f>IF(R32=1,R9,"")</f>
        <v/>
      </c>
      <c r="S87" s="59" t="str">
        <f>IF(S32=1,S9,"")</f>
        <v/>
      </c>
      <c r="T87" s="59" t="str">
        <f t="shared" si="183"/>
        <v/>
      </c>
      <c r="U87" s="59" t="str">
        <f>IF(U32=1,U9,"")</f>
        <v/>
      </c>
      <c r="V87" s="59" t="str">
        <f>IF(V32=1,V9,"")</f>
        <v/>
      </c>
      <c r="W87" s="59" t="str">
        <f t="shared" si="183"/>
        <v/>
      </c>
      <c r="Y87" s="61"/>
      <c r="Z87" s="61"/>
      <c r="AA87" s="61"/>
    </row>
    <row r="88" spans="2:27" s="59" customFormat="1" x14ac:dyDescent="0.2">
      <c r="B88" s="59" t="s">
        <v>105</v>
      </c>
      <c r="C88" s="59" t="s">
        <v>36</v>
      </c>
      <c r="E88" s="67" t="b">
        <f>TRUE</f>
        <v>1</v>
      </c>
      <c r="F88" s="67" t="b">
        <f t="shared" ref="F88:N88" si="184">OR(F34&gt;2,F33=1)</f>
        <v>0</v>
      </c>
      <c r="G88" s="67" t="b">
        <f t="shared" si="184"/>
        <v>0</v>
      </c>
      <c r="H88" s="67" t="b">
        <f t="shared" si="184"/>
        <v>0</v>
      </c>
      <c r="I88" s="67" t="b">
        <f t="shared" si="184"/>
        <v>0</v>
      </c>
      <c r="J88" s="67" t="b">
        <f t="shared" si="184"/>
        <v>0</v>
      </c>
      <c r="K88" s="67" t="b">
        <f t="shared" si="184"/>
        <v>0</v>
      </c>
      <c r="L88" s="67" t="b">
        <f t="shared" si="184"/>
        <v>0</v>
      </c>
      <c r="M88" s="111" t="b">
        <f t="shared" si="184"/>
        <v>0</v>
      </c>
      <c r="N88" s="111" t="b">
        <f t="shared" si="184"/>
        <v>0</v>
      </c>
      <c r="O88" s="111" t="b">
        <f t="shared" ref="O88:W88" si="185">OR(O34&gt;2,O33=1)</f>
        <v>0</v>
      </c>
      <c r="P88" s="111" t="b">
        <f t="shared" si="185"/>
        <v>0</v>
      </c>
      <c r="Q88" s="111" t="b">
        <f t="shared" si="185"/>
        <v>0</v>
      </c>
      <c r="R88" s="111" t="b">
        <f t="shared" si="185"/>
        <v>0</v>
      </c>
      <c r="S88" s="111" t="b">
        <f t="shared" si="185"/>
        <v>0</v>
      </c>
      <c r="T88" s="111" t="b">
        <f t="shared" si="185"/>
        <v>0</v>
      </c>
      <c r="U88" s="111" t="b">
        <f t="shared" si="185"/>
        <v>0</v>
      </c>
      <c r="V88" s="111" t="b">
        <f t="shared" si="185"/>
        <v>0</v>
      </c>
      <c r="W88" s="111" t="b">
        <f t="shared" si="185"/>
        <v>0</v>
      </c>
      <c r="Y88" s="61"/>
      <c r="Z88" s="61"/>
      <c r="AA88" s="61"/>
    </row>
    <row r="89" spans="2:27" s="59" customFormat="1" x14ac:dyDescent="0.2">
      <c r="B89" s="59" t="s">
        <v>47</v>
      </c>
      <c r="C89" s="59" t="s">
        <v>36</v>
      </c>
      <c r="E89" s="67" t="b">
        <f>FALSE</f>
        <v>0</v>
      </c>
      <c r="F89" s="67" t="b">
        <f t="shared" ref="F89:N89" si="186">F34=1</f>
        <v>0</v>
      </c>
      <c r="G89" s="67" t="b">
        <f t="shared" si="186"/>
        <v>0</v>
      </c>
      <c r="H89" s="67" t="b">
        <f t="shared" si="186"/>
        <v>0</v>
      </c>
      <c r="I89" s="67" t="b">
        <f t="shared" si="186"/>
        <v>0</v>
      </c>
      <c r="J89" s="67" t="b">
        <f t="shared" si="186"/>
        <v>0</v>
      </c>
      <c r="K89" s="67" t="b">
        <f t="shared" si="186"/>
        <v>0</v>
      </c>
      <c r="L89" s="67" t="b">
        <f t="shared" si="186"/>
        <v>1</v>
      </c>
      <c r="M89" s="111" t="b">
        <f t="shared" si="186"/>
        <v>0</v>
      </c>
      <c r="N89" s="111" t="b">
        <f t="shared" si="186"/>
        <v>1</v>
      </c>
      <c r="O89" s="111" t="b">
        <f t="shared" ref="O89:W89" si="187">O34=1</f>
        <v>0</v>
      </c>
      <c r="P89" s="111" t="b">
        <f t="shared" si="187"/>
        <v>1</v>
      </c>
      <c r="Q89" s="111" t="b">
        <f t="shared" si="187"/>
        <v>0</v>
      </c>
      <c r="R89" s="111" t="b">
        <f t="shared" si="187"/>
        <v>1</v>
      </c>
      <c r="S89" s="111" t="b">
        <f t="shared" si="187"/>
        <v>0</v>
      </c>
      <c r="T89" s="111" t="b">
        <f t="shared" si="187"/>
        <v>0</v>
      </c>
      <c r="U89" s="111" t="b">
        <f t="shared" si="187"/>
        <v>0</v>
      </c>
      <c r="V89" s="111" t="b">
        <f t="shared" si="187"/>
        <v>0</v>
      </c>
      <c r="W89" s="111" t="b">
        <f t="shared" si="187"/>
        <v>0</v>
      </c>
      <c r="Y89" s="61"/>
      <c r="Z89" s="61"/>
      <c r="AA89" s="61"/>
    </row>
    <row r="90" spans="2:27" s="59" customFormat="1" x14ac:dyDescent="0.2">
      <c r="B90" s="59" t="s">
        <v>36</v>
      </c>
      <c r="C90" s="59" t="s">
        <v>36</v>
      </c>
      <c r="E90" s="67" t="b">
        <f>FALSE</f>
        <v>0</v>
      </c>
      <c r="F90" s="67" t="b">
        <f t="shared" ref="F90:N90" si="188">F34=0</f>
        <v>1</v>
      </c>
      <c r="G90" s="67" t="b">
        <f t="shared" si="188"/>
        <v>1</v>
      </c>
      <c r="H90" s="67" t="b">
        <f t="shared" si="188"/>
        <v>0</v>
      </c>
      <c r="I90" s="67" t="b">
        <f t="shared" si="188"/>
        <v>0</v>
      </c>
      <c r="J90" s="67" t="b">
        <f t="shared" si="188"/>
        <v>1</v>
      </c>
      <c r="K90" s="67" t="b">
        <f t="shared" si="188"/>
        <v>0</v>
      </c>
      <c r="L90" s="67" t="b">
        <f t="shared" si="188"/>
        <v>0</v>
      </c>
      <c r="M90" s="111" t="b">
        <f t="shared" si="188"/>
        <v>0</v>
      </c>
      <c r="N90" s="111" t="b">
        <f t="shared" si="188"/>
        <v>0</v>
      </c>
      <c r="O90" s="111" t="b">
        <f t="shared" ref="O90:W90" si="189">O34=0</f>
        <v>0</v>
      </c>
      <c r="P90" s="111" t="b">
        <f t="shared" si="189"/>
        <v>0</v>
      </c>
      <c r="Q90" s="111" t="b">
        <f t="shared" si="189"/>
        <v>0</v>
      </c>
      <c r="R90" s="111" t="b">
        <f t="shared" si="189"/>
        <v>0</v>
      </c>
      <c r="S90" s="111" t="b">
        <f t="shared" si="189"/>
        <v>0</v>
      </c>
      <c r="T90" s="111" t="b">
        <f t="shared" si="189"/>
        <v>1</v>
      </c>
      <c r="U90" s="111" t="b">
        <f t="shared" si="189"/>
        <v>1</v>
      </c>
      <c r="V90" s="111" t="b">
        <f t="shared" si="189"/>
        <v>1</v>
      </c>
      <c r="W90" s="111" t="b">
        <f t="shared" si="189"/>
        <v>1</v>
      </c>
      <c r="Y90" s="61"/>
      <c r="Z90" s="61"/>
      <c r="AA90" s="61"/>
    </row>
    <row r="91" spans="2:27" s="59" customFormat="1" x14ac:dyDescent="0.2">
      <c r="E91" s="68"/>
      <c r="Y91" s="61"/>
      <c r="Z91" s="61"/>
      <c r="AA91" s="61"/>
    </row>
    <row r="92" spans="2:27" s="59" customFormat="1" ht="25.5" x14ac:dyDescent="0.2">
      <c r="B92" s="71" t="s">
        <v>106</v>
      </c>
      <c r="C92" s="62" t="s">
        <v>0</v>
      </c>
      <c r="E92" s="59" t="str">
        <f>IF(E28&gt;6,"",CHOOSE(E28+1,E36,E44,E52,E60,E68,E76,E84))</f>
        <v/>
      </c>
      <c r="F92" s="59" t="str">
        <f t="shared" ref="F92:N92" si="190">IF(F28&gt;6,"",CHOOSE(F28+1,F36,F44,F52,F60,F68,F76,F84))</f>
        <v/>
      </c>
      <c r="G92" s="59" t="str">
        <f t="shared" si="190"/>
        <v/>
      </c>
      <c r="H92" s="59">
        <f t="shared" si="190"/>
        <v>-25</v>
      </c>
      <c r="I92" s="59">
        <f t="shared" si="190"/>
        <v>20</v>
      </c>
      <c r="J92" s="59" t="str">
        <f t="shared" si="190"/>
        <v/>
      </c>
      <c r="K92" s="59">
        <f t="shared" si="190"/>
        <v>4.277020603210544</v>
      </c>
      <c r="L92" s="59">
        <f t="shared" si="190"/>
        <v>8</v>
      </c>
      <c r="M92" s="59">
        <f t="shared" si="190"/>
        <v>8</v>
      </c>
      <c r="N92" s="59">
        <f t="shared" si="190"/>
        <v>20</v>
      </c>
      <c r="O92" s="59">
        <f t="shared" ref="O92:W92" si="191">IF(O28&gt;6,"",CHOOSE(O28+1,O36,O44,O52,O60,O68,O76,O84))</f>
        <v>35</v>
      </c>
      <c r="P92" s="59">
        <f t="shared" si="191"/>
        <v>16</v>
      </c>
      <c r="Q92" s="59">
        <f t="shared" si="191"/>
        <v>16</v>
      </c>
      <c r="R92" s="59">
        <f t="shared" si="191"/>
        <v>20</v>
      </c>
      <c r="S92" s="59">
        <f t="shared" si="191"/>
        <v>20</v>
      </c>
      <c r="T92" s="59" t="str">
        <f t="shared" si="191"/>
        <v/>
      </c>
      <c r="U92" s="59" t="str">
        <f t="shared" si="191"/>
        <v/>
      </c>
      <c r="V92" s="59" t="str">
        <f t="shared" si="191"/>
        <v/>
      </c>
      <c r="W92" s="59" t="str">
        <f t="shared" si="191"/>
        <v/>
      </c>
      <c r="Y92" s="61"/>
      <c r="Z92" s="61"/>
      <c r="AA92" s="61"/>
    </row>
    <row r="93" spans="2:27" s="59" customFormat="1" x14ac:dyDescent="0.2">
      <c r="C93" s="63" t="s">
        <v>1</v>
      </c>
      <c r="E93" s="59" t="str">
        <f>IF(E28&gt;6,"",CHOOSE(E28+1,E37,E45,E53,E61,E69,E77,E85))</f>
        <v/>
      </c>
      <c r="F93" s="59" t="str">
        <f t="shared" ref="F93:N93" si="192">IF(F28&gt;6,"",CHOOSE(F28+1,F37,F45,F53,F61,F69,F77,F85))</f>
        <v/>
      </c>
      <c r="G93" s="59" t="str">
        <f t="shared" si="192"/>
        <v/>
      </c>
      <c r="H93" s="59">
        <f t="shared" si="192"/>
        <v>0.2</v>
      </c>
      <c r="I93" s="59">
        <f t="shared" si="192"/>
        <v>0.6</v>
      </c>
      <c r="J93" s="59" t="str">
        <f t="shared" si="192"/>
        <v/>
      </c>
      <c r="K93" s="59">
        <f t="shared" si="192"/>
        <v>0.01</v>
      </c>
      <c r="L93" s="59" t="str">
        <f t="shared" si="192"/>
        <v/>
      </c>
      <c r="M93" s="59">
        <f t="shared" si="192"/>
        <v>7.7246107631210339E-5</v>
      </c>
      <c r="N93" s="59" t="str">
        <f t="shared" si="192"/>
        <v/>
      </c>
      <c r="O93" s="59">
        <f t="shared" ref="O93:W93" si="193">IF(O28&gt;6,"",CHOOSE(O28+1,O37,O45,O53,O61,O69,O77,O85))</f>
        <v>0.4</v>
      </c>
      <c r="P93" s="59" t="str">
        <f t="shared" si="193"/>
        <v/>
      </c>
      <c r="Q93" s="59">
        <f t="shared" si="193"/>
        <v>7.5771330367416147E-3</v>
      </c>
      <c r="R93" s="59" t="str">
        <f t="shared" si="193"/>
        <v/>
      </c>
      <c r="S93" s="59">
        <f t="shared" si="193"/>
        <v>5.889954581965501E-5</v>
      </c>
      <c r="T93" s="59" t="str">
        <f t="shared" si="193"/>
        <v/>
      </c>
      <c r="U93" s="59" t="str">
        <f t="shared" si="193"/>
        <v/>
      </c>
      <c r="V93" s="59" t="str">
        <f t="shared" si="193"/>
        <v/>
      </c>
      <c r="W93" s="59" t="str">
        <f t="shared" si="193"/>
        <v/>
      </c>
      <c r="Y93" s="61"/>
      <c r="Z93" s="61"/>
      <c r="AA93" s="61"/>
    </row>
    <row r="94" spans="2:27" s="59" customFormat="1" x14ac:dyDescent="0.2">
      <c r="C94" s="62" t="s">
        <v>2</v>
      </c>
      <c r="E94" s="59" t="str">
        <f>IF(E28&gt;6,"",CHOOSE(E28+1,E38,E46,E54,E62,E70,E78,E86))</f>
        <v/>
      </c>
      <c r="F94" s="59" t="str">
        <f t="shared" ref="F94:N94" si="194">IF(F28&gt;6,"",CHOOSE(F28+1,F38,F46,F54,F62,F70,F78,F86))</f>
        <v/>
      </c>
      <c r="G94" s="59" t="str">
        <f t="shared" si="194"/>
        <v/>
      </c>
      <c r="H94" s="59" t="str">
        <f t="shared" si="194"/>
        <v/>
      </c>
      <c r="I94" s="59" t="str">
        <f t="shared" si="194"/>
        <v/>
      </c>
      <c r="J94" s="59">
        <f t="shared" si="194"/>
        <v>5.8910284768057668</v>
      </c>
      <c r="K94" s="59" t="str">
        <f t="shared" si="194"/>
        <v/>
      </c>
      <c r="L94" s="59">
        <f t="shared" si="194"/>
        <v>5.4480985171597482E-2</v>
      </c>
      <c r="M94" s="59" t="str">
        <f t="shared" si="194"/>
        <v/>
      </c>
      <c r="N94" s="59">
        <f t="shared" si="194"/>
        <v>5.4476262829484417E-4</v>
      </c>
      <c r="O94" s="59" t="str">
        <f t="shared" ref="O94:W94" si="195">IF(O28&gt;6,"",CHOOSE(O28+1,O38,O46,O54,O62,O70,O78,O86))</f>
        <v/>
      </c>
      <c r="P94" s="59" t="str">
        <f t="shared" si="195"/>
        <v/>
      </c>
      <c r="Q94" s="59" t="str">
        <f t="shared" si="195"/>
        <v/>
      </c>
      <c r="R94" s="59">
        <f t="shared" si="195"/>
        <v>9.0684559843778378E-2</v>
      </c>
      <c r="S94" s="59" t="str">
        <f t="shared" si="195"/>
        <v/>
      </c>
      <c r="T94" s="59" t="str">
        <f t="shared" si="195"/>
        <v/>
      </c>
      <c r="U94" s="59" t="str">
        <f t="shared" si="195"/>
        <v/>
      </c>
      <c r="V94" s="59" t="str">
        <f t="shared" si="195"/>
        <v/>
      </c>
      <c r="W94" s="59" t="str">
        <f t="shared" si="195"/>
        <v/>
      </c>
      <c r="Y94" s="61"/>
      <c r="Z94" s="61"/>
      <c r="AA94" s="61"/>
    </row>
    <row r="95" spans="2:27" s="59" customFormat="1" x14ac:dyDescent="0.2">
      <c r="C95" s="62" t="s">
        <v>3</v>
      </c>
      <c r="E95" s="59" t="str">
        <f>IF(E28&gt;6,"",CHOOSE(E28+1,E39,E47,E55,E63,E71,E79,E87))</f>
        <v/>
      </c>
      <c r="F95" s="59" t="str">
        <f t="shared" ref="F95:N95" si="196">IF(F28&gt;6,"",CHOOSE(F28+1,F39,F47,F55,F63,F71,F79,F87))</f>
        <v/>
      </c>
      <c r="G95" s="59" t="str">
        <f t="shared" si="196"/>
        <v/>
      </c>
      <c r="H95" s="59" t="str">
        <f t="shared" si="196"/>
        <v/>
      </c>
      <c r="I95" s="59" t="str">
        <f t="shared" si="196"/>
        <v/>
      </c>
      <c r="J95" s="59">
        <f t="shared" si="196"/>
        <v>18.106246921879489</v>
      </c>
      <c r="K95" s="59" t="str">
        <f t="shared" si="196"/>
        <v/>
      </c>
      <c r="L95" s="59" t="str">
        <f t="shared" si="196"/>
        <v/>
      </c>
      <c r="M95" s="59" t="str">
        <f t="shared" si="196"/>
        <v/>
      </c>
      <c r="N95" s="59" t="str">
        <f t="shared" si="196"/>
        <v/>
      </c>
      <c r="O95" s="59" t="str">
        <f t="shared" ref="O95:W95" si="197">IF(O28&gt;6,"",CHOOSE(O28+1,O39,O47,O55,O63,O71,O79,O87))</f>
        <v/>
      </c>
      <c r="P95" s="59">
        <f t="shared" si="197"/>
        <v>39.446082331350226</v>
      </c>
      <c r="Q95" s="59" t="str">
        <f t="shared" si="197"/>
        <v/>
      </c>
      <c r="R95" s="59" t="str">
        <f t="shared" si="197"/>
        <v/>
      </c>
      <c r="S95" s="59" t="str">
        <f t="shared" si="197"/>
        <v/>
      </c>
      <c r="T95" s="59" t="str">
        <f t="shared" si="197"/>
        <v/>
      </c>
      <c r="U95" s="59" t="str">
        <f t="shared" si="197"/>
        <v/>
      </c>
      <c r="V95" s="59" t="str">
        <f t="shared" si="197"/>
        <v/>
      </c>
      <c r="W95" s="59" t="str">
        <f t="shared" si="197"/>
        <v/>
      </c>
      <c r="Y95" s="61"/>
      <c r="Z95" s="61"/>
      <c r="AA95" s="61"/>
    </row>
    <row r="96" spans="2:27" s="59" customFormat="1" x14ac:dyDescent="0.2">
      <c r="B96" s="59" t="s">
        <v>105</v>
      </c>
      <c r="C96" s="59" t="s">
        <v>36</v>
      </c>
      <c r="E96" s="67" t="b">
        <f>IF(OR(E28&gt;6,AND(E11&lt;&gt;"",E12&lt;&gt;"")),TRUE,CHOOSE(E28+1,E40,E48,E56,E64,E72,E80,E88))</f>
        <v>0</v>
      </c>
      <c r="F96" s="67" t="b">
        <f t="shared" ref="F96:N96" si="198">IF(OR(F28&gt;6,AND(F11&lt;&gt;"",F12&lt;&gt;"")),TRUE,CHOOSE(F28+1,F40,F48,F56,F64,F72,F80,F88))</f>
        <v>0</v>
      </c>
      <c r="G96" s="67" t="b">
        <f t="shared" si="198"/>
        <v>0</v>
      </c>
      <c r="H96" s="67" t="b">
        <f t="shared" si="198"/>
        <v>0</v>
      </c>
      <c r="I96" s="67" t="b">
        <f t="shared" si="198"/>
        <v>0</v>
      </c>
      <c r="J96" s="67" t="b">
        <f t="shared" si="198"/>
        <v>0</v>
      </c>
      <c r="K96" s="67" t="b">
        <f t="shared" si="198"/>
        <v>0</v>
      </c>
      <c r="L96" s="67" t="b">
        <f t="shared" si="198"/>
        <v>0</v>
      </c>
      <c r="M96" s="111" t="b">
        <f t="shared" si="198"/>
        <v>0</v>
      </c>
      <c r="N96" s="111" t="b">
        <f t="shared" si="198"/>
        <v>0</v>
      </c>
      <c r="O96" s="111" t="b">
        <f t="shared" ref="O96:W96" si="199">IF(OR(O28&gt;6,AND(O11&lt;&gt;"",O12&lt;&gt;"")),TRUE,CHOOSE(O28+1,O40,O48,O56,O64,O72,O80,O88))</f>
        <v>0</v>
      </c>
      <c r="P96" s="111" t="b">
        <f t="shared" si="199"/>
        <v>0</v>
      </c>
      <c r="Q96" s="111" t="b">
        <f t="shared" si="199"/>
        <v>0</v>
      </c>
      <c r="R96" s="111" t="b">
        <f>IF(OR(R28&gt;6,AND(R11&lt;&gt;"",R12&lt;&gt;"")),TRUE,CHOOSE(R28+1,R40,R48,R56,R64,R72,R80,R88))</f>
        <v>0</v>
      </c>
      <c r="S96" s="111" t="b">
        <f>IF(OR(S28&gt;6,AND(S11&lt;&gt;"",S12&lt;&gt;"")),TRUE,CHOOSE(S28+1,S40,S48,S56,S64,S72,S80,S88))</f>
        <v>0</v>
      </c>
      <c r="T96" s="111" t="b">
        <f t="shared" si="199"/>
        <v>0</v>
      </c>
      <c r="U96" s="111" t="b">
        <f>IF(OR(U28&gt;6,AND(U11&lt;&gt;"",U12&lt;&gt;"")),TRUE,CHOOSE(U28+1,U40,U48,U56,U64,U72,U80,U88))</f>
        <v>0</v>
      </c>
      <c r="V96" s="111" t="b">
        <f>IF(OR(V28&gt;6,AND(V11&lt;&gt;"",V12&lt;&gt;"")),TRUE,CHOOSE(V28+1,V40,V48,V56,V64,V72,V80,V88))</f>
        <v>0</v>
      </c>
      <c r="W96" s="111" t="b">
        <f t="shared" si="199"/>
        <v>0</v>
      </c>
      <c r="Y96" s="61"/>
      <c r="Z96" s="61"/>
      <c r="AA96" s="61"/>
    </row>
    <row r="97" spans="2:27" s="59" customFormat="1" x14ac:dyDescent="0.2">
      <c r="B97" s="59" t="s">
        <v>47</v>
      </c>
      <c r="C97" s="59" t="s">
        <v>36</v>
      </c>
      <c r="E97" s="67" t="b">
        <f>IF(E28&gt;6,TRUE,CHOOSE(E28+1,E41,E49,E57,E65,E73,E81,E89))</f>
        <v>0</v>
      </c>
      <c r="F97" s="67" t="b">
        <f t="shared" ref="F97:N97" si="200">IF(F28&gt;6,TRUE,CHOOSE(F28+1,F41,F49,F57,F65,F73,F81,F89))</f>
        <v>0</v>
      </c>
      <c r="G97" s="67" t="b">
        <f t="shared" si="200"/>
        <v>0</v>
      </c>
      <c r="H97" s="67" t="b">
        <f t="shared" si="200"/>
        <v>0</v>
      </c>
      <c r="I97" s="67" t="b">
        <f t="shared" si="200"/>
        <v>0</v>
      </c>
      <c r="J97" s="67" t="b">
        <f t="shared" si="200"/>
        <v>0</v>
      </c>
      <c r="K97" s="67" t="b">
        <f t="shared" si="200"/>
        <v>0</v>
      </c>
      <c r="L97" s="67" t="b">
        <f t="shared" si="200"/>
        <v>0</v>
      </c>
      <c r="M97" s="111" t="b">
        <f t="shared" si="200"/>
        <v>0</v>
      </c>
      <c r="N97" s="111" t="b">
        <f t="shared" si="200"/>
        <v>0</v>
      </c>
      <c r="O97" s="111" t="b">
        <f t="shared" ref="O97:W97" si="201">IF(O28&gt;6,TRUE,CHOOSE(O28+1,O41,O49,O57,O65,O73,O81,O89))</f>
        <v>0</v>
      </c>
      <c r="P97" s="111" t="b">
        <f t="shared" si="201"/>
        <v>0</v>
      </c>
      <c r="Q97" s="111" t="b">
        <f t="shared" si="201"/>
        <v>0</v>
      </c>
      <c r="R97" s="111" t="b">
        <f t="shared" si="201"/>
        <v>0</v>
      </c>
      <c r="S97" s="111" t="b">
        <f t="shared" si="201"/>
        <v>0</v>
      </c>
      <c r="T97" s="111" t="b">
        <f t="shared" si="201"/>
        <v>0</v>
      </c>
      <c r="U97" s="111" t="b">
        <f t="shared" si="201"/>
        <v>0</v>
      </c>
      <c r="V97" s="111" t="b">
        <f t="shared" si="201"/>
        <v>0</v>
      </c>
      <c r="W97" s="111" t="b">
        <f t="shared" si="201"/>
        <v>0</v>
      </c>
      <c r="Y97" s="61"/>
      <c r="Z97" s="61"/>
      <c r="AA97" s="61"/>
    </row>
    <row r="98" spans="2:27" s="59" customFormat="1" x14ac:dyDescent="0.2">
      <c r="B98" s="59" t="s">
        <v>36</v>
      </c>
      <c r="C98" s="59" t="s">
        <v>36</v>
      </c>
      <c r="E98" s="67" t="b">
        <f>IF(E28&gt;6,TRUE,CHOOSE(E28+1,E42,E50,E58,E66,E74,E82,E90))</f>
        <v>1</v>
      </c>
      <c r="F98" s="67" t="b">
        <f t="shared" ref="F98:N98" si="202">IF(F28&gt;6,TRUE,CHOOSE(F28+1,F42,F50,F58,F66,F74,F82,F90))</f>
        <v>1</v>
      </c>
      <c r="G98" s="67" t="b">
        <f t="shared" si="202"/>
        <v>1</v>
      </c>
      <c r="H98" s="67" t="b">
        <f t="shared" si="202"/>
        <v>0</v>
      </c>
      <c r="I98" s="67" t="b">
        <f t="shared" si="202"/>
        <v>0</v>
      </c>
      <c r="J98" s="67" t="b">
        <f t="shared" si="202"/>
        <v>0</v>
      </c>
      <c r="K98" s="67" t="b">
        <f t="shared" si="202"/>
        <v>0</v>
      </c>
      <c r="L98" s="67" t="b">
        <f t="shared" si="202"/>
        <v>0</v>
      </c>
      <c r="M98" s="111" t="b">
        <f t="shared" si="202"/>
        <v>0</v>
      </c>
      <c r="N98" s="111" t="b">
        <f t="shared" si="202"/>
        <v>0</v>
      </c>
      <c r="O98" s="111" t="b">
        <f t="shared" ref="O98:W98" si="203">IF(O28&gt;6,TRUE,CHOOSE(O28+1,O42,O50,O58,O66,O74,O82,O90))</f>
        <v>0</v>
      </c>
      <c r="P98" s="111" t="b">
        <f t="shared" si="203"/>
        <v>0</v>
      </c>
      <c r="Q98" s="111" t="b">
        <f t="shared" si="203"/>
        <v>0</v>
      </c>
      <c r="R98" s="111" t="b">
        <f t="shared" si="203"/>
        <v>0</v>
      </c>
      <c r="S98" s="111" t="b">
        <f t="shared" si="203"/>
        <v>0</v>
      </c>
      <c r="T98" s="111" t="b">
        <f t="shared" si="203"/>
        <v>1</v>
      </c>
      <c r="U98" s="111" t="b">
        <f t="shared" si="203"/>
        <v>1</v>
      </c>
      <c r="V98" s="111" t="b">
        <f t="shared" si="203"/>
        <v>1</v>
      </c>
      <c r="W98" s="111" t="b">
        <f t="shared" si="203"/>
        <v>1</v>
      </c>
      <c r="Y98" s="61"/>
      <c r="Z98" s="61"/>
      <c r="AA98" s="61"/>
    </row>
    <row r="99" spans="2:27" s="59" customFormat="1" x14ac:dyDescent="0.2">
      <c r="Y99" s="61"/>
      <c r="Z99" s="61"/>
      <c r="AA99" s="61"/>
    </row>
    <row r="100" spans="2:27" s="59" customFormat="1" x14ac:dyDescent="0.2">
      <c r="B100" s="72" t="s">
        <v>114</v>
      </c>
      <c r="C100" s="65"/>
      <c r="Y100" s="61"/>
      <c r="Z100" s="61"/>
      <c r="AA100" s="61"/>
    </row>
    <row r="101" spans="2:27" s="59" customFormat="1" x14ac:dyDescent="0.2">
      <c r="C101" s="65"/>
      <c r="Y101" s="61"/>
      <c r="Z101" s="61"/>
      <c r="AA101" s="61"/>
    </row>
    <row r="102" spans="2:27" s="59" customFormat="1" x14ac:dyDescent="0.2">
      <c r="B102" s="73" t="s">
        <v>108</v>
      </c>
      <c r="C102" s="65" t="s">
        <v>0</v>
      </c>
      <c r="E102" s="59">
        <f>IF(AND(E$92&lt;&gt;"",E$94&lt;&gt;""),E$92,0)</f>
        <v>0</v>
      </c>
      <c r="F102" s="59">
        <f t="shared" ref="F102:W102" si="204">IF(AND(F$92&lt;&gt;"",F$94&lt;&gt;""),F$92,0)</f>
        <v>0</v>
      </c>
      <c r="G102" s="59">
        <f t="shared" si="204"/>
        <v>0</v>
      </c>
      <c r="H102" s="59">
        <f t="shared" si="204"/>
        <v>0</v>
      </c>
      <c r="I102" s="59">
        <f t="shared" si="204"/>
        <v>0</v>
      </c>
      <c r="J102" s="59">
        <f t="shared" si="204"/>
        <v>0</v>
      </c>
      <c r="K102" s="59">
        <f t="shared" si="204"/>
        <v>0</v>
      </c>
      <c r="L102" s="59">
        <f t="shared" si="204"/>
        <v>8</v>
      </c>
      <c r="M102" s="59">
        <f t="shared" si="204"/>
        <v>0</v>
      </c>
      <c r="N102" s="59">
        <f t="shared" si="204"/>
        <v>20</v>
      </c>
      <c r="O102" s="59">
        <f t="shared" si="204"/>
        <v>0</v>
      </c>
      <c r="P102" s="59">
        <f t="shared" si="204"/>
        <v>0</v>
      </c>
      <c r="Q102" s="59">
        <f t="shared" si="204"/>
        <v>0</v>
      </c>
      <c r="R102" s="59">
        <f t="shared" si="204"/>
        <v>20</v>
      </c>
      <c r="S102" s="59">
        <f t="shared" si="204"/>
        <v>0</v>
      </c>
      <c r="T102" s="59">
        <f t="shared" si="204"/>
        <v>0</v>
      </c>
      <c r="U102" s="59">
        <f t="shared" si="204"/>
        <v>0</v>
      </c>
      <c r="V102" s="59">
        <f t="shared" si="204"/>
        <v>0</v>
      </c>
      <c r="W102" s="59">
        <f t="shared" si="204"/>
        <v>0</v>
      </c>
      <c r="Y102" s="61"/>
      <c r="Z102" s="61"/>
      <c r="AA102" s="61"/>
    </row>
    <row r="103" spans="2:27" s="59" customFormat="1" x14ac:dyDescent="0.2">
      <c r="C103" s="65" t="s">
        <v>2</v>
      </c>
      <c r="E103" s="59">
        <f>IF(AND(E$92&lt;&gt;"",E$94&lt;&gt;""),E$94,0)</f>
        <v>0</v>
      </c>
      <c r="F103" s="59">
        <f t="shared" ref="F103:W103" si="205">IF(AND(F$92&lt;&gt;"",F$94&lt;&gt;""),F$94,0)</f>
        <v>0</v>
      </c>
      <c r="G103" s="59">
        <f t="shared" si="205"/>
        <v>0</v>
      </c>
      <c r="H103" s="59">
        <f t="shared" si="205"/>
        <v>0</v>
      </c>
      <c r="I103" s="59">
        <f t="shared" si="205"/>
        <v>0</v>
      </c>
      <c r="J103" s="59">
        <f t="shared" si="205"/>
        <v>0</v>
      </c>
      <c r="K103" s="59">
        <f t="shared" si="205"/>
        <v>0</v>
      </c>
      <c r="L103" s="59">
        <f t="shared" si="205"/>
        <v>5.4480985171597482E-2</v>
      </c>
      <c r="M103" s="59">
        <f t="shared" si="205"/>
        <v>0</v>
      </c>
      <c r="N103" s="59">
        <f t="shared" si="205"/>
        <v>5.4476262829484417E-4</v>
      </c>
      <c r="O103" s="59">
        <f t="shared" si="205"/>
        <v>0</v>
      </c>
      <c r="P103" s="59">
        <f t="shared" si="205"/>
        <v>0</v>
      </c>
      <c r="Q103" s="59">
        <f t="shared" si="205"/>
        <v>0</v>
      </c>
      <c r="R103" s="59">
        <f t="shared" si="205"/>
        <v>9.0684559843778378E-2</v>
      </c>
      <c r="S103" s="59">
        <f t="shared" si="205"/>
        <v>0</v>
      </c>
      <c r="T103" s="59">
        <f t="shared" si="205"/>
        <v>0</v>
      </c>
      <c r="U103" s="59">
        <f t="shared" si="205"/>
        <v>0</v>
      </c>
      <c r="V103" s="59">
        <f t="shared" si="205"/>
        <v>0</v>
      </c>
      <c r="W103" s="59">
        <f t="shared" si="205"/>
        <v>0</v>
      </c>
      <c r="Y103" s="61"/>
      <c r="Z103" s="61"/>
      <c r="AA103" s="61"/>
    </row>
    <row r="104" spans="2:27" s="59" customFormat="1" ht="25.5" x14ac:dyDescent="0.2">
      <c r="B104" s="64" t="s">
        <v>115</v>
      </c>
      <c r="C104" s="65" t="s">
        <v>31</v>
      </c>
      <c r="E104" s="74">
        <f>IF(E102&lt;-50,#N/A,IF(E102&lt;0,EXP((1738.4+28.74*E102)/(271+E102)),IF(E102&lt;=100,EXP((1500.3+23.5*E102)/(234+E102)),#N/A)))</f>
        <v>608.82962187913188</v>
      </c>
      <c r="F104" s="74">
        <f t="shared" ref="F104:N104" si="206">IF(F102&lt;-50,#N/A,IF(F102&lt;0,EXP((1738.4+28.74*F102)/(271+F102)),IF(F102&lt;=100,EXP((1500.3+23.5*F102)/(234+F102)),#N/A)))</f>
        <v>608.82962187913188</v>
      </c>
      <c r="G104" s="74">
        <f t="shared" si="206"/>
        <v>608.82962187913188</v>
      </c>
      <c r="H104" s="74">
        <f t="shared" si="206"/>
        <v>608.82962187913188</v>
      </c>
      <c r="I104" s="74">
        <f t="shared" si="206"/>
        <v>608.82962187913188</v>
      </c>
      <c r="J104" s="74">
        <f t="shared" si="206"/>
        <v>608.82962187913188</v>
      </c>
      <c r="K104" s="74">
        <f t="shared" si="206"/>
        <v>608.82962187913188</v>
      </c>
      <c r="L104" s="74">
        <f t="shared" si="206"/>
        <v>1071.1051886578423</v>
      </c>
      <c r="M104" s="70">
        <f t="shared" si="206"/>
        <v>608.82962187913188</v>
      </c>
      <c r="N104" s="70">
        <f t="shared" si="206"/>
        <v>2338.0829353370973</v>
      </c>
      <c r="O104" s="70">
        <f t="shared" ref="O104:W104" si="207">IF(O102&lt;-50,#N/A,IF(O102&lt;0,EXP((1738.4+28.74*O102)/(271+O102)),IF(O102&lt;=100,EXP((1500.3+23.5*O102)/(234+O102)),#N/A)))</f>
        <v>608.82962187913188</v>
      </c>
      <c r="P104" s="70">
        <f t="shared" si="207"/>
        <v>608.82962187913188</v>
      </c>
      <c r="Q104" s="70">
        <f t="shared" si="207"/>
        <v>608.82962187913188</v>
      </c>
      <c r="R104" s="70">
        <f t="shared" si="207"/>
        <v>2338.0829353370973</v>
      </c>
      <c r="S104" s="70">
        <f t="shared" si="207"/>
        <v>608.82962187913188</v>
      </c>
      <c r="T104" s="70">
        <f t="shared" si="207"/>
        <v>608.82962187913188</v>
      </c>
      <c r="U104" s="70">
        <f t="shared" si="207"/>
        <v>608.82962187913188</v>
      </c>
      <c r="V104" s="70">
        <f t="shared" si="207"/>
        <v>608.82962187913188</v>
      </c>
      <c r="W104" s="70">
        <f t="shared" si="207"/>
        <v>608.82962187913188</v>
      </c>
      <c r="Y104" s="61"/>
      <c r="Z104" s="61"/>
      <c r="AA104" s="61"/>
    </row>
    <row r="105" spans="2:27" s="59" customFormat="1" ht="25.5" x14ac:dyDescent="0.2">
      <c r="B105" s="64" t="s">
        <v>115</v>
      </c>
      <c r="C105" s="65" t="s">
        <v>2</v>
      </c>
      <c r="E105" s="59">
        <f>0.6222*MaxVlhkost*E104/(Tlak_vzduchu-MaxVlhkost*E104/1000)</f>
        <v>4.0346050561264439</v>
      </c>
      <c r="F105" s="59">
        <f t="shared" ref="F105:N105" si="208">0.6222*MaxVlhkost*F104/(Tlak_vzduchu-MaxVlhkost*F104/1000)</f>
        <v>4.0346050561264439</v>
      </c>
      <c r="G105" s="59">
        <f t="shared" si="208"/>
        <v>4.0346050561264439</v>
      </c>
      <c r="H105" s="59">
        <f t="shared" si="208"/>
        <v>4.0346050561264439</v>
      </c>
      <c r="I105" s="59">
        <f t="shared" si="208"/>
        <v>4.0346050561264439</v>
      </c>
      <c r="J105" s="59">
        <f t="shared" si="208"/>
        <v>4.0346050561264439</v>
      </c>
      <c r="K105" s="59">
        <f t="shared" si="208"/>
        <v>4.0346050561264439</v>
      </c>
      <c r="L105" s="59">
        <f t="shared" si="208"/>
        <v>7.1331428005076241</v>
      </c>
      <c r="M105" s="59">
        <f t="shared" si="208"/>
        <v>4.0346050561264439</v>
      </c>
      <c r="N105" s="59">
        <f t="shared" si="208"/>
        <v>15.784775845602827</v>
      </c>
      <c r="O105" s="59">
        <f t="shared" ref="O105:W105" si="209">0.6222*MaxVlhkost*O104/(Tlak_vzduchu-MaxVlhkost*O104/1000)</f>
        <v>4.0346050561264439</v>
      </c>
      <c r="P105" s="59">
        <f t="shared" si="209"/>
        <v>4.0346050561264439</v>
      </c>
      <c r="Q105" s="59">
        <f t="shared" si="209"/>
        <v>4.0346050561264439</v>
      </c>
      <c r="R105" s="59">
        <f t="shared" si="209"/>
        <v>15.784775845602827</v>
      </c>
      <c r="S105" s="59">
        <f t="shared" si="209"/>
        <v>4.0346050561264439</v>
      </c>
      <c r="T105" s="59">
        <f t="shared" si="209"/>
        <v>4.0346050561264439</v>
      </c>
      <c r="U105" s="59">
        <f t="shared" si="209"/>
        <v>4.0346050561264439</v>
      </c>
      <c r="V105" s="59">
        <f t="shared" si="209"/>
        <v>4.0346050561264439</v>
      </c>
      <c r="W105" s="59">
        <f t="shared" si="209"/>
        <v>4.0346050561264439</v>
      </c>
      <c r="Y105" s="61"/>
      <c r="Z105" s="61"/>
      <c r="AA105" s="61"/>
    </row>
    <row r="106" spans="2:27" s="59" customFormat="1" x14ac:dyDescent="0.2">
      <c r="B106" s="75" t="s">
        <v>70</v>
      </c>
      <c r="C106" s="65" t="s">
        <v>33</v>
      </c>
      <c r="E106" s="59">
        <f>E102</f>
        <v>0</v>
      </c>
      <c r="F106" s="59">
        <f t="shared" ref="F106:N106" si="210">F102</f>
        <v>0</v>
      </c>
      <c r="G106" s="59">
        <f t="shared" si="210"/>
        <v>0</v>
      </c>
      <c r="H106" s="59">
        <f t="shared" si="210"/>
        <v>0</v>
      </c>
      <c r="I106" s="59">
        <f t="shared" si="210"/>
        <v>0</v>
      </c>
      <c r="J106" s="59">
        <f t="shared" si="210"/>
        <v>0</v>
      </c>
      <c r="K106" s="59">
        <f t="shared" si="210"/>
        <v>0</v>
      </c>
      <c r="L106" s="59">
        <f t="shared" si="210"/>
        <v>8</v>
      </c>
      <c r="M106" s="59">
        <f t="shared" si="210"/>
        <v>0</v>
      </c>
      <c r="N106" s="59">
        <f t="shared" si="210"/>
        <v>20</v>
      </c>
      <c r="O106" s="59">
        <f t="shared" ref="O106:W106" si="211">O102</f>
        <v>0</v>
      </c>
      <c r="P106" s="59">
        <f t="shared" si="211"/>
        <v>0</v>
      </c>
      <c r="Q106" s="59">
        <f t="shared" si="211"/>
        <v>0</v>
      </c>
      <c r="R106" s="59">
        <f t="shared" si="211"/>
        <v>20</v>
      </c>
      <c r="S106" s="59">
        <f t="shared" si="211"/>
        <v>0</v>
      </c>
      <c r="T106" s="59">
        <f t="shared" si="211"/>
        <v>0</v>
      </c>
      <c r="U106" s="59">
        <f t="shared" si="211"/>
        <v>0</v>
      </c>
      <c r="V106" s="59">
        <f t="shared" si="211"/>
        <v>0</v>
      </c>
      <c r="W106" s="59">
        <f t="shared" si="211"/>
        <v>0</v>
      </c>
      <c r="Y106" s="61"/>
      <c r="Z106" s="61"/>
      <c r="AA106" s="61"/>
    </row>
    <row r="107" spans="2:27" s="59" customFormat="1" x14ac:dyDescent="0.2">
      <c r="C107" s="65" t="s">
        <v>34</v>
      </c>
      <c r="E107" s="59">
        <f>MIN(E103,E105)</f>
        <v>0</v>
      </c>
      <c r="F107" s="59">
        <f t="shared" ref="F107:N107" si="212">MIN(F103,F105)</f>
        <v>0</v>
      </c>
      <c r="G107" s="59">
        <f t="shared" si="212"/>
        <v>0</v>
      </c>
      <c r="H107" s="59">
        <f t="shared" si="212"/>
        <v>0</v>
      </c>
      <c r="I107" s="59">
        <f t="shared" si="212"/>
        <v>0</v>
      </c>
      <c r="J107" s="59">
        <f t="shared" si="212"/>
        <v>0</v>
      </c>
      <c r="K107" s="59">
        <f t="shared" si="212"/>
        <v>0</v>
      </c>
      <c r="L107" s="59">
        <f t="shared" si="212"/>
        <v>5.4480985171597482E-2</v>
      </c>
      <c r="M107" s="59">
        <f t="shared" si="212"/>
        <v>0</v>
      </c>
      <c r="N107" s="59">
        <f t="shared" si="212"/>
        <v>5.4476262829484417E-4</v>
      </c>
      <c r="O107" s="59">
        <f t="shared" ref="O107:W107" si="213">MIN(O103,O105)</f>
        <v>0</v>
      </c>
      <c r="P107" s="59">
        <f t="shared" si="213"/>
        <v>0</v>
      </c>
      <c r="Q107" s="59">
        <f t="shared" si="213"/>
        <v>0</v>
      </c>
      <c r="R107" s="59">
        <f t="shared" si="213"/>
        <v>9.0684559843778378E-2</v>
      </c>
      <c r="S107" s="59">
        <f t="shared" si="213"/>
        <v>0</v>
      </c>
      <c r="T107" s="59">
        <f t="shared" si="213"/>
        <v>0</v>
      </c>
      <c r="U107" s="59">
        <f t="shared" si="213"/>
        <v>0</v>
      </c>
      <c r="V107" s="59">
        <f t="shared" si="213"/>
        <v>0</v>
      </c>
      <c r="W107" s="59">
        <f t="shared" si="213"/>
        <v>0</v>
      </c>
      <c r="Y107" s="61"/>
      <c r="Z107" s="61"/>
      <c r="AA107" s="61"/>
    </row>
    <row r="108" spans="2:27" s="59" customFormat="1" x14ac:dyDescent="0.2">
      <c r="C108" s="65"/>
      <c r="Y108" s="61"/>
      <c r="Z108" s="61"/>
      <c r="AA108" s="61"/>
    </row>
    <row r="109" spans="2:27" s="59" customFormat="1" x14ac:dyDescent="0.2">
      <c r="B109" s="73" t="s">
        <v>109</v>
      </c>
      <c r="C109" s="65" t="s">
        <v>0</v>
      </c>
      <c r="E109" s="59">
        <f>IF(AND(E$92&lt;&gt;"",E$95&lt;&gt;""),E$92,0)</f>
        <v>0</v>
      </c>
      <c r="F109" s="59">
        <f t="shared" ref="F109:W109" si="214">IF(AND(F$92&lt;&gt;"",F$95&lt;&gt;""),F$92,0)</f>
        <v>0</v>
      </c>
      <c r="G109" s="59">
        <f t="shared" si="214"/>
        <v>0</v>
      </c>
      <c r="H109" s="59">
        <f t="shared" si="214"/>
        <v>0</v>
      </c>
      <c r="I109" s="59">
        <f t="shared" si="214"/>
        <v>0</v>
      </c>
      <c r="J109" s="59">
        <f t="shared" si="214"/>
        <v>0</v>
      </c>
      <c r="K109" s="59">
        <f t="shared" si="214"/>
        <v>0</v>
      </c>
      <c r="L109" s="59">
        <f t="shared" si="214"/>
        <v>0</v>
      </c>
      <c r="M109" s="59">
        <f t="shared" si="214"/>
        <v>0</v>
      </c>
      <c r="N109" s="59">
        <f t="shared" si="214"/>
        <v>0</v>
      </c>
      <c r="O109" s="59">
        <f t="shared" si="214"/>
        <v>0</v>
      </c>
      <c r="P109" s="59">
        <f t="shared" si="214"/>
        <v>16</v>
      </c>
      <c r="Q109" s="59">
        <f t="shared" si="214"/>
        <v>0</v>
      </c>
      <c r="R109" s="59">
        <f t="shared" si="214"/>
        <v>0</v>
      </c>
      <c r="S109" s="59">
        <f t="shared" si="214"/>
        <v>0</v>
      </c>
      <c r="T109" s="59">
        <f t="shared" si="214"/>
        <v>0</v>
      </c>
      <c r="U109" s="59">
        <f t="shared" si="214"/>
        <v>0</v>
      </c>
      <c r="V109" s="59">
        <f t="shared" si="214"/>
        <v>0</v>
      </c>
      <c r="W109" s="59">
        <f t="shared" si="214"/>
        <v>0</v>
      </c>
      <c r="Y109" s="61"/>
      <c r="Z109" s="61"/>
      <c r="AA109" s="61"/>
    </row>
    <row r="110" spans="2:27" s="59" customFormat="1" x14ac:dyDescent="0.2">
      <c r="C110" s="65" t="s">
        <v>3</v>
      </c>
      <c r="E110" s="59">
        <f>IF(AND(E$92&lt;&gt;"",E$95&lt;&gt;""),E$95,0)</f>
        <v>0</v>
      </c>
      <c r="F110" s="59">
        <f t="shared" ref="F110:W110" si="215">IF(AND(F$92&lt;&gt;"",F$95&lt;&gt;""),F$95,0)</f>
        <v>0</v>
      </c>
      <c r="G110" s="59">
        <f t="shared" si="215"/>
        <v>0</v>
      </c>
      <c r="H110" s="59">
        <f t="shared" si="215"/>
        <v>0</v>
      </c>
      <c r="I110" s="59">
        <f t="shared" si="215"/>
        <v>0</v>
      </c>
      <c r="J110" s="59">
        <f t="shared" si="215"/>
        <v>0</v>
      </c>
      <c r="K110" s="59">
        <f t="shared" si="215"/>
        <v>0</v>
      </c>
      <c r="L110" s="59">
        <f t="shared" si="215"/>
        <v>0</v>
      </c>
      <c r="M110" s="59">
        <f t="shared" si="215"/>
        <v>0</v>
      </c>
      <c r="N110" s="59">
        <f t="shared" si="215"/>
        <v>0</v>
      </c>
      <c r="O110" s="59">
        <f t="shared" si="215"/>
        <v>0</v>
      </c>
      <c r="P110" s="59">
        <f t="shared" si="215"/>
        <v>39.446082331350226</v>
      </c>
      <c r="Q110" s="59">
        <f t="shared" si="215"/>
        <v>0</v>
      </c>
      <c r="R110" s="59">
        <f t="shared" si="215"/>
        <v>0</v>
      </c>
      <c r="S110" s="59">
        <f t="shared" si="215"/>
        <v>0</v>
      </c>
      <c r="T110" s="59">
        <f t="shared" si="215"/>
        <v>0</v>
      </c>
      <c r="U110" s="59">
        <f t="shared" si="215"/>
        <v>0</v>
      </c>
      <c r="V110" s="59">
        <f t="shared" si="215"/>
        <v>0</v>
      </c>
      <c r="W110" s="59">
        <f t="shared" si="215"/>
        <v>0</v>
      </c>
      <c r="Y110" s="61"/>
      <c r="Z110" s="61"/>
      <c r="AA110" s="61"/>
    </row>
    <row r="111" spans="2:27" s="59" customFormat="1" ht="25.5" x14ac:dyDescent="0.2">
      <c r="B111" s="64" t="s">
        <v>115</v>
      </c>
      <c r="C111" s="65" t="s">
        <v>31</v>
      </c>
      <c r="E111" s="74">
        <f>IF(E109&lt;-50,#N/A,IF(E109&lt;0,EXP((1738.4+28.74*E109)/(271+E109)),IF(E109&lt;=100,EXP((1500.3+23.5*E109)/(234+E109)),#N/A)))</f>
        <v>608.82962187913188</v>
      </c>
      <c r="F111" s="74">
        <f t="shared" ref="F111:N111" si="216">IF(F109&lt;-50,#N/A,IF(F109&lt;0,EXP((1738.4+28.74*F109)/(271+F109)),IF(F109&lt;=100,EXP((1500.3+23.5*F109)/(234+F109)),#N/A)))</f>
        <v>608.82962187913188</v>
      </c>
      <c r="G111" s="74">
        <f t="shared" si="216"/>
        <v>608.82962187913188</v>
      </c>
      <c r="H111" s="74">
        <f t="shared" si="216"/>
        <v>608.82962187913188</v>
      </c>
      <c r="I111" s="74">
        <f t="shared" si="216"/>
        <v>608.82962187913188</v>
      </c>
      <c r="J111" s="74">
        <f t="shared" si="216"/>
        <v>608.82962187913188</v>
      </c>
      <c r="K111" s="74">
        <f t="shared" si="216"/>
        <v>608.82962187913188</v>
      </c>
      <c r="L111" s="74">
        <f t="shared" si="216"/>
        <v>608.82962187913188</v>
      </c>
      <c r="M111" s="70">
        <f t="shared" si="216"/>
        <v>608.82962187913188</v>
      </c>
      <c r="N111" s="70">
        <f t="shared" si="216"/>
        <v>608.82962187913188</v>
      </c>
      <c r="O111" s="70">
        <f t="shared" ref="O111:W111" si="217">IF(O109&lt;-50,#N/A,IF(O109&lt;0,EXP((1738.4+28.74*O109)/(271+O109)),IF(O109&lt;=100,EXP((1500.3+23.5*O109)/(234+O109)),#N/A)))</f>
        <v>608.82962187913188</v>
      </c>
      <c r="P111" s="70">
        <f t="shared" si="217"/>
        <v>1817.4687221706879</v>
      </c>
      <c r="Q111" s="70">
        <f t="shared" si="217"/>
        <v>608.82962187913188</v>
      </c>
      <c r="R111" s="70">
        <f t="shared" si="217"/>
        <v>608.82962187913188</v>
      </c>
      <c r="S111" s="70">
        <f t="shared" si="217"/>
        <v>608.82962187913188</v>
      </c>
      <c r="T111" s="70">
        <f t="shared" si="217"/>
        <v>608.82962187913188</v>
      </c>
      <c r="U111" s="70">
        <f t="shared" si="217"/>
        <v>608.82962187913188</v>
      </c>
      <c r="V111" s="70">
        <f t="shared" si="217"/>
        <v>608.82962187913188</v>
      </c>
      <c r="W111" s="70">
        <f t="shared" si="217"/>
        <v>608.82962187913188</v>
      </c>
      <c r="Y111" s="61"/>
      <c r="Z111" s="61"/>
      <c r="AA111" s="61"/>
    </row>
    <row r="112" spans="2:27" s="59" customFormat="1" ht="25.5" x14ac:dyDescent="0.2">
      <c r="B112" s="64" t="s">
        <v>115</v>
      </c>
      <c r="C112" s="65" t="s">
        <v>2</v>
      </c>
      <c r="E112" s="59">
        <f>0.6222*MaxVlhkost*E111/(Tlak_vzduchu-MaxVlhkost*E111/1000)</f>
        <v>4.0346050561264439</v>
      </c>
      <c r="F112" s="59">
        <f t="shared" ref="F112:N112" si="218">0.6222*MaxVlhkost*F111/(Tlak_vzduchu-MaxVlhkost*F111/1000)</f>
        <v>4.0346050561264439</v>
      </c>
      <c r="G112" s="59">
        <f t="shared" si="218"/>
        <v>4.0346050561264439</v>
      </c>
      <c r="H112" s="59">
        <f t="shared" si="218"/>
        <v>4.0346050561264439</v>
      </c>
      <c r="I112" s="59">
        <f t="shared" si="218"/>
        <v>4.0346050561264439</v>
      </c>
      <c r="J112" s="59">
        <f t="shared" si="218"/>
        <v>4.0346050561264439</v>
      </c>
      <c r="K112" s="59">
        <f t="shared" si="218"/>
        <v>4.0346050561264439</v>
      </c>
      <c r="L112" s="59">
        <f t="shared" si="218"/>
        <v>4.0346050561264439</v>
      </c>
      <c r="M112" s="59">
        <f t="shared" si="218"/>
        <v>4.0346050561264439</v>
      </c>
      <c r="N112" s="59">
        <f t="shared" si="218"/>
        <v>4.0346050561264439</v>
      </c>
      <c r="O112" s="59">
        <f t="shared" ref="O112:W112" si="219">0.6222*MaxVlhkost*O111/(Tlak_vzduchu-MaxVlhkost*O111/1000)</f>
        <v>4.0346050561264439</v>
      </c>
      <c r="P112" s="59">
        <f t="shared" si="219"/>
        <v>12.20110222869052</v>
      </c>
      <c r="Q112" s="59">
        <f t="shared" si="219"/>
        <v>4.0346050561264439</v>
      </c>
      <c r="R112" s="59">
        <f t="shared" si="219"/>
        <v>4.0346050561264439</v>
      </c>
      <c r="S112" s="59">
        <f t="shared" si="219"/>
        <v>4.0346050561264439</v>
      </c>
      <c r="T112" s="59">
        <f t="shared" si="219"/>
        <v>4.0346050561264439</v>
      </c>
      <c r="U112" s="59">
        <f t="shared" si="219"/>
        <v>4.0346050561264439</v>
      </c>
      <c r="V112" s="59">
        <f t="shared" si="219"/>
        <v>4.0346050561264439</v>
      </c>
      <c r="W112" s="59">
        <f t="shared" si="219"/>
        <v>4.0346050561264439</v>
      </c>
      <c r="Y112" s="61"/>
      <c r="Z112" s="61"/>
      <c r="AA112" s="61"/>
    </row>
    <row r="113" spans="2:27" s="59" customFormat="1" ht="38.25" x14ac:dyDescent="0.2">
      <c r="B113" s="64" t="s">
        <v>117</v>
      </c>
      <c r="C113" s="65" t="s">
        <v>2</v>
      </c>
      <c r="E113" s="59">
        <f>(E110-1.01*E109)/(2501+1.86*E109)*1000</f>
        <v>0</v>
      </c>
      <c r="F113" s="59">
        <f t="shared" ref="F113:N113" si="220">(F110-1.01*F109)/(2501+1.86*F109)*1000</f>
        <v>0</v>
      </c>
      <c r="G113" s="59">
        <f t="shared" si="220"/>
        <v>0</v>
      </c>
      <c r="H113" s="59">
        <f t="shared" si="220"/>
        <v>0</v>
      </c>
      <c r="I113" s="59">
        <f t="shared" si="220"/>
        <v>0</v>
      </c>
      <c r="J113" s="59">
        <f t="shared" si="220"/>
        <v>0</v>
      </c>
      <c r="K113" s="59">
        <f t="shared" si="220"/>
        <v>0</v>
      </c>
      <c r="L113" s="59">
        <f t="shared" si="220"/>
        <v>0</v>
      </c>
      <c r="M113" s="59">
        <f t="shared" si="220"/>
        <v>0</v>
      </c>
      <c r="N113" s="59">
        <f t="shared" si="220"/>
        <v>0</v>
      </c>
      <c r="O113" s="59">
        <f t="shared" ref="O113:W113" si="221">(O110-1.01*O109)/(2501+1.86*O109)*1000</f>
        <v>0</v>
      </c>
      <c r="P113" s="59">
        <f t="shared" si="221"/>
        <v>9.2012211080269264</v>
      </c>
      <c r="Q113" s="59">
        <f t="shared" si="221"/>
        <v>0</v>
      </c>
      <c r="R113" s="59">
        <f t="shared" si="221"/>
        <v>0</v>
      </c>
      <c r="S113" s="59">
        <f t="shared" si="221"/>
        <v>0</v>
      </c>
      <c r="T113" s="59">
        <f t="shared" si="221"/>
        <v>0</v>
      </c>
      <c r="U113" s="59">
        <f t="shared" si="221"/>
        <v>0</v>
      </c>
      <c r="V113" s="59">
        <f t="shared" si="221"/>
        <v>0</v>
      </c>
      <c r="W113" s="59">
        <f t="shared" si="221"/>
        <v>0</v>
      </c>
      <c r="Y113" s="61"/>
      <c r="Z113" s="61"/>
      <c r="AA113" s="61"/>
    </row>
    <row r="114" spans="2:27" s="59" customFormat="1" x14ac:dyDescent="0.2">
      <c r="B114" s="76" t="s">
        <v>70</v>
      </c>
      <c r="C114" s="65" t="s">
        <v>33</v>
      </c>
      <c r="E114" s="59">
        <f>E109</f>
        <v>0</v>
      </c>
      <c r="F114" s="59">
        <f t="shared" ref="F114:N114" si="222">F109</f>
        <v>0</v>
      </c>
      <c r="G114" s="59">
        <f t="shared" si="222"/>
        <v>0</v>
      </c>
      <c r="H114" s="59">
        <f t="shared" si="222"/>
        <v>0</v>
      </c>
      <c r="I114" s="59">
        <f t="shared" si="222"/>
        <v>0</v>
      </c>
      <c r="J114" s="59">
        <f t="shared" si="222"/>
        <v>0</v>
      </c>
      <c r="K114" s="59">
        <f t="shared" si="222"/>
        <v>0</v>
      </c>
      <c r="L114" s="59">
        <f t="shared" si="222"/>
        <v>0</v>
      </c>
      <c r="M114" s="59">
        <f t="shared" si="222"/>
        <v>0</v>
      </c>
      <c r="N114" s="59">
        <f t="shared" si="222"/>
        <v>0</v>
      </c>
      <c r="O114" s="59">
        <f t="shared" ref="O114:W114" si="223">O109</f>
        <v>0</v>
      </c>
      <c r="P114" s="59">
        <f t="shared" si="223"/>
        <v>16</v>
      </c>
      <c r="Q114" s="59">
        <f t="shared" si="223"/>
        <v>0</v>
      </c>
      <c r="R114" s="59">
        <f t="shared" si="223"/>
        <v>0</v>
      </c>
      <c r="S114" s="59">
        <f t="shared" si="223"/>
        <v>0</v>
      </c>
      <c r="T114" s="59">
        <f t="shared" si="223"/>
        <v>0</v>
      </c>
      <c r="U114" s="59">
        <f t="shared" si="223"/>
        <v>0</v>
      </c>
      <c r="V114" s="59">
        <f t="shared" si="223"/>
        <v>0</v>
      </c>
      <c r="W114" s="59">
        <f t="shared" si="223"/>
        <v>0</v>
      </c>
      <c r="Y114" s="61"/>
      <c r="Z114" s="61"/>
      <c r="AA114" s="61"/>
    </row>
    <row r="115" spans="2:27" s="59" customFormat="1" x14ac:dyDescent="0.2">
      <c r="C115" s="65" t="s">
        <v>34</v>
      </c>
      <c r="E115" s="59">
        <f>MIN(E112,E113)</f>
        <v>0</v>
      </c>
      <c r="F115" s="59">
        <f t="shared" ref="F115:N115" si="224">MIN(F112,F113)</f>
        <v>0</v>
      </c>
      <c r="G115" s="59">
        <f t="shared" si="224"/>
        <v>0</v>
      </c>
      <c r="H115" s="59">
        <f t="shared" si="224"/>
        <v>0</v>
      </c>
      <c r="I115" s="59">
        <f t="shared" si="224"/>
        <v>0</v>
      </c>
      <c r="J115" s="59">
        <f t="shared" si="224"/>
        <v>0</v>
      </c>
      <c r="K115" s="59">
        <f t="shared" si="224"/>
        <v>0</v>
      </c>
      <c r="L115" s="59">
        <f t="shared" si="224"/>
        <v>0</v>
      </c>
      <c r="M115" s="59">
        <f t="shared" si="224"/>
        <v>0</v>
      </c>
      <c r="N115" s="59">
        <f t="shared" si="224"/>
        <v>0</v>
      </c>
      <c r="O115" s="59">
        <f t="shared" ref="O115:W115" si="225">MIN(O112,O113)</f>
        <v>0</v>
      </c>
      <c r="P115" s="59">
        <f t="shared" si="225"/>
        <v>9.2012211080269264</v>
      </c>
      <c r="Q115" s="59">
        <f t="shared" si="225"/>
        <v>0</v>
      </c>
      <c r="R115" s="59">
        <f t="shared" si="225"/>
        <v>0</v>
      </c>
      <c r="S115" s="59">
        <f t="shared" si="225"/>
        <v>0</v>
      </c>
      <c r="T115" s="59">
        <f t="shared" si="225"/>
        <v>0</v>
      </c>
      <c r="U115" s="59">
        <f t="shared" si="225"/>
        <v>0</v>
      </c>
      <c r="V115" s="59">
        <f t="shared" si="225"/>
        <v>0</v>
      </c>
      <c r="W115" s="59">
        <f t="shared" si="225"/>
        <v>0</v>
      </c>
      <c r="Y115" s="61"/>
      <c r="Z115" s="61"/>
      <c r="AA115" s="61"/>
    </row>
    <row r="116" spans="2:27" s="59" customFormat="1" x14ac:dyDescent="0.2">
      <c r="C116" s="65"/>
      <c r="Y116" s="61"/>
      <c r="Z116" s="61"/>
      <c r="AA116" s="61"/>
    </row>
    <row r="117" spans="2:27" s="59" customFormat="1" x14ac:dyDescent="0.2">
      <c r="B117" s="73" t="s">
        <v>110</v>
      </c>
      <c r="C117" s="65" t="s">
        <v>0</v>
      </c>
      <c r="E117" s="59">
        <f>IF(AND(E$92&lt;&gt;"",E$93&lt;&gt;""),E$92,0)</f>
        <v>0</v>
      </c>
      <c r="F117" s="59">
        <f t="shared" ref="F117:W117" si="226">IF(AND(F$92&lt;&gt;"",F$93&lt;&gt;""),F$92,0)</f>
        <v>0</v>
      </c>
      <c r="G117" s="59">
        <f t="shared" si="226"/>
        <v>0</v>
      </c>
      <c r="H117" s="59">
        <f t="shared" si="226"/>
        <v>-25</v>
      </c>
      <c r="I117" s="59">
        <f t="shared" si="226"/>
        <v>20</v>
      </c>
      <c r="J117" s="59">
        <f t="shared" si="226"/>
        <v>0</v>
      </c>
      <c r="K117" s="59">
        <f t="shared" si="226"/>
        <v>4.277020603210544</v>
      </c>
      <c r="L117" s="59">
        <f t="shared" si="226"/>
        <v>0</v>
      </c>
      <c r="M117" s="59">
        <f t="shared" si="226"/>
        <v>8</v>
      </c>
      <c r="N117" s="59">
        <f t="shared" si="226"/>
        <v>0</v>
      </c>
      <c r="O117" s="59">
        <f t="shared" si="226"/>
        <v>35</v>
      </c>
      <c r="P117" s="59">
        <f t="shared" si="226"/>
        <v>0</v>
      </c>
      <c r="Q117" s="59">
        <f t="shared" si="226"/>
        <v>16</v>
      </c>
      <c r="R117" s="59">
        <f t="shared" si="226"/>
        <v>0</v>
      </c>
      <c r="S117" s="59">
        <f t="shared" si="226"/>
        <v>20</v>
      </c>
      <c r="T117" s="59">
        <f t="shared" si="226"/>
        <v>0</v>
      </c>
      <c r="U117" s="59">
        <f t="shared" si="226"/>
        <v>0</v>
      </c>
      <c r="V117" s="59">
        <f t="shared" si="226"/>
        <v>0</v>
      </c>
      <c r="W117" s="59">
        <f t="shared" si="226"/>
        <v>0</v>
      </c>
      <c r="Y117" s="61"/>
      <c r="Z117" s="61"/>
      <c r="AA117" s="61"/>
    </row>
    <row r="118" spans="2:27" s="59" customFormat="1" ht="12" customHeight="1" x14ac:dyDescent="0.2">
      <c r="C118" s="65" t="s">
        <v>32</v>
      </c>
      <c r="E118" s="59">
        <f>IF(AND(E$92&lt;&gt;"",E$93&lt;&gt;""),MIN(E$93,MaxVlhkost),0)</f>
        <v>0</v>
      </c>
      <c r="F118" s="59">
        <f t="shared" ref="F118:W118" si="227">IF(AND(F$92&lt;&gt;"",F$93&lt;&gt;""),MIN(F$93,MaxVlhkost),0)</f>
        <v>0</v>
      </c>
      <c r="G118" s="59">
        <f t="shared" si="227"/>
        <v>0</v>
      </c>
      <c r="H118" s="59">
        <f t="shared" si="227"/>
        <v>0.2</v>
      </c>
      <c r="I118" s="59">
        <f t="shared" si="227"/>
        <v>0.6</v>
      </c>
      <c r="J118" s="59">
        <f t="shared" si="227"/>
        <v>0</v>
      </c>
      <c r="K118" s="59">
        <f t="shared" si="227"/>
        <v>0.01</v>
      </c>
      <c r="L118" s="59">
        <f t="shared" si="227"/>
        <v>0</v>
      </c>
      <c r="M118" s="59">
        <f t="shared" si="227"/>
        <v>7.7246107631210339E-5</v>
      </c>
      <c r="N118" s="59">
        <f t="shared" si="227"/>
        <v>0</v>
      </c>
      <c r="O118" s="59">
        <f t="shared" si="227"/>
        <v>0.4</v>
      </c>
      <c r="P118" s="59">
        <f t="shared" si="227"/>
        <v>0</v>
      </c>
      <c r="Q118" s="59">
        <f t="shared" si="227"/>
        <v>7.5771330367416147E-3</v>
      </c>
      <c r="R118" s="59">
        <f t="shared" si="227"/>
        <v>0</v>
      </c>
      <c r="S118" s="59">
        <f t="shared" si="227"/>
        <v>5.889954581965501E-5</v>
      </c>
      <c r="T118" s="59">
        <f t="shared" si="227"/>
        <v>0</v>
      </c>
      <c r="U118" s="59">
        <f t="shared" si="227"/>
        <v>0</v>
      </c>
      <c r="V118" s="59">
        <f t="shared" si="227"/>
        <v>0</v>
      </c>
      <c r="W118" s="59">
        <f t="shared" si="227"/>
        <v>0</v>
      </c>
      <c r="Y118" s="61"/>
      <c r="Z118" s="61"/>
      <c r="AA118" s="61"/>
    </row>
    <row r="119" spans="2:27" s="59" customFormat="1" ht="12" customHeight="1" x14ac:dyDescent="0.2">
      <c r="C119" s="65" t="s">
        <v>31</v>
      </c>
      <c r="E119" s="74">
        <f>IF(E117&lt;-50,#N/A,IF(E117&lt;0,EXP((1738.4+28.74*E117)/(271+E117)),IF(E117&lt;=100,EXP((1500.3+23.5*E117)/(234+E117)),#N/A)))</f>
        <v>608.82962187913188</v>
      </c>
      <c r="F119" s="74">
        <f t="shared" ref="F119:N119" si="228">IF(F117&lt;-50,#N/A,IF(F117&lt;0,EXP((1738.4+28.74*F117)/(271+F117)),IF(F117&lt;=100,EXP((1500.3+23.5*F117)/(234+F117)),#N/A)))</f>
        <v>608.82962187913188</v>
      </c>
      <c r="G119" s="74">
        <f t="shared" si="228"/>
        <v>608.82962187913188</v>
      </c>
      <c r="H119" s="74">
        <f t="shared" si="228"/>
        <v>63.176661908168398</v>
      </c>
      <c r="I119" s="74">
        <f t="shared" si="228"/>
        <v>2338.0829353370973</v>
      </c>
      <c r="J119" s="74">
        <f t="shared" si="228"/>
        <v>608.82962187913188</v>
      </c>
      <c r="K119" s="74">
        <f t="shared" si="228"/>
        <v>827.38706687411548</v>
      </c>
      <c r="L119" s="74">
        <f t="shared" si="228"/>
        <v>608.82962187913188</v>
      </c>
      <c r="M119" s="70">
        <f t="shared" si="228"/>
        <v>1071.1051886578423</v>
      </c>
      <c r="N119" s="70">
        <f t="shared" si="228"/>
        <v>608.82962187913188</v>
      </c>
      <c r="O119" s="70">
        <f t="shared" ref="O119:W119" si="229">IF(O117&lt;-50,#N/A,IF(O117&lt;0,EXP((1738.4+28.74*O117)/(271+O117)),IF(O117&lt;=100,EXP((1500.3+23.5*O117)/(234+O117)),#N/A)))</f>
        <v>5624.8200638844883</v>
      </c>
      <c r="P119" s="70">
        <f t="shared" si="229"/>
        <v>608.82962187913188</v>
      </c>
      <c r="Q119" s="70">
        <f t="shared" si="229"/>
        <v>1817.4687221706879</v>
      </c>
      <c r="R119" s="70">
        <f t="shared" si="229"/>
        <v>608.82962187913188</v>
      </c>
      <c r="S119" s="70">
        <f t="shared" si="229"/>
        <v>2338.0829353370973</v>
      </c>
      <c r="T119" s="70">
        <f t="shared" si="229"/>
        <v>608.82962187913188</v>
      </c>
      <c r="U119" s="70">
        <f t="shared" si="229"/>
        <v>608.82962187913188</v>
      </c>
      <c r="V119" s="70">
        <f t="shared" si="229"/>
        <v>608.82962187913188</v>
      </c>
      <c r="W119" s="70">
        <f t="shared" si="229"/>
        <v>608.82962187913188</v>
      </c>
      <c r="Y119" s="61"/>
      <c r="Z119" s="61"/>
      <c r="AA119" s="61"/>
    </row>
    <row r="120" spans="2:27" s="59" customFormat="1" ht="12" customHeight="1" x14ac:dyDescent="0.2">
      <c r="B120" s="76" t="s">
        <v>70</v>
      </c>
      <c r="C120" s="65" t="s">
        <v>33</v>
      </c>
      <c r="E120" s="74">
        <f>E117</f>
        <v>0</v>
      </c>
      <c r="F120" s="74">
        <f t="shared" ref="F120:N120" si="230">F117</f>
        <v>0</v>
      </c>
      <c r="G120" s="74">
        <f t="shared" si="230"/>
        <v>0</v>
      </c>
      <c r="H120" s="74">
        <f t="shared" si="230"/>
        <v>-25</v>
      </c>
      <c r="I120" s="74">
        <f t="shared" si="230"/>
        <v>20</v>
      </c>
      <c r="J120" s="74">
        <f t="shared" si="230"/>
        <v>0</v>
      </c>
      <c r="K120" s="74">
        <f t="shared" si="230"/>
        <v>4.277020603210544</v>
      </c>
      <c r="L120" s="74">
        <f t="shared" si="230"/>
        <v>0</v>
      </c>
      <c r="M120" s="70">
        <f t="shared" si="230"/>
        <v>8</v>
      </c>
      <c r="N120" s="70">
        <f t="shared" si="230"/>
        <v>0</v>
      </c>
      <c r="O120" s="70">
        <f t="shared" ref="O120:W120" si="231">O117</f>
        <v>35</v>
      </c>
      <c r="P120" s="70">
        <f t="shared" si="231"/>
        <v>0</v>
      </c>
      <c r="Q120" s="70">
        <f t="shared" si="231"/>
        <v>16</v>
      </c>
      <c r="R120" s="70">
        <f t="shared" si="231"/>
        <v>0</v>
      </c>
      <c r="S120" s="70">
        <f t="shared" si="231"/>
        <v>20</v>
      </c>
      <c r="T120" s="70">
        <f t="shared" si="231"/>
        <v>0</v>
      </c>
      <c r="U120" s="70">
        <f t="shared" si="231"/>
        <v>0</v>
      </c>
      <c r="V120" s="70">
        <f t="shared" si="231"/>
        <v>0</v>
      </c>
      <c r="W120" s="70">
        <f t="shared" si="231"/>
        <v>0</v>
      </c>
      <c r="Y120" s="61"/>
      <c r="Z120" s="61"/>
      <c r="AA120" s="61"/>
    </row>
    <row r="121" spans="2:27" s="59" customFormat="1" ht="12" customHeight="1" x14ac:dyDescent="0.2">
      <c r="C121" s="65" t="s">
        <v>34</v>
      </c>
      <c r="E121" s="59">
        <f>0.6222*E118*E119/(Tlak_vzduchu-E118*E119/1000)</f>
        <v>0</v>
      </c>
      <c r="F121" s="59">
        <f t="shared" ref="F121:N121" si="232">0.6222*F118*F119/(Tlak_vzduchu-F118*F119/1000)</f>
        <v>0</v>
      </c>
      <c r="G121" s="59">
        <f t="shared" si="232"/>
        <v>0</v>
      </c>
      <c r="H121" s="59">
        <f t="shared" si="232"/>
        <v>8.3203757830561539E-2</v>
      </c>
      <c r="I121" s="59">
        <f t="shared" si="232"/>
        <v>9.3757233081908904</v>
      </c>
      <c r="J121" s="59">
        <f t="shared" si="232"/>
        <v>0</v>
      </c>
      <c r="K121" s="59">
        <f t="shared" si="232"/>
        <v>5.4480985171597482E-2</v>
      </c>
      <c r="L121" s="59">
        <f t="shared" si="232"/>
        <v>0</v>
      </c>
      <c r="M121" s="59">
        <f t="shared" si="232"/>
        <v>5.4476262829484417E-4</v>
      </c>
      <c r="N121" s="59">
        <f t="shared" si="232"/>
        <v>0</v>
      </c>
      <c r="O121" s="59">
        <f t="shared" ref="O121:W121" si="233">0.6222*O118*O119/(Tlak_vzduchu-O118*O119/1000)</f>
        <v>15.17511246915182</v>
      </c>
      <c r="P121" s="59">
        <f t="shared" si="233"/>
        <v>0</v>
      </c>
      <c r="Q121" s="59">
        <f t="shared" si="233"/>
        <v>9.0684559843778378E-2</v>
      </c>
      <c r="R121" s="59">
        <f t="shared" si="233"/>
        <v>0</v>
      </c>
      <c r="S121" s="59">
        <f t="shared" si="233"/>
        <v>9.0671476786990859E-4</v>
      </c>
      <c r="T121" s="59">
        <f t="shared" si="233"/>
        <v>0</v>
      </c>
      <c r="U121" s="59">
        <f t="shared" si="233"/>
        <v>0</v>
      </c>
      <c r="V121" s="59">
        <f t="shared" si="233"/>
        <v>0</v>
      </c>
      <c r="W121" s="59">
        <f t="shared" si="233"/>
        <v>0</v>
      </c>
      <c r="Y121" s="61"/>
      <c r="Z121" s="61"/>
      <c r="AA121" s="61"/>
    </row>
    <row r="122" spans="2:27" s="59" customFormat="1" x14ac:dyDescent="0.2">
      <c r="C122" s="65"/>
      <c r="Y122" s="61"/>
      <c r="Z122" s="61"/>
      <c r="AA122" s="61"/>
    </row>
    <row r="123" spans="2:27" s="59" customFormat="1" x14ac:dyDescent="0.2">
      <c r="B123" s="73" t="s">
        <v>111</v>
      </c>
      <c r="C123" s="65" t="s">
        <v>3</v>
      </c>
      <c r="E123" s="59">
        <f>IF(AND(E$94&lt;&gt;"",E$95&lt;&gt;""),E$95,0)</f>
        <v>0</v>
      </c>
      <c r="F123" s="59">
        <f t="shared" ref="F123:W123" si="234">IF(AND(F$94&lt;&gt;"",F$95&lt;&gt;""),F$95,0)</f>
        <v>0</v>
      </c>
      <c r="G123" s="59">
        <f t="shared" si="234"/>
        <v>0</v>
      </c>
      <c r="H123" s="59">
        <f t="shared" si="234"/>
        <v>0</v>
      </c>
      <c r="I123" s="59">
        <f t="shared" si="234"/>
        <v>0</v>
      </c>
      <c r="J123" s="59">
        <f t="shared" si="234"/>
        <v>18.106246921879489</v>
      </c>
      <c r="K123" s="59">
        <f t="shared" si="234"/>
        <v>0</v>
      </c>
      <c r="L123" s="59">
        <f t="shared" si="234"/>
        <v>0</v>
      </c>
      <c r="M123" s="59">
        <f t="shared" si="234"/>
        <v>0</v>
      </c>
      <c r="N123" s="59">
        <f t="shared" si="234"/>
        <v>0</v>
      </c>
      <c r="O123" s="59">
        <f t="shared" si="234"/>
        <v>0</v>
      </c>
      <c r="P123" s="59">
        <f t="shared" si="234"/>
        <v>0</v>
      </c>
      <c r="Q123" s="59">
        <f t="shared" si="234"/>
        <v>0</v>
      </c>
      <c r="R123" s="59">
        <f t="shared" si="234"/>
        <v>0</v>
      </c>
      <c r="S123" s="59">
        <f t="shared" si="234"/>
        <v>0</v>
      </c>
      <c r="T123" s="59">
        <f t="shared" si="234"/>
        <v>0</v>
      </c>
      <c r="U123" s="59">
        <f t="shared" si="234"/>
        <v>0</v>
      </c>
      <c r="V123" s="59">
        <f t="shared" si="234"/>
        <v>0</v>
      </c>
      <c r="W123" s="59">
        <f t="shared" si="234"/>
        <v>0</v>
      </c>
      <c r="Y123" s="61"/>
      <c r="Z123" s="61"/>
      <c r="AA123" s="61"/>
    </row>
    <row r="124" spans="2:27" s="59" customFormat="1" x14ac:dyDescent="0.2">
      <c r="C124" s="65" t="s">
        <v>2</v>
      </c>
      <c r="E124" s="59">
        <f>IF(AND(E$94&lt;&gt;"",E$95&lt;&gt;""),E$94,0)</f>
        <v>0</v>
      </c>
      <c r="F124" s="59">
        <f t="shared" ref="F124:W124" si="235">IF(AND(F$94&lt;&gt;"",F$95&lt;&gt;""),F$94,0)</f>
        <v>0</v>
      </c>
      <c r="G124" s="59">
        <f t="shared" si="235"/>
        <v>0</v>
      </c>
      <c r="H124" s="59">
        <f t="shared" si="235"/>
        <v>0</v>
      </c>
      <c r="I124" s="59">
        <f t="shared" si="235"/>
        <v>0</v>
      </c>
      <c r="J124" s="59">
        <f t="shared" si="235"/>
        <v>5.8910284768057668</v>
      </c>
      <c r="K124" s="59">
        <f t="shared" si="235"/>
        <v>0</v>
      </c>
      <c r="L124" s="59">
        <f t="shared" si="235"/>
        <v>0</v>
      </c>
      <c r="M124" s="59">
        <f t="shared" si="235"/>
        <v>0</v>
      </c>
      <c r="N124" s="59">
        <f t="shared" si="235"/>
        <v>0</v>
      </c>
      <c r="O124" s="59">
        <f t="shared" si="235"/>
        <v>0</v>
      </c>
      <c r="P124" s="59">
        <f t="shared" si="235"/>
        <v>0</v>
      </c>
      <c r="Q124" s="59">
        <f t="shared" si="235"/>
        <v>0</v>
      </c>
      <c r="R124" s="59">
        <f t="shared" si="235"/>
        <v>0</v>
      </c>
      <c r="S124" s="59">
        <f t="shared" si="235"/>
        <v>0</v>
      </c>
      <c r="T124" s="59">
        <f t="shared" si="235"/>
        <v>0</v>
      </c>
      <c r="U124" s="59">
        <f t="shared" si="235"/>
        <v>0</v>
      </c>
      <c r="V124" s="59">
        <f t="shared" si="235"/>
        <v>0</v>
      </c>
      <c r="W124" s="59">
        <f t="shared" si="235"/>
        <v>0</v>
      </c>
      <c r="Y124" s="61"/>
      <c r="Z124" s="61"/>
      <c r="AA124" s="61"/>
    </row>
    <row r="125" spans="2:27" s="59" customFormat="1" x14ac:dyDescent="0.2">
      <c r="C125" s="65" t="s">
        <v>40</v>
      </c>
      <c r="E125" s="59">
        <f>(E123-2501*E124/1000)/(1.01+1.86*E124/1000)</f>
        <v>0</v>
      </c>
      <c r="F125" s="59">
        <f t="shared" ref="F125:N125" si="236">(F123-2501*F124/1000)/(1.01+1.86*F124/1000)</f>
        <v>0</v>
      </c>
      <c r="G125" s="59">
        <f t="shared" si="236"/>
        <v>0</v>
      </c>
      <c r="H125" s="59">
        <f t="shared" si="236"/>
        <v>0</v>
      </c>
      <c r="I125" s="59">
        <f t="shared" si="236"/>
        <v>0</v>
      </c>
      <c r="J125" s="59">
        <f t="shared" si="236"/>
        <v>3.3035511461170657</v>
      </c>
      <c r="K125" s="59">
        <f t="shared" si="236"/>
        <v>0</v>
      </c>
      <c r="L125" s="59">
        <f t="shared" si="236"/>
        <v>0</v>
      </c>
      <c r="M125" s="59">
        <f t="shared" si="236"/>
        <v>0</v>
      </c>
      <c r="N125" s="59">
        <f t="shared" si="236"/>
        <v>0</v>
      </c>
      <c r="O125" s="59">
        <f t="shared" ref="O125:W125" si="237">(O123-2501*O124/1000)/(1.01+1.86*O124/1000)</f>
        <v>0</v>
      </c>
      <c r="P125" s="59">
        <f t="shared" si="237"/>
        <v>0</v>
      </c>
      <c r="Q125" s="59">
        <f t="shared" si="237"/>
        <v>0</v>
      </c>
      <c r="R125" s="59">
        <f t="shared" si="237"/>
        <v>0</v>
      </c>
      <c r="S125" s="59">
        <f t="shared" si="237"/>
        <v>0</v>
      </c>
      <c r="T125" s="59">
        <f t="shared" si="237"/>
        <v>0</v>
      </c>
      <c r="U125" s="59">
        <f t="shared" si="237"/>
        <v>0</v>
      </c>
      <c r="V125" s="59">
        <f t="shared" si="237"/>
        <v>0</v>
      </c>
      <c r="W125" s="59">
        <f t="shared" si="237"/>
        <v>0</v>
      </c>
      <c r="Y125" s="61"/>
      <c r="Z125" s="61"/>
      <c r="AA125" s="61"/>
    </row>
    <row r="126" spans="2:27" s="59" customFormat="1" x14ac:dyDescent="0.2">
      <c r="C126" s="72" t="s">
        <v>41</v>
      </c>
      <c r="E126" s="59">
        <v>-5.7813300875029912</v>
      </c>
      <c r="F126" s="59">
        <v>-5.7816951496861826</v>
      </c>
      <c r="G126" s="59">
        <v>-5.7812250242057521</v>
      </c>
      <c r="H126" s="59">
        <v>-5.7813328973617555</v>
      </c>
      <c r="I126" s="59">
        <v>-6.0023688391712238</v>
      </c>
      <c r="J126" s="59">
        <v>4.277020603210544</v>
      </c>
      <c r="K126" s="59">
        <v>-6.0023222237988856</v>
      </c>
      <c r="L126" s="59">
        <v>-5.7817005781944255</v>
      </c>
      <c r="M126" s="59">
        <v>-5.7813297151605854</v>
      </c>
      <c r="N126" s="59">
        <v>-5.7813300875029912</v>
      </c>
      <c r="O126" s="59">
        <v>-5.7813300875029912</v>
      </c>
      <c r="P126" s="59">
        <v>-5.7813300875029912</v>
      </c>
      <c r="Q126" s="59">
        <v>-5.7813300875029912</v>
      </c>
      <c r="R126" s="59">
        <v>-5.7813300875029912</v>
      </c>
      <c r="S126" s="59">
        <v>-5.7813300875029912</v>
      </c>
      <c r="T126" s="59">
        <v>-5.7813300875029912</v>
      </c>
      <c r="U126" s="59">
        <v>-5.7813300875029912</v>
      </c>
      <c r="V126" s="59">
        <v>-5.7813300875029912</v>
      </c>
      <c r="W126" s="59">
        <v>-5.7813300875029912</v>
      </c>
      <c r="Y126" s="61"/>
      <c r="Z126" s="61"/>
      <c r="AA126" s="61"/>
    </row>
    <row r="127" spans="2:27" s="59" customFormat="1" x14ac:dyDescent="0.2">
      <c r="C127" s="72" t="s">
        <v>31</v>
      </c>
      <c r="E127" s="74">
        <f>IF(E126&lt;-50,#N/A,IF(E126&lt;0,EXP((1738.4+28.74*E126)/(271+E126)),IF(E126&lt;=100,EXP((1500.3+23.5*E126)/(234+E126)),#N/A)))</f>
        <v>375.44301312156364</v>
      </c>
      <c r="F127" s="74">
        <f t="shared" ref="F127:N127" si="238">IF(F126&lt;-50,#N/A,IF(F126&lt;0,EXP((1738.4+28.74*F126)/(271+F126)),IF(F126&lt;=100,EXP((1500.3+23.5*F126)/(234+F126)),#N/A)))</f>
        <v>375.43122453079735</v>
      </c>
      <c r="G127" s="74">
        <f t="shared" si="238"/>
        <v>375.44640588892963</v>
      </c>
      <c r="H127" s="74">
        <f t="shared" si="238"/>
        <v>375.44292238429398</v>
      </c>
      <c r="I127" s="74">
        <f t="shared" si="238"/>
        <v>368.36670865255269</v>
      </c>
      <c r="J127" s="74">
        <f t="shared" si="238"/>
        <v>827.38706687411548</v>
      </c>
      <c r="K127" s="74">
        <f t="shared" si="238"/>
        <v>368.36818807351386</v>
      </c>
      <c r="L127" s="74">
        <f t="shared" si="238"/>
        <v>375.43104923591659</v>
      </c>
      <c r="M127" s="70">
        <f t="shared" si="238"/>
        <v>375.44302514542028</v>
      </c>
      <c r="N127" s="70">
        <f t="shared" si="238"/>
        <v>375.44301312156364</v>
      </c>
      <c r="O127" s="70">
        <f t="shared" ref="O127:W127" si="239">IF(O126&lt;-50,#N/A,IF(O126&lt;0,EXP((1738.4+28.74*O126)/(271+O126)),IF(O126&lt;=100,EXP((1500.3+23.5*O126)/(234+O126)),#N/A)))</f>
        <v>375.44301312156364</v>
      </c>
      <c r="P127" s="70">
        <f t="shared" si="239"/>
        <v>375.44301312156364</v>
      </c>
      <c r="Q127" s="70">
        <f t="shared" si="239"/>
        <v>375.44301312156364</v>
      </c>
      <c r="R127" s="70">
        <f t="shared" si="239"/>
        <v>375.44301312156364</v>
      </c>
      <c r="S127" s="70">
        <f t="shared" si="239"/>
        <v>375.44301312156364</v>
      </c>
      <c r="T127" s="70">
        <f t="shared" si="239"/>
        <v>375.44301312156364</v>
      </c>
      <c r="U127" s="70">
        <f t="shared" si="239"/>
        <v>375.44301312156364</v>
      </c>
      <c r="V127" s="70">
        <f t="shared" si="239"/>
        <v>375.44301312156364</v>
      </c>
      <c r="W127" s="70">
        <f t="shared" si="239"/>
        <v>375.44301312156364</v>
      </c>
      <c r="Y127" s="61"/>
      <c r="Z127" s="61"/>
      <c r="AA127" s="61"/>
    </row>
    <row r="128" spans="2:27" s="59" customFormat="1" x14ac:dyDescent="0.2">
      <c r="C128" s="72" t="s">
        <v>37</v>
      </c>
      <c r="E128" s="59">
        <f>0.6222*MaxVlhkost*E127/(Tlak_vzduchu-MaxVlhkost*E127/1000)</f>
        <v>2.4818246188059332</v>
      </c>
      <c r="F128" s="59">
        <f t="shared" ref="F128:N128" si="240">0.6222*MaxVlhkost*F127/(Tlak_vzduchu-MaxVlhkost*F127/1000)</f>
        <v>2.48174638080192</v>
      </c>
      <c r="G128" s="59">
        <f t="shared" si="240"/>
        <v>2.4818471357797485</v>
      </c>
      <c r="H128" s="59">
        <f t="shared" si="240"/>
        <v>2.4818240166047123</v>
      </c>
      <c r="I128" s="59">
        <f t="shared" si="240"/>
        <v>2.4348644351493056</v>
      </c>
      <c r="J128" s="59">
        <f t="shared" si="240"/>
        <v>5.4957390094007232</v>
      </c>
      <c r="K128" s="59">
        <f t="shared" si="240"/>
        <v>2.434874252230915</v>
      </c>
      <c r="L128" s="59">
        <f t="shared" si="240"/>
        <v>2.481745217412664</v>
      </c>
      <c r="M128" s="59">
        <f t="shared" si="240"/>
        <v>2.4818246986053492</v>
      </c>
      <c r="N128" s="59">
        <f t="shared" si="240"/>
        <v>2.4818246188059332</v>
      </c>
      <c r="O128" s="59">
        <f t="shared" ref="O128:W128" si="241">0.6222*MaxVlhkost*O127/(Tlak_vzduchu-MaxVlhkost*O127/1000)</f>
        <v>2.4818246188059332</v>
      </c>
      <c r="P128" s="59">
        <f t="shared" si="241"/>
        <v>2.4818246188059332</v>
      </c>
      <c r="Q128" s="59">
        <f t="shared" si="241"/>
        <v>2.4818246188059332</v>
      </c>
      <c r="R128" s="59">
        <f t="shared" si="241"/>
        <v>2.4818246188059332</v>
      </c>
      <c r="S128" s="59">
        <f t="shared" si="241"/>
        <v>2.4818246188059332</v>
      </c>
      <c r="T128" s="59">
        <f t="shared" si="241"/>
        <v>2.4818246188059332</v>
      </c>
      <c r="U128" s="59">
        <f t="shared" si="241"/>
        <v>2.4818246188059332</v>
      </c>
      <c r="V128" s="59">
        <f t="shared" si="241"/>
        <v>2.4818246188059332</v>
      </c>
      <c r="W128" s="59">
        <f t="shared" si="241"/>
        <v>2.4818246188059332</v>
      </c>
      <c r="Y128" s="61"/>
      <c r="Z128" s="61"/>
      <c r="AA128" s="61"/>
    </row>
    <row r="129" spans="2:27" s="59" customFormat="1" x14ac:dyDescent="0.2">
      <c r="C129" s="72" t="s">
        <v>38</v>
      </c>
      <c r="E129" s="59">
        <f>(E123-1.01*E126)/(2501+1.86*E126)*1000</f>
        <v>2.3448051662213847</v>
      </c>
      <c r="F129" s="59">
        <f t="shared" ref="F129:N129" si="242">(F123-1.01*F126)/(2501+1.86*F126)*1000</f>
        <v>2.3449538683807138</v>
      </c>
      <c r="G129" s="59">
        <f t="shared" si="242"/>
        <v>2.3447623704063183</v>
      </c>
      <c r="H129" s="59">
        <f t="shared" si="242"/>
        <v>2.3448063107714696</v>
      </c>
      <c r="I129" s="59">
        <f t="shared" si="242"/>
        <v>2.4348565593132174</v>
      </c>
      <c r="J129" s="59">
        <f t="shared" si="242"/>
        <v>5.4948991485234524</v>
      </c>
      <c r="K129" s="59">
        <f t="shared" si="242"/>
        <v>2.4348375650319185</v>
      </c>
      <c r="L129" s="59">
        <f t="shared" si="242"/>
        <v>2.3449560795961135</v>
      </c>
      <c r="M129" s="59">
        <f t="shared" si="242"/>
        <v>2.3448050145537866</v>
      </c>
      <c r="N129" s="59">
        <f t="shared" si="242"/>
        <v>2.3448051662213847</v>
      </c>
      <c r="O129" s="59">
        <f t="shared" ref="O129:W129" si="243">(O123-1.01*O126)/(2501+1.86*O126)*1000</f>
        <v>2.3448051662213847</v>
      </c>
      <c r="P129" s="59">
        <f t="shared" si="243"/>
        <v>2.3448051662213847</v>
      </c>
      <c r="Q129" s="59">
        <f t="shared" si="243"/>
        <v>2.3448051662213847</v>
      </c>
      <c r="R129" s="59">
        <f t="shared" si="243"/>
        <v>2.3448051662213847</v>
      </c>
      <c r="S129" s="59">
        <f t="shared" si="243"/>
        <v>2.3448051662213847</v>
      </c>
      <c r="T129" s="59">
        <f t="shared" si="243"/>
        <v>2.3448051662213847</v>
      </c>
      <c r="U129" s="59">
        <f t="shared" si="243"/>
        <v>2.3448051662213847</v>
      </c>
      <c r="V129" s="59">
        <f t="shared" si="243"/>
        <v>2.3448051662213847</v>
      </c>
      <c r="W129" s="59">
        <f t="shared" si="243"/>
        <v>2.3448051662213847</v>
      </c>
      <c r="Y129" s="61"/>
      <c r="Z129" s="61"/>
      <c r="AA129" s="61"/>
    </row>
    <row r="130" spans="2:27" s="59" customFormat="1" x14ac:dyDescent="0.2">
      <c r="C130" s="73" t="s">
        <v>39</v>
      </c>
      <c r="E130" s="59">
        <f>E128-E129</f>
        <v>0.13701945258454851</v>
      </c>
      <c r="F130" s="59">
        <f t="shared" ref="F130:N130" si="244">F128-F129</f>
        <v>0.13679251242120616</v>
      </c>
      <c r="G130" s="59">
        <f t="shared" si="244"/>
        <v>0.13708476537343017</v>
      </c>
      <c r="H130" s="59">
        <f t="shared" si="244"/>
        <v>0.13701770583324269</v>
      </c>
      <c r="I130" s="59">
        <f t="shared" si="244"/>
        <v>7.8758360881892031E-6</v>
      </c>
      <c r="J130" s="59">
        <f t="shared" si="244"/>
        <v>8.3986087727083714E-4</v>
      </c>
      <c r="K130" s="59">
        <f t="shared" si="244"/>
        <v>3.6687198996521175E-5</v>
      </c>
      <c r="L130" s="59">
        <f t="shared" si="244"/>
        <v>0.13678913781655044</v>
      </c>
      <c r="M130" s="59">
        <f t="shared" si="244"/>
        <v>0.13701968405156251</v>
      </c>
      <c r="N130" s="59">
        <f t="shared" si="244"/>
        <v>0.13701945258454851</v>
      </c>
      <c r="O130" s="59">
        <f t="shared" ref="O130:W130" si="245">O128-O129</f>
        <v>0.13701945258454851</v>
      </c>
      <c r="P130" s="59">
        <f t="shared" si="245"/>
        <v>0.13701945258454851</v>
      </c>
      <c r="Q130" s="59">
        <f t="shared" si="245"/>
        <v>0.13701945258454851</v>
      </c>
      <c r="R130" s="59">
        <f t="shared" si="245"/>
        <v>0.13701945258454851</v>
      </c>
      <c r="S130" s="59">
        <f t="shared" si="245"/>
        <v>0.13701945258454851</v>
      </c>
      <c r="T130" s="59">
        <f t="shared" si="245"/>
        <v>0.13701945258454851</v>
      </c>
      <c r="U130" s="59">
        <f t="shared" si="245"/>
        <v>0.13701945258454851</v>
      </c>
      <c r="V130" s="59">
        <f t="shared" si="245"/>
        <v>0.13701945258454851</v>
      </c>
      <c r="W130" s="59">
        <f t="shared" si="245"/>
        <v>0.13701945258454851</v>
      </c>
      <c r="Y130" s="61"/>
      <c r="Z130" s="61"/>
      <c r="AA130" s="61"/>
    </row>
    <row r="131" spans="2:27" s="59" customFormat="1" x14ac:dyDescent="0.2">
      <c r="B131" s="76" t="s">
        <v>70</v>
      </c>
      <c r="C131" s="65" t="s">
        <v>33</v>
      </c>
      <c r="E131" s="59">
        <f>IF(AND(E123=0,E124=0),0,IF(E125&gt;E126,E125,E126))</f>
        <v>0</v>
      </c>
      <c r="F131" s="59">
        <f t="shared" ref="F131:N131" si="246">IF(AND(F123=0,F124=0),0,IF(F125&gt;F126,F125,F126))</f>
        <v>0</v>
      </c>
      <c r="G131" s="59">
        <f t="shared" si="246"/>
        <v>0</v>
      </c>
      <c r="H131" s="59">
        <f t="shared" si="246"/>
        <v>0</v>
      </c>
      <c r="I131" s="59">
        <f t="shared" si="246"/>
        <v>0</v>
      </c>
      <c r="J131" s="59">
        <f t="shared" si="246"/>
        <v>4.277020603210544</v>
      </c>
      <c r="K131" s="59">
        <f t="shared" si="246"/>
        <v>0</v>
      </c>
      <c r="L131" s="59">
        <f t="shared" si="246"/>
        <v>0</v>
      </c>
      <c r="M131" s="59">
        <f t="shared" si="246"/>
        <v>0</v>
      </c>
      <c r="N131" s="59">
        <f t="shared" si="246"/>
        <v>0</v>
      </c>
      <c r="O131" s="59">
        <f t="shared" ref="O131:W131" si="247">IF(AND(O123=0,O124=0),0,IF(O125&gt;O126,O125,O126))</f>
        <v>0</v>
      </c>
      <c r="P131" s="59">
        <f t="shared" si="247"/>
        <v>0</v>
      </c>
      <c r="Q131" s="59">
        <f t="shared" si="247"/>
        <v>0</v>
      </c>
      <c r="R131" s="59">
        <f t="shared" si="247"/>
        <v>0</v>
      </c>
      <c r="S131" s="59">
        <f t="shared" si="247"/>
        <v>0</v>
      </c>
      <c r="T131" s="59">
        <f t="shared" si="247"/>
        <v>0</v>
      </c>
      <c r="U131" s="59">
        <f t="shared" si="247"/>
        <v>0</v>
      </c>
      <c r="V131" s="59">
        <f t="shared" si="247"/>
        <v>0</v>
      </c>
      <c r="W131" s="59">
        <f t="shared" si="247"/>
        <v>0</v>
      </c>
      <c r="Y131" s="61"/>
      <c r="Z131" s="61"/>
      <c r="AA131" s="61"/>
    </row>
    <row r="132" spans="2:27" s="59" customFormat="1" x14ac:dyDescent="0.2">
      <c r="C132" s="65" t="s">
        <v>34</v>
      </c>
      <c r="E132" s="59">
        <f>IF(AND(E123=0,E124=0),0,IF(E125&gt;E126,E124,E128))</f>
        <v>0</v>
      </c>
      <c r="F132" s="59">
        <f t="shared" ref="F132:N132" si="248">IF(AND(F123=0,F124=0),0,IF(F125&gt;F126,F124,F128))</f>
        <v>0</v>
      </c>
      <c r="G132" s="59">
        <f t="shared" si="248"/>
        <v>0</v>
      </c>
      <c r="H132" s="59">
        <f t="shared" si="248"/>
        <v>0</v>
      </c>
      <c r="I132" s="59">
        <f t="shared" si="248"/>
        <v>0</v>
      </c>
      <c r="J132" s="59">
        <f t="shared" si="248"/>
        <v>5.4957390094007232</v>
      </c>
      <c r="K132" s="59">
        <f t="shared" si="248"/>
        <v>0</v>
      </c>
      <c r="L132" s="59">
        <f t="shared" si="248"/>
        <v>0</v>
      </c>
      <c r="M132" s="59">
        <f t="shared" si="248"/>
        <v>0</v>
      </c>
      <c r="N132" s="59">
        <f t="shared" si="248"/>
        <v>0</v>
      </c>
      <c r="O132" s="59">
        <f t="shared" ref="O132:W132" si="249">IF(AND(O123=0,O124=0),0,IF(O125&gt;O126,O124,O128))</f>
        <v>0</v>
      </c>
      <c r="P132" s="59">
        <f t="shared" si="249"/>
        <v>0</v>
      </c>
      <c r="Q132" s="59">
        <f t="shared" si="249"/>
        <v>0</v>
      </c>
      <c r="R132" s="59">
        <f t="shared" si="249"/>
        <v>0</v>
      </c>
      <c r="S132" s="59">
        <f t="shared" si="249"/>
        <v>0</v>
      </c>
      <c r="T132" s="59">
        <f t="shared" si="249"/>
        <v>0</v>
      </c>
      <c r="U132" s="59">
        <f t="shared" si="249"/>
        <v>0</v>
      </c>
      <c r="V132" s="59">
        <f t="shared" si="249"/>
        <v>0</v>
      </c>
      <c r="W132" s="59">
        <f t="shared" si="249"/>
        <v>0</v>
      </c>
      <c r="Y132" s="61"/>
      <c r="Z132" s="61"/>
      <c r="AA132" s="61"/>
    </row>
    <row r="133" spans="2:27" s="59" customFormat="1" x14ac:dyDescent="0.2">
      <c r="C133" s="65"/>
      <c r="Y133" s="61"/>
      <c r="Z133" s="61"/>
      <c r="AA133" s="61"/>
    </row>
    <row r="134" spans="2:27" s="59" customFormat="1" x14ac:dyDescent="0.2">
      <c r="B134" s="73" t="s">
        <v>112</v>
      </c>
      <c r="C134" s="65" t="s">
        <v>32</v>
      </c>
      <c r="D134" s="59" t="s">
        <v>36</v>
      </c>
      <c r="E134" s="59">
        <f>IF(AND(E$93&lt;&gt;"",E$94&lt;&gt;""),MIN(E$93,MaxVlhkost),0)</f>
        <v>0</v>
      </c>
      <c r="F134" s="59">
        <f t="shared" ref="F134:W134" si="250">IF(AND(F$93&lt;&gt;"",F$94&lt;&gt;""),MIN(F$93,MaxVlhkost),0)</f>
        <v>0</v>
      </c>
      <c r="G134" s="59">
        <f t="shared" si="250"/>
        <v>0</v>
      </c>
      <c r="H134" s="59">
        <f t="shared" si="250"/>
        <v>0</v>
      </c>
      <c r="I134" s="59">
        <f t="shared" si="250"/>
        <v>0</v>
      </c>
      <c r="J134" s="59">
        <f t="shared" si="250"/>
        <v>0</v>
      </c>
      <c r="K134" s="59">
        <f t="shared" si="250"/>
        <v>0</v>
      </c>
      <c r="L134" s="59">
        <f t="shared" si="250"/>
        <v>0</v>
      </c>
      <c r="M134" s="59">
        <f t="shared" si="250"/>
        <v>0</v>
      </c>
      <c r="N134" s="59">
        <f t="shared" si="250"/>
        <v>0</v>
      </c>
      <c r="O134" s="59">
        <f t="shared" si="250"/>
        <v>0</v>
      </c>
      <c r="P134" s="59">
        <f t="shared" si="250"/>
        <v>0</v>
      </c>
      <c r="Q134" s="59">
        <f t="shared" si="250"/>
        <v>0</v>
      </c>
      <c r="R134" s="59">
        <f t="shared" si="250"/>
        <v>0</v>
      </c>
      <c r="S134" s="59">
        <f t="shared" si="250"/>
        <v>0</v>
      </c>
      <c r="T134" s="59">
        <f t="shared" si="250"/>
        <v>0</v>
      </c>
      <c r="U134" s="59">
        <f t="shared" si="250"/>
        <v>0</v>
      </c>
      <c r="V134" s="59">
        <f t="shared" si="250"/>
        <v>0</v>
      </c>
      <c r="W134" s="59">
        <f t="shared" si="250"/>
        <v>0</v>
      </c>
      <c r="Y134" s="61"/>
      <c r="Z134" s="61"/>
      <c r="AA134" s="61"/>
    </row>
    <row r="135" spans="2:27" s="59" customFormat="1" x14ac:dyDescent="0.2">
      <c r="C135" s="65" t="s">
        <v>2</v>
      </c>
      <c r="D135" s="59" t="s">
        <v>35</v>
      </c>
      <c r="E135" s="59">
        <f>IF(AND(E$93&lt;&gt;"",E$94&lt;&gt;""),E$94,0)</f>
        <v>0</v>
      </c>
      <c r="F135" s="59">
        <f t="shared" ref="F135:W135" si="251">IF(AND(F$93&lt;&gt;"",F$94&lt;&gt;""),F$94,0)</f>
        <v>0</v>
      </c>
      <c r="G135" s="59">
        <f t="shared" si="251"/>
        <v>0</v>
      </c>
      <c r="H135" s="59">
        <f t="shared" si="251"/>
        <v>0</v>
      </c>
      <c r="I135" s="59">
        <f t="shared" si="251"/>
        <v>0</v>
      </c>
      <c r="J135" s="59">
        <f t="shared" si="251"/>
        <v>0</v>
      </c>
      <c r="K135" s="59">
        <f t="shared" si="251"/>
        <v>0</v>
      </c>
      <c r="L135" s="59">
        <f t="shared" si="251"/>
        <v>0</v>
      </c>
      <c r="M135" s="59">
        <f t="shared" si="251"/>
        <v>0</v>
      </c>
      <c r="N135" s="59">
        <f t="shared" si="251"/>
        <v>0</v>
      </c>
      <c r="O135" s="59">
        <f t="shared" si="251"/>
        <v>0</v>
      </c>
      <c r="P135" s="59">
        <f t="shared" si="251"/>
        <v>0</v>
      </c>
      <c r="Q135" s="59">
        <f t="shared" si="251"/>
        <v>0</v>
      </c>
      <c r="R135" s="59">
        <f t="shared" si="251"/>
        <v>0</v>
      </c>
      <c r="S135" s="59">
        <f t="shared" si="251"/>
        <v>0</v>
      </c>
      <c r="T135" s="59">
        <f t="shared" si="251"/>
        <v>0</v>
      </c>
      <c r="U135" s="59">
        <f t="shared" si="251"/>
        <v>0</v>
      </c>
      <c r="V135" s="59">
        <f t="shared" si="251"/>
        <v>0</v>
      </c>
      <c r="W135" s="59">
        <f t="shared" si="251"/>
        <v>0</v>
      </c>
      <c r="Y135" s="61"/>
      <c r="Z135" s="61"/>
      <c r="AA135" s="61"/>
    </row>
    <row r="136" spans="2:27" s="59" customFormat="1" x14ac:dyDescent="0.2">
      <c r="C136" s="65" t="s">
        <v>31</v>
      </c>
      <c r="D136" s="59" t="s">
        <v>10</v>
      </c>
      <c r="E136" s="59" t="e">
        <f>E135/1000*Tlak_vzduchu/E134/(0.6222+E135/1000)*1000</f>
        <v>#DIV/0!</v>
      </c>
      <c r="F136" s="59" t="e">
        <f t="shared" ref="F136:N136" si="252">F135/1000*Tlak_vzduchu/F134/(0.6222+F135/1000)*1000</f>
        <v>#DIV/0!</v>
      </c>
      <c r="G136" s="59" t="e">
        <f t="shared" si="252"/>
        <v>#DIV/0!</v>
      </c>
      <c r="H136" s="59" t="e">
        <f t="shared" si="252"/>
        <v>#DIV/0!</v>
      </c>
      <c r="I136" s="59" t="e">
        <f t="shared" si="252"/>
        <v>#DIV/0!</v>
      </c>
      <c r="J136" s="59" t="e">
        <f t="shared" si="252"/>
        <v>#DIV/0!</v>
      </c>
      <c r="K136" s="59" t="e">
        <f t="shared" si="252"/>
        <v>#DIV/0!</v>
      </c>
      <c r="L136" s="59" t="e">
        <f t="shared" si="252"/>
        <v>#DIV/0!</v>
      </c>
      <c r="M136" s="59" t="e">
        <f t="shared" si="252"/>
        <v>#DIV/0!</v>
      </c>
      <c r="N136" s="59" t="e">
        <f t="shared" si="252"/>
        <v>#DIV/0!</v>
      </c>
      <c r="O136" s="59" t="e">
        <f t="shared" ref="O136:W136" si="253">O135/1000*Tlak_vzduchu/O134/(0.6222+O135/1000)*1000</f>
        <v>#DIV/0!</v>
      </c>
      <c r="P136" s="59" t="e">
        <f t="shared" si="253"/>
        <v>#DIV/0!</v>
      </c>
      <c r="Q136" s="59" t="e">
        <f t="shared" si="253"/>
        <v>#DIV/0!</v>
      </c>
      <c r="R136" s="59" t="e">
        <f t="shared" si="253"/>
        <v>#DIV/0!</v>
      </c>
      <c r="S136" s="59" t="e">
        <f t="shared" si="253"/>
        <v>#DIV/0!</v>
      </c>
      <c r="T136" s="59" t="e">
        <f t="shared" si="253"/>
        <v>#DIV/0!</v>
      </c>
      <c r="U136" s="59" t="e">
        <f t="shared" si="253"/>
        <v>#DIV/0!</v>
      </c>
      <c r="V136" s="59" t="e">
        <f t="shared" si="253"/>
        <v>#DIV/0!</v>
      </c>
      <c r="W136" s="59" t="e">
        <f t="shared" si="253"/>
        <v>#DIV/0!</v>
      </c>
      <c r="Y136" s="61"/>
      <c r="Z136" s="61"/>
      <c r="AA136" s="61"/>
    </row>
    <row r="137" spans="2:27" s="59" customFormat="1" x14ac:dyDescent="0.2">
      <c r="C137" s="65" t="s">
        <v>0</v>
      </c>
      <c r="E137" s="59" t="e">
        <f>IF(E136&lt;641,(271*LN(E136)-1738.4)/(28.74-LN(E136)),(234*LN(E136)-1500.3)/(23.5-LN(E136)))</f>
        <v>#DIV/0!</v>
      </c>
      <c r="F137" s="59" t="e">
        <f t="shared" ref="F137:N137" si="254">IF(F136&lt;641,(271*LN(F136)-1738.4)/(28.74-LN(F136)),(234*LN(F136)-1500.3)/(23.5-LN(F136)))</f>
        <v>#DIV/0!</v>
      </c>
      <c r="G137" s="59" t="e">
        <f t="shared" si="254"/>
        <v>#DIV/0!</v>
      </c>
      <c r="H137" s="59" t="e">
        <f t="shared" si="254"/>
        <v>#DIV/0!</v>
      </c>
      <c r="I137" s="59" t="e">
        <f t="shared" si="254"/>
        <v>#DIV/0!</v>
      </c>
      <c r="J137" s="59" t="e">
        <f t="shared" si="254"/>
        <v>#DIV/0!</v>
      </c>
      <c r="K137" s="59" t="e">
        <f t="shared" si="254"/>
        <v>#DIV/0!</v>
      </c>
      <c r="L137" s="59" t="e">
        <f t="shared" si="254"/>
        <v>#DIV/0!</v>
      </c>
      <c r="M137" s="59" t="e">
        <f t="shared" si="254"/>
        <v>#DIV/0!</v>
      </c>
      <c r="N137" s="59" t="e">
        <f t="shared" si="254"/>
        <v>#DIV/0!</v>
      </c>
      <c r="O137" s="59" t="e">
        <f t="shared" ref="O137:W137" si="255">IF(O136&lt;641,(271*LN(O136)-1738.4)/(28.74-LN(O136)),(234*LN(O136)-1500.3)/(23.5-LN(O136)))</f>
        <v>#DIV/0!</v>
      </c>
      <c r="P137" s="59" t="e">
        <f t="shared" si="255"/>
        <v>#DIV/0!</v>
      </c>
      <c r="Q137" s="59" t="e">
        <f t="shared" si="255"/>
        <v>#DIV/0!</v>
      </c>
      <c r="R137" s="59" t="e">
        <f t="shared" si="255"/>
        <v>#DIV/0!</v>
      </c>
      <c r="S137" s="59" t="e">
        <f t="shared" si="255"/>
        <v>#DIV/0!</v>
      </c>
      <c r="T137" s="59" t="e">
        <f t="shared" si="255"/>
        <v>#DIV/0!</v>
      </c>
      <c r="U137" s="59" t="e">
        <f t="shared" si="255"/>
        <v>#DIV/0!</v>
      </c>
      <c r="V137" s="59" t="e">
        <f t="shared" si="255"/>
        <v>#DIV/0!</v>
      </c>
      <c r="W137" s="59" t="e">
        <f t="shared" si="255"/>
        <v>#DIV/0!</v>
      </c>
      <c r="Y137" s="61"/>
      <c r="Z137" s="61"/>
      <c r="AA137" s="61"/>
    </row>
    <row r="138" spans="2:27" s="59" customFormat="1" x14ac:dyDescent="0.2">
      <c r="B138" s="76" t="s">
        <v>70</v>
      </c>
      <c r="C138" s="65" t="s">
        <v>33</v>
      </c>
      <c r="E138" s="59">
        <f>IF(E134=0,0,E137)</f>
        <v>0</v>
      </c>
      <c r="F138" s="59">
        <f t="shared" ref="F138:N138" si="256">IF(F134=0,0,F137)</f>
        <v>0</v>
      </c>
      <c r="G138" s="59">
        <f t="shared" si="256"/>
        <v>0</v>
      </c>
      <c r="H138" s="59">
        <f t="shared" si="256"/>
        <v>0</v>
      </c>
      <c r="I138" s="59">
        <f t="shared" si="256"/>
        <v>0</v>
      </c>
      <c r="J138" s="59">
        <f t="shared" si="256"/>
        <v>0</v>
      </c>
      <c r="K138" s="59">
        <f t="shared" si="256"/>
        <v>0</v>
      </c>
      <c r="L138" s="59">
        <f t="shared" si="256"/>
        <v>0</v>
      </c>
      <c r="M138" s="59">
        <f t="shared" si="256"/>
        <v>0</v>
      </c>
      <c r="N138" s="59">
        <f t="shared" si="256"/>
        <v>0</v>
      </c>
      <c r="O138" s="59">
        <f t="shared" ref="O138:W138" si="257">IF(O134=0,0,O137)</f>
        <v>0</v>
      </c>
      <c r="P138" s="59">
        <f t="shared" si="257"/>
        <v>0</v>
      </c>
      <c r="Q138" s="59">
        <f t="shared" si="257"/>
        <v>0</v>
      </c>
      <c r="R138" s="59">
        <f t="shared" si="257"/>
        <v>0</v>
      </c>
      <c r="S138" s="59">
        <f t="shared" si="257"/>
        <v>0</v>
      </c>
      <c r="T138" s="59">
        <f t="shared" si="257"/>
        <v>0</v>
      </c>
      <c r="U138" s="59">
        <f t="shared" si="257"/>
        <v>0</v>
      </c>
      <c r="V138" s="59">
        <f t="shared" si="257"/>
        <v>0</v>
      </c>
      <c r="W138" s="59">
        <f t="shared" si="257"/>
        <v>0</v>
      </c>
      <c r="Y138" s="61"/>
      <c r="Z138" s="61"/>
      <c r="AA138" s="61"/>
    </row>
    <row r="139" spans="2:27" s="59" customFormat="1" x14ac:dyDescent="0.2">
      <c r="C139" s="65" t="s">
        <v>34</v>
      </c>
      <c r="E139" s="59">
        <f>IF(E135=0,0,E135)</f>
        <v>0</v>
      </c>
      <c r="F139" s="59">
        <f t="shared" ref="F139:N139" si="258">IF(F135=0,0,F135)</f>
        <v>0</v>
      </c>
      <c r="G139" s="59">
        <f t="shared" si="258"/>
        <v>0</v>
      </c>
      <c r="H139" s="59">
        <f t="shared" si="258"/>
        <v>0</v>
      </c>
      <c r="I139" s="59">
        <f t="shared" si="258"/>
        <v>0</v>
      </c>
      <c r="J139" s="59">
        <f t="shared" si="258"/>
        <v>0</v>
      </c>
      <c r="K139" s="59">
        <f t="shared" si="258"/>
        <v>0</v>
      </c>
      <c r="L139" s="59">
        <f t="shared" si="258"/>
        <v>0</v>
      </c>
      <c r="M139" s="59">
        <f t="shared" si="258"/>
        <v>0</v>
      </c>
      <c r="N139" s="59">
        <f t="shared" si="258"/>
        <v>0</v>
      </c>
      <c r="O139" s="59">
        <f t="shared" ref="O139:W139" si="259">IF(O135=0,0,O135)</f>
        <v>0</v>
      </c>
      <c r="P139" s="59">
        <f t="shared" si="259"/>
        <v>0</v>
      </c>
      <c r="Q139" s="59">
        <f t="shared" si="259"/>
        <v>0</v>
      </c>
      <c r="R139" s="59">
        <f t="shared" si="259"/>
        <v>0</v>
      </c>
      <c r="S139" s="59">
        <f t="shared" si="259"/>
        <v>0</v>
      </c>
      <c r="T139" s="59">
        <f t="shared" si="259"/>
        <v>0</v>
      </c>
      <c r="U139" s="59">
        <f t="shared" si="259"/>
        <v>0</v>
      </c>
      <c r="V139" s="59">
        <f t="shared" si="259"/>
        <v>0</v>
      </c>
      <c r="W139" s="59">
        <f t="shared" si="259"/>
        <v>0</v>
      </c>
      <c r="Y139" s="61"/>
      <c r="Z139" s="61"/>
      <c r="AA139" s="61"/>
    </row>
    <row r="140" spans="2:27" s="59" customFormat="1" x14ac:dyDescent="0.2">
      <c r="C140" s="65"/>
      <c r="Y140" s="61"/>
      <c r="Z140" s="61"/>
      <c r="AA140" s="61"/>
    </row>
    <row r="141" spans="2:27" s="59" customFormat="1" x14ac:dyDescent="0.2">
      <c r="B141" s="73" t="s">
        <v>113</v>
      </c>
      <c r="C141" s="65" t="s">
        <v>32</v>
      </c>
      <c r="E141" s="59">
        <f>IF(AND(E$93&lt;&gt;"",E$95&lt;&gt;""),MIN(E$93,MaxVlhkost),0)</f>
        <v>0</v>
      </c>
      <c r="F141" s="59">
        <f t="shared" ref="F141:W141" si="260">IF(AND(F$93&lt;&gt;"",F$95&lt;&gt;""),MIN(F$93,MaxVlhkost),0)</f>
        <v>0</v>
      </c>
      <c r="G141" s="59">
        <f t="shared" si="260"/>
        <v>0</v>
      </c>
      <c r="H141" s="59">
        <f t="shared" si="260"/>
        <v>0</v>
      </c>
      <c r="I141" s="59">
        <f t="shared" si="260"/>
        <v>0</v>
      </c>
      <c r="J141" s="59">
        <f t="shared" si="260"/>
        <v>0</v>
      </c>
      <c r="K141" s="59">
        <f t="shared" si="260"/>
        <v>0</v>
      </c>
      <c r="L141" s="59">
        <f t="shared" si="260"/>
        <v>0</v>
      </c>
      <c r="M141" s="59">
        <f t="shared" si="260"/>
        <v>0</v>
      </c>
      <c r="N141" s="59">
        <f t="shared" si="260"/>
        <v>0</v>
      </c>
      <c r="O141" s="59">
        <f t="shared" si="260"/>
        <v>0</v>
      </c>
      <c r="P141" s="59">
        <f t="shared" si="260"/>
        <v>0</v>
      </c>
      <c r="Q141" s="59">
        <f t="shared" si="260"/>
        <v>0</v>
      </c>
      <c r="R141" s="59">
        <f t="shared" si="260"/>
        <v>0</v>
      </c>
      <c r="S141" s="59">
        <f t="shared" si="260"/>
        <v>0</v>
      </c>
      <c r="T141" s="59">
        <f t="shared" si="260"/>
        <v>0</v>
      </c>
      <c r="U141" s="59">
        <f t="shared" si="260"/>
        <v>0</v>
      </c>
      <c r="V141" s="59">
        <f t="shared" si="260"/>
        <v>0</v>
      </c>
      <c r="W141" s="59">
        <f t="shared" si="260"/>
        <v>0</v>
      </c>
      <c r="Y141" s="61"/>
      <c r="Z141" s="61"/>
      <c r="AA141" s="61"/>
    </row>
    <row r="142" spans="2:27" s="59" customFormat="1" x14ac:dyDescent="0.2">
      <c r="C142" s="65" t="s">
        <v>3</v>
      </c>
      <c r="E142" s="59">
        <f>IF(AND(E$93&lt;&gt;"",E$95&lt;&gt;""),E$95,0)</f>
        <v>0</v>
      </c>
      <c r="F142" s="59">
        <f t="shared" ref="F142:W142" si="261">IF(AND(F$93&lt;&gt;"",F$95&lt;&gt;""),F$95,0)</f>
        <v>0</v>
      </c>
      <c r="G142" s="59">
        <f t="shared" si="261"/>
        <v>0</v>
      </c>
      <c r="H142" s="59">
        <f t="shared" si="261"/>
        <v>0</v>
      </c>
      <c r="I142" s="59">
        <f t="shared" si="261"/>
        <v>0</v>
      </c>
      <c r="J142" s="59">
        <f t="shared" si="261"/>
        <v>0</v>
      </c>
      <c r="K142" s="59">
        <f t="shared" si="261"/>
        <v>0</v>
      </c>
      <c r="L142" s="59">
        <f t="shared" si="261"/>
        <v>0</v>
      </c>
      <c r="M142" s="59">
        <f t="shared" si="261"/>
        <v>0</v>
      </c>
      <c r="N142" s="59">
        <f t="shared" si="261"/>
        <v>0</v>
      </c>
      <c r="O142" s="59">
        <f t="shared" si="261"/>
        <v>0</v>
      </c>
      <c r="P142" s="59">
        <f t="shared" si="261"/>
        <v>0</v>
      </c>
      <c r="Q142" s="59">
        <f t="shared" si="261"/>
        <v>0</v>
      </c>
      <c r="R142" s="59">
        <f t="shared" si="261"/>
        <v>0</v>
      </c>
      <c r="S142" s="59">
        <f t="shared" si="261"/>
        <v>0</v>
      </c>
      <c r="T142" s="59">
        <f t="shared" si="261"/>
        <v>0</v>
      </c>
      <c r="U142" s="59">
        <f t="shared" si="261"/>
        <v>0</v>
      </c>
      <c r="V142" s="59">
        <f t="shared" si="261"/>
        <v>0</v>
      </c>
      <c r="W142" s="59">
        <f t="shared" si="261"/>
        <v>0</v>
      </c>
      <c r="Y142" s="61"/>
      <c r="Z142" s="61"/>
      <c r="AA142" s="61"/>
    </row>
    <row r="143" spans="2:27" s="59" customFormat="1" x14ac:dyDescent="0.2">
      <c r="C143" s="72" t="s">
        <v>0</v>
      </c>
      <c r="E143" s="59">
        <v>5.7926502284724735E-4</v>
      </c>
      <c r="F143" s="59">
        <v>3.2713249772620134E-4</v>
      </c>
      <c r="G143" s="59">
        <v>2.614847727860567E-4</v>
      </c>
      <c r="H143" s="59">
        <v>4.1770661130514919E-5</v>
      </c>
      <c r="I143" s="59">
        <v>7.1262905406217769E-5</v>
      </c>
      <c r="J143" s="59">
        <v>5.0552826087199576E-4</v>
      </c>
      <c r="K143" s="59">
        <v>5.0552826087199576E-4</v>
      </c>
      <c r="L143" s="59">
        <v>5.0552826087199576E-4</v>
      </c>
      <c r="M143" s="59">
        <v>5.0552826087199576E-4</v>
      </c>
      <c r="N143" s="59">
        <v>5.0552826087199576E-4</v>
      </c>
      <c r="O143" s="59">
        <v>5.0552826087199576E-4</v>
      </c>
      <c r="P143" s="59">
        <v>5.0552826087199576E-4</v>
      </c>
      <c r="Q143" s="59">
        <v>5.0552826087199576E-4</v>
      </c>
      <c r="R143" s="59">
        <v>5.0552826087199576E-4</v>
      </c>
      <c r="S143" s="59">
        <v>5.0552826087199576E-4</v>
      </c>
      <c r="T143" s="59">
        <v>5.0552826087199576E-4</v>
      </c>
      <c r="U143" s="59">
        <v>5.0552826087199576E-4</v>
      </c>
      <c r="V143" s="59">
        <v>5.0552826087199576E-4</v>
      </c>
      <c r="W143" s="59">
        <v>5.0552826087199576E-4</v>
      </c>
      <c r="Y143" s="61"/>
      <c r="Z143" s="61"/>
      <c r="AA143" s="61"/>
    </row>
    <row r="144" spans="2:27" s="59" customFormat="1" x14ac:dyDescent="0.2">
      <c r="C144" s="72" t="s">
        <v>31</v>
      </c>
      <c r="E144" s="74">
        <f>IF(E143&lt;-50,#N/A,IF(E143&lt;0,EXP((1738.4+28.74*E143)/(271+E143)),IF(E143&lt;=100,EXP((1500.3+23.5*E143)/(234+E143)),#N/A)))</f>
        <v>608.85537727910446</v>
      </c>
      <c r="F144" s="74">
        <f t="shared" ref="F144:N144" si="262">IF(F143&lt;-50,#N/A,IF(F143&lt;0,EXP((1738.4+28.74*F143)/(271+F143)),IF(F143&lt;=100,EXP((1500.3+23.5*F143)/(234+F143)),#N/A)))</f>
        <v>608.84416679294907</v>
      </c>
      <c r="G144" s="74">
        <f t="shared" si="262"/>
        <v>608.84124794948968</v>
      </c>
      <c r="H144" s="74">
        <f t="shared" si="262"/>
        <v>608.83147906263059</v>
      </c>
      <c r="I144" s="74">
        <f t="shared" si="262"/>
        <v>608.83279033311987</v>
      </c>
      <c r="J144" s="74">
        <f t="shared" si="262"/>
        <v>608.85209872667178</v>
      </c>
      <c r="K144" s="74">
        <f t="shared" si="262"/>
        <v>608.85209872667178</v>
      </c>
      <c r="L144" s="74">
        <f t="shared" si="262"/>
        <v>608.85209872667178</v>
      </c>
      <c r="M144" s="70">
        <f t="shared" si="262"/>
        <v>608.85209872667178</v>
      </c>
      <c r="N144" s="70">
        <f t="shared" si="262"/>
        <v>608.85209872667178</v>
      </c>
      <c r="O144" s="70">
        <f t="shared" ref="O144:W144" si="263">IF(O143&lt;-50,#N/A,IF(O143&lt;0,EXP((1738.4+28.74*O143)/(271+O143)),IF(O143&lt;=100,EXP((1500.3+23.5*O143)/(234+O143)),#N/A)))</f>
        <v>608.85209872667178</v>
      </c>
      <c r="P144" s="70">
        <f t="shared" si="263"/>
        <v>608.85209872667178</v>
      </c>
      <c r="Q144" s="70">
        <f t="shared" si="263"/>
        <v>608.85209872667178</v>
      </c>
      <c r="R144" s="70">
        <f t="shared" si="263"/>
        <v>608.85209872667178</v>
      </c>
      <c r="S144" s="70">
        <f t="shared" si="263"/>
        <v>608.85209872667178</v>
      </c>
      <c r="T144" s="70">
        <f t="shared" si="263"/>
        <v>608.85209872667178</v>
      </c>
      <c r="U144" s="70">
        <f t="shared" si="263"/>
        <v>608.85209872667178</v>
      </c>
      <c r="V144" s="70">
        <f t="shared" si="263"/>
        <v>608.85209872667178</v>
      </c>
      <c r="W144" s="70">
        <f t="shared" si="263"/>
        <v>608.85209872667178</v>
      </c>
      <c r="Y144" s="61"/>
      <c r="Z144" s="61"/>
      <c r="AA144" s="61"/>
    </row>
    <row r="145" spans="2:27" s="59" customFormat="1" x14ac:dyDescent="0.2">
      <c r="C145" s="72" t="s">
        <v>37</v>
      </c>
      <c r="E145" s="59">
        <f>0.6222*E141*E144/(Tlak_vzduchu-E141*E144/1000)</f>
        <v>0</v>
      </c>
      <c r="F145" s="59">
        <f t="shared" ref="F145:N145" si="264">0.6222*F141*F144/(Tlak_vzduchu-F141*F144/1000)</f>
        <v>0</v>
      </c>
      <c r="G145" s="59">
        <f t="shared" si="264"/>
        <v>0</v>
      </c>
      <c r="H145" s="59">
        <f t="shared" si="264"/>
        <v>0</v>
      </c>
      <c r="I145" s="59">
        <f t="shared" si="264"/>
        <v>0</v>
      </c>
      <c r="J145" s="59">
        <f t="shared" si="264"/>
        <v>0</v>
      </c>
      <c r="K145" s="59">
        <f t="shared" si="264"/>
        <v>0</v>
      </c>
      <c r="L145" s="59">
        <f t="shared" si="264"/>
        <v>0</v>
      </c>
      <c r="M145" s="59">
        <f t="shared" si="264"/>
        <v>0</v>
      </c>
      <c r="N145" s="59">
        <f t="shared" si="264"/>
        <v>0</v>
      </c>
      <c r="O145" s="59">
        <f t="shared" ref="O145:W145" si="265">0.6222*O141*O144/(Tlak_vzduchu-O141*O144/1000)</f>
        <v>0</v>
      </c>
      <c r="P145" s="59">
        <f t="shared" si="265"/>
        <v>0</v>
      </c>
      <c r="Q145" s="59">
        <f t="shared" si="265"/>
        <v>0</v>
      </c>
      <c r="R145" s="59">
        <f t="shared" si="265"/>
        <v>0</v>
      </c>
      <c r="S145" s="59">
        <f t="shared" si="265"/>
        <v>0</v>
      </c>
      <c r="T145" s="59">
        <f t="shared" si="265"/>
        <v>0</v>
      </c>
      <c r="U145" s="59">
        <f t="shared" si="265"/>
        <v>0</v>
      </c>
      <c r="V145" s="59">
        <f t="shared" si="265"/>
        <v>0</v>
      </c>
      <c r="W145" s="59">
        <f t="shared" si="265"/>
        <v>0</v>
      </c>
      <c r="Y145" s="61"/>
      <c r="Z145" s="61"/>
      <c r="AA145" s="61"/>
    </row>
    <row r="146" spans="2:27" s="59" customFormat="1" x14ac:dyDescent="0.2">
      <c r="C146" s="72" t="s">
        <v>38</v>
      </c>
      <c r="E146" s="59">
        <f>(E142-1.01*E143)/(2501+1.86*E143)*1000</f>
        <v>-2.339293966543309E-4</v>
      </c>
      <c r="F146" s="59">
        <f t="shared" ref="F146:N146" si="266">(F142-1.01*F143)/(2501+1.86*F143)*1000</f>
        <v>-1.321086534665256E-4</v>
      </c>
      <c r="G146" s="59">
        <f t="shared" si="266"/>
        <v>-1.0559758862666812E-4</v>
      </c>
      <c r="H146" s="59">
        <f t="shared" si="266"/>
        <v>-1.6868599132843162E-5</v>
      </c>
      <c r="I146" s="59">
        <f t="shared" si="266"/>
        <v>-2.8778700777965545E-5</v>
      </c>
      <c r="J146" s="59">
        <f t="shared" si="266"/>
        <v>-2.0415167993620569E-4</v>
      </c>
      <c r="K146" s="59">
        <f t="shared" si="266"/>
        <v>-2.0415167993620569E-4</v>
      </c>
      <c r="L146" s="59">
        <f t="shared" si="266"/>
        <v>-2.0415167993620569E-4</v>
      </c>
      <c r="M146" s="59">
        <f t="shared" si="266"/>
        <v>-2.0415167993620569E-4</v>
      </c>
      <c r="N146" s="59">
        <f t="shared" si="266"/>
        <v>-2.0415167993620569E-4</v>
      </c>
      <c r="O146" s="59">
        <f t="shared" ref="O146:W146" si="267">(O142-1.01*O143)/(2501+1.86*O143)*1000</f>
        <v>-2.0415167993620569E-4</v>
      </c>
      <c r="P146" s="59">
        <f t="shared" si="267"/>
        <v>-2.0415167993620569E-4</v>
      </c>
      <c r="Q146" s="59">
        <f t="shared" si="267"/>
        <v>-2.0415167993620569E-4</v>
      </c>
      <c r="R146" s="59">
        <f t="shared" si="267"/>
        <v>-2.0415167993620569E-4</v>
      </c>
      <c r="S146" s="59">
        <f t="shared" si="267"/>
        <v>-2.0415167993620569E-4</v>
      </c>
      <c r="T146" s="59">
        <f t="shared" si="267"/>
        <v>-2.0415167993620569E-4</v>
      </c>
      <c r="U146" s="59">
        <f t="shared" si="267"/>
        <v>-2.0415167993620569E-4</v>
      </c>
      <c r="V146" s="59">
        <f t="shared" si="267"/>
        <v>-2.0415167993620569E-4</v>
      </c>
      <c r="W146" s="59">
        <f t="shared" si="267"/>
        <v>-2.0415167993620569E-4</v>
      </c>
      <c r="Y146" s="61"/>
      <c r="Z146" s="61"/>
      <c r="AA146" s="61"/>
    </row>
    <row r="147" spans="2:27" s="59" customFormat="1" x14ac:dyDescent="0.2">
      <c r="C147" s="73" t="s">
        <v>39</v>
      </c>
      <c r="E147" s="59">
        <f>E145-E146</f>
        <v>2.339293966543309E-4</v>
      </c>
      <c r="F147" s="59">
        <f t="shared" ref="F147:N147" si="268">F145-F146</f>
        <v>1.321086534665256E-4</v>
      </c>
      <c r="G147" s="59">
        <f t="shared" si="268"/>
        <v>1.0559758862666812E-4</v>
      </c>
      <c r="H147" s="59">
        <f t="shared" si="268"/>
        <v>1.6868599132843162E-5</v>
      </c>
      <c r="I147" s="59">
        <f t="shared" si="268"/>
        <v>2.8778700777965545E-5</v>
      </c>
      <c r="J147" s="59">
        <f t="shared" si="268"/>
        <v>2.0415167993620569E-4</v>
      </c>
      <c r="K147" s="59">
        <f t="shared" si="268"/>
        <v>2.0415167993620569E-4</v>
      </c>
      <c r="L147" s="59">
        <f t="shared" si="268"/>
        <v>2.0415167993620569E-4</v>
      </c>
      <c r="M147" s="59">
        <f t="shared" si="268"/>
        <v>2.0415167993620569E-4</v>
      </c>
      <c r="N147" s="59">
        <f t="shared" si="268"/>
        <v>2.0415167993620569E-4</v>
      </c>
      <c r="O147" s="59">
        <f t="shared" ref="O147:W147" si="269">O145-O146</f>
        <v>2.0415167993620569E-4</v>
      </c>
      <c r="P147" s="59">
        <f t="shared" si="269"/>
        <v>2.0415167993620569E-4</v>
      </c>
      <c r="Q147" s="59">
        <f t="shared" si="269"/>
        <v>2.0415167993620569E-4</v>
      </c>
      <c r="R147" s="59">
        <f t="shared" si="269"/>
        <v>2.0415167993620569E-4</v>
      </c>
      <c r="S147" s="59">
        <f t="shared" si="269"/>
        <v>2.0415167993620569E-4</v>
      </c>
      <c r="T147" s="59">
        <f t="shared" si="269"/>
        <v>2.0415167993620569E-4</v>
      </c>
      <c r="U147" s="59">
        <f t="shared" si="269"/>
        <v>2.0415167993620569E-4</v>
      </c>
      <c r="V147" s="59">
        <f t="shared" si="269"/>
        <v>2.0415167993620569E-4</v>
      </c>
      <c r="W147" s="59">
        <f t="shared" si="269"/>
        <v>2.0415167993620569E-4</v>
      </c>
      <c r="Y147" s="61"/>
      <c r="Z147" s="61"/>
      <c r="AA147" s="61"/>
    </row>
    <row r="148" spans="2:27" s="59" customFormat="1" x14ac:dyDescent="0.2">
      <c r="B148" s="76" t="s">
        <v>70</v>
      </c>
      <c r="C148" s="65" t="s">
        <v>33</v>
      </c>
      <c r="E148" s="59">
        <f>IF(AND(E141=0,E142=0),0,E143)</f>
        <v>0</v>
      </c>
      <c r="F148" s="59">
        <f t="shared" ref="F148:N148" si="270">IF(AND(F141=0,F142=0),0,F143)</f>
        <v>0</v>
      </c>
      <c r="G148" s="59">
        <f t="shared" si="270"/>
        <v>0</v>
      </c>
      <c r="H148" s="59">
        <f t="shared" si="270"/>
        <v>0</v>
      </c>
      <c r="I148" s="59">
        <f t="shared" si="270"/>
        <v>0</v>
      </c>
      <c r="J148" s="59">
        <f t="shared" si="270"/>
        <v>0</v>
      </c>
      <c r="K148" s="59">
        <f t="shared" si="270"/>
        <v>0</v>
      </c>
      <c r="L148" s="59">
        <f t="shared" si="270"/>
        <v>0</v>
      </c>
      <c r="M148" s="59">
        <f t="shared" si="270"/>
        <v>0</v>
      </c>
      <c r="N148" s="59">
        <f t="shared" si="270"/>
        <v>0</v>
      </c>
      <c r="O148" s="59">
        <f t="shared" ref="O148:W148" si="271">IF(AND(O141=0,O142=0),0,O143)</f>
        <v>0</v>
      </c>
      <c r="P148" s="59">
        <f t="shared" si="271"/>
        <v>0</v>
      </c>
      <c r="Q148" s="59">
        <f t="shared" si="271"/>
        <v>0</v>
      </c>
      <c r="R148" s="59">
        <f t="shared" si="271"/>
        <v>0</v>
      </c>
      <c r="S148" s="59">
        <f t="shared" si="271"/>
        <v>0</v>
      </c>
      <c r="T148" s="59">
        <f t="shared" si="271"/>
        <v>0</v>
      </c>
      <c r="U148" s="59">
        <f t="shared" si="271"/>
        <v>0</v>
      </c>
      <c r="V148" s="59">
        <f t="shared" si="271"/>
        <v>0</v>
      </c>
      <c r="W148" s="59">
        <f t="shared" si="271"/>
        <v>0</v>
      </c>
      <c r="Y148" s="61"/>
      <c r="Z148" s="61"/>
      <c r="AA148" s="61"/>
    </row>
    <row r="149" spans="2:27" s="59" customFormat="1" x14ac:dyDescent="0.2">
      <c r="C149" s="65" t="s">
        <v>34</v>
      </c>
      <c r="E149" s="59">
        <f>IF(AND(E141=0,E142=0),0,E145)</f>
        <v>0</v>
      </c>
      <c r="F149" s="59">
        <f t="shared" ref="F149:N149" si="272">IF(AND(F141=0,F142=0),0,F145)</f>
        <v>0</v>
      </c>
      <c r="G149" s="59">
        <f t="shared" si="272"/>
        <v>0</v>
      </c>
      <c r="H149" s="59">
        <f t="shared" si="272"/>
        <v>0</v>
      </c>
      <c r="I149" s="59">
        <f t="shared" si="272"/>
        <v>0</v>
      </c>
      <c r="J149" s="59">
        <f t="shared" si="272"/>
        <v>0</v>
      </c>
      <c r="K149" s="59">
        <f t="shared" si="272"/>
        <v>0</v>
      </c>
      <c r="L149" s="59">
        <f t="shared" si="272"/>
        <v>0</v>
      </c>
      <c r="M149" s="59">
        <f t="shared" si="272"/>
        <v>0</v>
      </c>
      <c r="N149" s="59">
        <f t="shared" si="272"/>
        <v>0</v>
      </c>
      <c r="O149" s="59">
        <f t="shared" ref="O149:W149" si="273">IF(AND(O141=0,O142=0),0,O145)</f>
        <v>0</v>
      </c>
      <c r="P149" s="59">
        <f t="shared" si="273"/>
        <v>0</v>
      </c>
      <c r="Q149" s="59">
        <f t="shared" si="273"/>
        <v>0</v>
      </c>
      <c r="R149" s="59">
        <f t="shared" si="273"/>
        <v>0</v>
      </c>
      <c r="S149" s="59">
        <f t="shared" si="273"/>
        <v>0</v>
      </c>
      <c r="T149" s="59">
        <f t="shared" si="273"/>
        <v>0</v>
      </c>
      <c r="U149" s="59">
        <f t="shared" si="273"/>
        <v>0</v>
      </c>
      <c r="V149" s="59">
        <f t="shared" si="273"/>
        <v>0</v>
      </c>
      <c r="W149" s="59">
        <f t="shared" si="273"/>
        <v>0</v>
      </c>
      <c r="Y149" s="61"/>
      <c r="Z149" s="61"/>
      <c r="AA149" s="61"/>
    </row>
    <row r="150" spans="2:27" s="59" customFormat="1" x14ac:dyDescent="0.2">
      <c r="Y150" s="61"/>
      <c r="Z150" s="61"/>
      <c r="AA150" s="61"/>
    </row>
    <row r="151" spans="2:27" s="59" customFormat="1" x14ac:dyDescent="0.2">
      <c r="B151" s="112" t="s">
        <v>70</v>
      </c>
      <c r="C151" s="62" t="s">
        <v>33</v>
      </c>
      <c r="E151" s="77">
        <f>E106+E114+E120+E131+E138+E148</f>
        <v>0</v>
      </c>
      <c r="F151" s="77">
        <f t="shared" ref="F151:N151" si="274">F106+F114+F120+F131+F138+F148</f>
        <v>0</v>
      </c>
      <c r="G151" s="77">
        <f t="shared" si="274"/>
        <v>0</v>
      </c>
      <c r="H151" s="77">
        <f t="shared" si="274"/>
        <v>-25</v>
      </c>
      <c r="I151" s="77">
        <f t="shared" si="274"/>
        <v>20</v>
      </c>
      <c r="J151" s="77">
        <f t="shared" si="274"/>
        <v>4.277020603210544</v>
      </c>
      <c r="K151" s="77">
        <f t="shared" si="274"/>
        <v>4.277020603210544</v>
      </c>
      <c r="L151" s="77">
        <f t="shared" si="274"/>
        <v>8</v>
      </c>
      <c r="M151" s="77">
        <f t="shared" si="274"/>
        <v>8</v>
      </c>
      <c r="N151" s="77">
        <f t="shared" si="274"/>
        <v>20</v>
      </c>
      <c r="O151" s="77">
        <f t="shared" ref="O151:W151" si="275">O106+O114+O120+O131+O138+O148</f>
        <v>35</v>
      </c>
      <c r="P151" s="77">
        <f t="shared" si="275"/>
        <v>16</v>
      </c>
      <c r="Q151" s="77">
        <f t="shared" si="275"/>
        <v>16</v>
      </c>
      <c r="R151" s="77">
        <f t="shared" si="275"/>
        <v>20</v>
      </c>
      <c r="S151" s="77">
        <f t="shared" si="275"/>
        <v>20</v>
      </c>
      <c r="T151" s="77">
        <f t="shared" si="275"/>
        <v>0</v>
      </c>
      <c r="U151" s="77">
        <f t="shared" si="275"/>
        <v>0</v>
      </c>
      <c r="V151" s="77">
        <f t="shared" si="275"/>
        <v>0</v>
      </c>
      <c r="W151" s="77">
        <f t="shared" si="275"/>
        <v>0</v>
      </c>
      <c r="Y151" s="61"/>
      <c r="Z151" s="61"/>
      <c r="AA151" s="61"/>
    </row>
    <row r="152" spans="2:27" s="59" customFormat="1" x14ac:dyDescent="0.2">
      <c r="C152" s="62" t="s">
        <v>34</v>
      </c>
      <c r="E152" s="77">
        <f>E107+E115+E121+E132+E139+E149</f>
        <v>0</v>
      </c>
      <c r="F152" s="77">
        <f t="shared" ref="F152:N152" si="276">IF(F14="-",E152,F107+F115+F121+F132+F139+F149)</f>
        <v>0</v>
      </c>
      <c r="G152" s="77">
        <f t="shared" si="276"/>
        <v>0</v>
      </c>
      <c r="H152" s="77">
        <f t="shared" si="276"/>
        <v>8.3203757830561539E-2</v>
      </c>
      <c r="I152" s="77">
        <f t="shared" si="276"/>
        <v>9.3757233081908904</v>
      </c>
      <c r="J152" s="77">
        <f t="shared" si="276"/>
        <v>5.4957390094007232</v>
      </c>
      <c r="K152" s="77">
        <f t="shared" si="276"/>
        <v>5.4480985171597482E-2</v>
      </c>
      <c r="L152" s="77">
        <f t="shared" si="276"/>
        <v>5.4480985171597482E-2</v>
      </c>
      <c r="M152" s="77">
        <f t="shared" si="276"/>
        <v>5.4476262829484417E-4</v>
      </c>
      <c r="N152" s="77">
        <f t="shared" si="276"/>
        <v>5.4476262829484417E-4</v>
      </c>
      <c r="O152" s="77">
        <f t="shared" ref="O152" si="277">IF(O14="-",N152,O107+O115+O121+O132+O139+O149)</f>
        <v>15.17511246915182</v>
      </c>
      <c r="P152" s="77">
        <f t="shared" ref="P152" si="278">IF(P14="-",O152,P107+P115+P121+P132+P139+P149)</f>
        <v>9.2012211080269264</v>
      </c>
      <c r="Q152" s="77">
        <f t="shared" ref="Q152" si="279">IF(Q14="-",P152,Q107+Q115+Q121+Q132+Q139+Q149)</f>
        <v>9.0684559843778378E-2</v>
      </c>
      <c r="R152" s="77">
        <f t="shared" ref="R152" si="280">IF(R14="-",Q152,R107+R115+R121+R132+R139+R149)</f>
        <v>9.0684559843778378E-2</v>
      </c>
      <c r="S152" s="77">
        <f t="shared" ref="S152" si="281">IF(S14="-",R152,S107+S115+S121+S132+S139+S149)</f>
        <v>9.0671476786990859E-4</v>
      </c>
      <c r="T152" s="77" t="e">
        <f>IF(T14="-",#REF!,T107+T115+T121+T132+T139+T149)</f>
        <v>#REF!</v>
      </c>
      <c r="U152" s="77" t="e">
        <f t="shared" ref="U152" si="282">IF(U14="-",T152,U107+U115+U121+U132+U139+U149)</f>
        <v>#REF!</v>
      </c>
      <c r="V152" s="77" t="e">
        <f t="shared" ref="V152" si="283">IF(V14="-",U152,V107+V115+V121+V132+V139+V149)</f>
        <v>#REF!</v>
      </c>
      <c r="W152" s="77" t="e">
        <f t="shared" ref="W152" si="284">IF(W14="-",V152,W107+W115+W121+W132+W139+W149)</f>
        <v>#REF!</v>
      </c>
      <c r="Y152" s="61"/>
      <c r="Z152" s="61"/>
      <c r="AA152" s="61"/>
    </row>
    <row r="153" spans="2:27" s="59" customFormat="1" x14ac:dyDescent="0.2">
      <c r="C153" s="62" t="s">
        <v>8</v>
      </c>
      <c r="E153" s="77" t="e">
        <f>(E19-E152*2.501)/1.01</f>
        <v>#VALUE!</v>
      </c>
      <c r="F153" s="77" t="e">
        <f t="shared" ref="F153:N153" si="285">IF(F14="-",E153,(F19-F152*2.501)/1.01)</f>
        <v>#VALUE!</v>
      </c>
      <c r="G153" s="77" t="e">
        <f t="shared" si="285"/>
        <v>#VALUE!</v>
      </c>
      <c r="H153" s="77">
        <f t="shared" si="285"/>
        <v>-25.003830668058537</v>
      </c>
      <c r="I153" s="77">
        <f t="shared" si="285"/>
        <v>20.345323670361086</v>
      </c>
      <c r="J153" s="77">
        <f t="shared" si="285"/>
        <v>4.3203077551807594</v>
      </c>
      <c r="K153" s="77">
        <f t="shared" si="285"/>
        <v>4.277449722330025</v>
      </c>
      <c r="L153" s="77">
        <f t="shared" si="285"/>
        <v>8.0008026505538137</v>
      </c>
      <c r="M153" s="77">
        <f t="shared" si="285"/>
        <v>8.0000080258098105</v>
      </c>
      <c r="N153" s="77">
        <f t="shared" si="285"/>
        <v>20.000020064524527</v>
      </c>
      <c r="O153" s="77">
        <f t="shared" ref="O153" si="286">IF(O14="-",N153,(O19-O152*2.501)/1.01)</f>
        <v>35.978118635387915</v>
      </c>
      <c r="P153" s="77">
        <f t="shared" ref="P153" si="287">IF(P14="-",O153,(P19-P152*2.501)/1.01)</f>
        <v>16.271117168489983</v>
      </c>
      <c r="Q153" s="77">
        <f t="shared" ref="Q153" si="288">IF(Q14="-",P153,(Q19-Q152*2.501)/1.01)</f>
        <v>16.00267205198114</v>
      </c>
      <c r="R153" s="77">
        <f t="shared" ref="R153" si="289">IF(R14="-",Q153,(R19-R152*2.501)/1.01)</f>
        <v>20.003340064976424</v>
      </c>
      <c r="S153" s="77">
        <f t="shared" ref="S153" si="290">IF(S14="-",R153,(S19-S152*2.501)/1.01)</f>
        <v>20.000033395831053</v>
      </c>
      <c r="T153" s="77" t="e">
        <f>IF(T14="-",#REF!,(T19-T152*2.501)/1.01)</f>
        <v>#REF!</v>
      </c>
      <c r="U153" s="77" t="e">
        <f t="shared" ref="U153" si="291">IF(U14="-",T153,(U19-U152*2.501)/1.01)</f>
        <v>#REF!</v>
      </c>
      <c r="V153" s="77" t="e">
        <f t="shared" ref="V153" si="292">IF(V14="-",U153,(V19-V152*2.501)/1.01)</f>
        <v>#REF!</v>
      </c>
      <c r="W153" s="77" t="e">
        <f t="shared" ref="W153" si="293">IF(W14="-",V153,(W19-W152*2.501)/1.01)</f>
        <v>#REF!</v>
      </c>
      <c r="Y153" s="61"/>
      <c r="Z153" s="61"/>
      <c r="AA153" s="61"/>
    </row>
    <row r="154" spans="2:27" s="59" customFormat="1" x14ac:dyDescent="0.2">
      <c r="C154" s="62" t="s">
        <v>31</v>
      </c>
      <c r="E154" s="77">
        <f>IF(E151&lt;-50,#N/A,IF(E151&lt;0,EXP((1738.4+28.74*E151)/(271+E151)),IF(E151&lt;=100,EXP((1500.3+23.5*E151)/(234+E151)),#N/A)))</f>
        <v>608.82962187913188</v>
      </c>
      <c r="F154" s="77">
        <f t="shared" ref="F154:N154" si="294">IF(F151&lt;-50,#N/A,IF(F151&lt;0,EXP((1738.4+28.74*F151)/(271+F151)),IF(F151&lt;=100,EXP((1500.3+23.5*F151)/(234+F151)),#N/A)))</f>
        <v>608.82962187913188</v>
      </c>
      <c r="G154" s="77">
        <f t="shared" si="294"/>
        <v>608.82962187913188</v>
      </c>
      <c r="H154" s="77">
        <f t="shared" si="294"/>
        <v>63.176661908168398</v>
      </c>
      <c r="I154" s="77">
        <f t="shared" si="294"/>
        <v>2338.0829353370973</v>
      </c>
      <c r="J154" s="77">
        <f t="shared" si="294"/>
        <v>827.38706687411548</v>
      </c>
      <c r="K154" s="77">
        <f t="shared" si="294"/>
        <v>827.38706687411548</v>
      </c>
      <c r="L154" s="77">
        <f t="shared" si="294"/>
        <v>1071.1051886578423</v>
      </c>
      <c r="M154" s="77">
        <f t="shared" si="294"/>
        <v>1071.1051886578423</v>
      </c>
      <c r="N154" s="77">
        <f t="shared" si="294"/>
        <v>2338.0829353370973</v>
      </c>
      <c r="O154" s="77">
        <f t="shared" ref="O154:W154" si="295">IF(O151&lt;-50,#N/A,IF(O151&lt;0,EXP((1738.4+28.74*O151)/(271+O151)),IF(O151&lt;=100,EXP((1500.3+23.5*O151)/(234+O151)),#N/A)))</f>
        <v>5624.8200638844883</v>
      </c>
      <c r="P154" s="77">
        <f t="shared" si="295"/>
        <v>1817.4687221706879</v>
      </c>
      <c r="Q154" s="77">
        <f t="shared" si="295"/>
        <v>1817.4687221706879</v>
      </c>
      <c r="R154" s="77">
        <f t="shared" si="295"/>
        <v>2338.0829353370973</v>
      </c>
      <c r="S154" s="77">
        <f t="shared" si="295"/>
        <v>2338.0829353370973</v>
      </c>
      <c r="T154" s="77">
        <f t="shared" si="295"/>
        <v>608.82962187913188</v>
      </c>
      <c r="U154" s="77">
        <f t="shared" si="295"/>
        <v>608.82962187913188</v>
      </c>
      <c r="V154" s="77">
        <f t="shared" si="295"/>
        <v>608.82962187913188</v>
      </c>
      <c r="W154" s="77">
        <f t="shared" si="295"/>
        <v>608.82962187913188</v>
      </c>
      <c r="Y154" s="61"/>
      <c r="Z154" s="61"/>
      <c r="AA154" s="61"/>
    </row>
    <row r="155" spans="2:27" s="59" customFormat="1" x14ac:dyDescent="0.2">
      <c r="C155" s="59" t="s">
        <v>3</v>
      </c>
      <c r="E155" s="77">
        <f>1.01*E151+(2501+1.86*E151)*E152/1000</f>
        <v>0</v>
      </c>
      <c r="F155" s="77">
        <f t="shared" ref="F155:N155" si="296">1.01*F151+(2501+1.86*F151)*F152/1000</f>
        <v>0</v>
      </c>
      <c r="G155" s="77">
        <f t="shared" si="296"/>
        <v>0</v>
      </c>
      <c r="H155" s="77">
        <f t="shared" si="296"/>
        <v>-25.045776376404888</v>
      </c>
      <c r="I155" s="77">
        <f t="shared" si="296"/>
        <v>43.997460900850115</v>
      </c>
      <c r="J155" s="77">
        <f t="shared" si="296"/>
        <v>18.108354095243776</v>
      </c>
      <c r="K155" s="77">
        <f t="shared" si="296"/>
        <v>4.4564811634674903</v>
      </c>
      <c r="L155" s="77">
        <f t="shared" si="296"/>
        <v>8.2170676209735181</v>
      </c>
      <c r="M155" s="77">
        <f t="shared" si="296"/>
        <v>8.0813705574012751</v>
      </c>
      <c r="N155" s="77">
        <f t="shared" si="296"/>
        <v>20.201382716503137</v>
      </c>
      <c r="O155" s="77">
        <f t="shared" ref="O155:W155" si="297">1.01*O151+(2501+1.86*O151)*O152/1000</f>
        <v>74.290856107090491</v>
      </c>
      <c r="P155" s="77">
        <f t="shared" si="297"/>
        <v>39.446082331350226</v>
      </c>
      <c r="Q155" s="77">
        <f t="shared" si="297"/>
        <v>16.389500856670242</v>
      </c>
      <c r="R155" s="77">
        <f t="shared" si="297"/>
        <v>20.430175549795479</v>
      </c>
      <c r="S155" s="77">
        <f t="shared" si="297"/>
        <v>20.202301423423808</v>
      </c>
      <c r="T155" s="77" t="e">
        <f t="shared" si="297"/>
        <v>#REF!</v>
      </c>
      <c r="U155" s="77" t="e">
        <f t="shared" si="297"/>
        <v>#REF!</v>
      </c>
      <c r="V155" s="77" t="e">
        <f t="shared" si="297"/>
        <v>#REF!</v>
      </c>
      <c r="W155" s="77" t="e">
        <f t="shared" si="297"/>
        <v>#REF!</v>
      </c>
      <c r="Y155" s="61"/>
      <c r="Z155" s="61"/>
      <c r="AA155" s="61"/>
    </row>
    <row r="156" spans="2:27" s="59" customFormat="1" ht="38.25" x14ac:dyDescent="0.2">
      <c r="B156" s="64" t="s">
        <v>116</v>
      </c>
      <c r="C156" s="113" t="s">
        <v>0</v>
      </c>
      <c r="E156" s="59">
        <v>-6.0023900708495699</v>
      </c>
      <c r="F156" s="59">
        <v>-6.0023368555030938</v>
      </c>
      <c r="G156" s="59">
        <v>-6.0023767320743842</v>
      </c>
      <c r="H156" s="59">
        <v>-25.736542713815986</v>
      </c>
      <c r="I156" s="59">
        <v>14.98170477717769</v>
      </c>
      <c r="J156" s="59">
        <v>4.2780735733811968</v>
      </c>
      <c r="K156" s="59">
        <v>-3.2203557258118334</v>
      </c>
      <c r="L156" s="59">
        <v>-1.1207509577152117</v>
      </c>
      <c r="M156" s="59">
        <v>-1.1213952521538815</v>
      </c>
      <c r="N156" s="59">
        <v>5.3064115875936508</v>
      </c>
      <c r="O156" s="59">
        <v>-2.6495095945477067</v>
      </c>
      <c r="P156" s="59">
        <v>-2.6495095945477067</v>
      </c>
      <c r="Q156" s="59">
        <v>-2.6495095945477067</v>
      </c>
      <c r="R156" s="59">
        <v>-2.6495095945477067</v>
      </c>
      <c r="S156" s="59">
        <v>-2.6495095945477067</v>
      </c>
      <c r="T156" s="59">
        <v>-2.6495095945477067</v>
      </c>
      <c r="U156" s="59">
        <v>-2.6495095945477067</v>
      </c>
      <c r="V156" s="59">
        <v>-2.6495095945477067</v>
      </c>
      <c r="W156" s="59">
        <v>-2.6495095945477067</v>
      </c>
      <c r="Y156" s="61"/>
      <c r="Z156" s="61"/>
      <c r="AA156" s="61"/>
    </row>
    <row r="157" spans="2:27" s="59" customFormat="1" x14ac:dyDescent="0.2">
      <c r="C157" s="113" t="s">
        <v>31</v>
      </c>
      <c r="E157" s="70">
        <f>IF(E156&lt;-50,#N/A,IF(E156&lt;0,EXP((1738.4+28.74*E156)/(271+E156)),IF(E156&lt;=100,EXP((1500.3+23.5*E156)/(234+E156)),#N/A)))</f>
        <v>368.3660348296346</v>
      </c>
      <c r="F157" s="70">
        <f t="shared" ref="F157:N157" si="298">IF(F156&lt;-50,#N/A,IF(F156&lt;0,EXP((1738.4+28.74*F156)/(271+F156)),IF(F156&lt;=100,EXP((1500.3+23.5*F156)/(234+F156)),#N/A)))</f>
        <v>368.36772371002081</v>
      </c>
      <c r="G157" s="70">
        <f t="shared" si="298"/>
        <v>368.36645815790331</v>
      </c>
      <c r="H157" s="70">
        <f t="shared" si="298"/>
        <v>58.678730708358543</v>
      </c>
      <c r="I157" s="70">
        <f t="shared" si="298"/>
        <v>1702.3821849147248</v>
      </c>
      <c r="J157" s="70">
        <f t="shared" si="298"/>
        <v>827.44842802285166</v>
      </c>
      <c r="K157" s="70">
        <f t="shared" si="298"/>
        <v>466.97404036591337</v>
      </c>
      <c r="L157" s="70">
        <f t="shared" si="298"/>
        <v>556.712076701559</v>
      </c>
      <c r="M157" s="70">
        <f t="shared" si="298"/>
        <v>556.68228255987378</v>
      </c>
      <c r="N157" s="70">
        <f t="shared" si="298"/>
        <v>889.32276676527488</v>
      </c>
      <c r="O157" s="70">
        <f t="shared" ref="O157:W157" si="299">IF(O156&lt;-50,#N/A,IF(O156&lt;0,EXP((1738.4+28.74*O156)/(271+O156)),IF(O156&lt;=100,EXP((1500.3+23.5*O156)/(234+O156)),#N/A)))</f>
        <v>489.96598295343301</v>
      </c>
      <c r="P157" s="70">
        <f t="shared" si="299"/>
        <v>489.96598295343301</v>
      </c>
      <c r="Q157" s="70">
        <f t="shared" si="299"/>
        <v>489.96598295343301</v>
      </c>
      <c r="R157" s="70">
        <f t="shared" si="299"/>
        <v>489.96598295343301</v>
      </c>
      <c r="S157" s="70">
        <f t="shared" si="299"/>
        <v>489.96598295343301</v>
      </c>
      <c r="T157" s="70">
        <f t="shared" si="299"/>
        <v>489.96598295343301</v>
      </c>
      <c r="U157" s="70">
        <f t="shared" si="299"/>
        <v>489.96598295343301</v>
      </c>
      <c r="V157" s="70">
        <f t="shared" si="299"/>
        <v>489.96598295343301</v>
      </c>
      <c r="W157" s="70">
        <f t="shared" si="299"/>
        <v>489.96598295343301</v>
      </c>
      <c r="Y157" s="61"/>
      <c r="Z157" s="61"/>
      <c r="AA157" s="61"/>
    </row>
    <row r="158" spans="2:27" s="59" customFormat="1" x14ac:dyDescent="0.2">
      <c r="C158" s="113" t="s">
        <v>37</v>
      </c>
      <c r="E158" s="59">
        <f>0.6222*E157/(Tlak_vzduchu-E157/1000)</f>
        <v>2.434859963822618</v>
      </c>
      <c r="F158" s="59">
        <f t="shared" ref="F158:N158" si="300">0.6222*F157/(Tlak_vzduchu-F157/1000)</f>
        <v>2.4348711708264492</v>
      </c>
      <c r="G158" s="59">
        <f t="shared" si="300"/>
        <v>2.4348627729271017</v>
      </c>
      <c r="H158" s="59">
        <f t="shared" si="300"/>
        <v>0.38658826196041562</v>
      </c>
      <c r="I158" s="59">
        <f t="shared" si="300"/>
        <v>11.414325285425091</v>
      </c>
      <c r="J158" s="59">
        <f t="shared" si="300"/>
        <v>5.4961501878191186</v>
      </c>
      <c r="K158" s="59">
        <f t="shared" si="300"/>
        <v>3.0898851222803074</v>
      </c>
      <c r="L158" s="59">
        <f t="shared" si="300"/>
        <v>3.6871847023975017</v>
      </c>
      <c r="M158" s="59">
        <f t="shared" si="300"/>
        <v>3.6869862021538116</v>
      </c>
      <c r="N158" s="59">
        <f t="shared" si="300"/>
        <v>5.9110417939044897</v>
      </c>
      <c r="O158" s="59">
        <f t="shared" ref="O158:W158" si="301">0.6222*O157/(Tlak_vzduchu-O157/1000)</f>
        <v>3.2428116613418863</v>
      </c>
      <c r="P158" s="59">
        <f t="shared" si="301"/>
        <v>3.2428116613418863</v>
      </c>
      <c r="Q158" s="59">
        <f t="shared" si="301"/>
        <v>3.2428116613418863</v>
      </c>
      <c r="R158" s="59">
        <f t="shared" si="301"/>
        <v>3.2428116613418863</v>
      </c>
      <c r="S158" s="59">
        <f t="shared" si="301"/>
        <v>3.2428116613418863</v>
      </c>
      <c r="T158" s="59">
        <f t="shared" si="301"/>
        <v>3.2428116613418863</v>
      </c>
      <c r="U158" s="59">
        <f t="shared" si="301"/>
        <v>3.2428116613418863</v>
      </c>
      <c r="V158" s="59">
        <f t="shared" si="301"/>
        <v>3.2428116613418863</v>
      </c>
      <c r="W158" s="59">
        <f t="shared" si="301"/>
        <v>3.2428116613418863</v>
      </c>
      <c r="Y158" s="61"/>
      <c r="Z158" s="61"/>
      <c r="AA158" s="61"/>
    </row>
    <row r="159" spans="2:27" s="59" customFormat="1" x14ac:dyDescent="0.2">
      <c r="C159" s="113" t="s">
        <v>38</v>
      </c>
      <c r="E159" s="59">
        <f>(E155-1.01*E156)/(2501+1.86*E156)*1000</f>
        <v>2.4348652105471591</v>
      </c>
      <c r="F159" s="59">
        <f t="shared" ref="F159:N159" si="302">(F155-1.01*F156)/(2501+1.86*F156)*1000</f>
        <v>2.4348435269857767</v>
      </c>
      <c r="G159" s="59">
        <f t="shared" si="302"/>
        <v>2.4348597754202967</v>
      </c>
      <c r="H159" s="59">
        <f t="shared" si="302"/>
        <v>0.38649878022804823</v>
      </c>
      <c r="I159" s="59">
        <f t="shared" si="302"/>
        <v>11.414578474395169</v>
      </c>
      <c r="J159" s="59">
        <f t="shared" si="302"/>
        <v>5.4953108381251266</v>
      </c>
      <c r="K159" s="59">
        <f t="shared" si="302"/>
        <v>3.089783214923373</v>
      </c>
      <c r="L159" s="59">
        <f t="shared" si="302"/>
        <v>3.7412335272431236</v>
      </c>
      <c r="M159" s="59">
        <f t="shared" si="302"/>
        <v>3.6871933195080837</v>
      </c>
      <c r="N159" s="59">
        <f t="shared" si="302"/>
        <v>5.9110616850314059</v>
      </c>
      <c r="O159" s="59">
        <f t="shared" ref="O159:W159" si="303">(O155-1.01*O156)/(2501+1.86*O156)*1000</f>
        <v>30.835193658807817</v>
      </c>
      <c r="P159" s="59">
        <f t="shared" si="303"/>
        <v>16.87534995155309</v>
      </c>
      <c r="Q159" s="59">
        <f t="shared" si="303"/>
        <v>7.6382036328070599</v>
      </c>
      <c r="R159" s="59">
        <f t="shared" si="303"/>
        <v>9.2570170465752906</v>
      </c>
      <c r="S159" s="59">
        <f t="shared" si="303"/>
        <v>9.1657239531102803</v>
      </c>
      <c r="T159" s="59" t="e">
        <f t="shared" si="303"/>
        <v>#REF!</v>
      </c>
      <c r="U159" s="59" t="e">
        <f t="shared" si="303"/>
        <v>#REF!</v>
      </c>
      <c r="V159" s="59" t="e">
        <f t="shared" si="303"/>
        <v>#REF!</v>
      </c>
      <c r="W159" s="59" t="e">
        <f t="shared" si="303"/>
        <v>#REF!</v>
      </c>
      <c r="Y159" s="61"/>
      <c r="Z159" s="61"/>
      <c r="AA159" s="61"/>
    </row>
    <row r="160" spans="2:27" s="59" customFormat="1" x14ac:dyDescent="0.2">
      <c r="C160" s="114" t="s">
        <v>39</v>
      </c>
      <c r="E160" s="59">
        <f>E158-E159</f>
        <v>-5.246724541052572E-6</v>
      </c>
      <c r="F160" s="59">
        <f t="shared" ref="F160:N160" si="304">F158-F159</f>
        <v>2.764384067255321E-5</v>
      </c>
      <c r="G160" s="59">
        <f t="shared" si="304"/>
        <v>2.9975068049914455E-6</v>
      </c>
      <c r="H160" s="59">
        <f t="shared" si="304"/>
        <v>8.948173236739132E-5</v>
      </c>
      <c r="I160" s="59">
        <f t="shared" si="304"/>
        <v>-2.5318897007764463E-4</v>
      </c>
      <c r="J160" s="59">
        <f t="shared" si="304"/>
        <v>8.3934969399201975E-4</v>
      </c>
      <c r="K160" s="59">
        <f t="shared" si="304"/>
        <v>1.0190735693438313E-4</v>
      </c>
      <c r="L160" s="59">
        <f t="shared" si="304"/>
        <v>-5.4048824845621901E-2</v>
      </c>
      <c r="M160" s="59">
        <f t="shared" si="304"/>
        <v>-2.0711735427214606E-4</v>
      </c>
      <c r="N160" s="59">
        <f t="shared" si="304"/>
        <v>-1.9891126916249391E-5</v>
      </c>
      <c r="O160" s="59">
        <f t="shared" ref="O160:W160" si="305">O158-O159</f>
        <v>-27.592381997465932</v>
      </c>
      <c r="P160" s="59">
        <f t="shared" si="305"/>
        <v>-13.632538290211205</v>
      </c>
      <c r="Q160" s="59">
        <f t="shared" si="305"/>
        <v>-4.3953919714651732</v>
      </c>
      <c r="R160" s="59">
        <f t="shared" si="305"/>
        <v>-6.0142053852334048</v>
      </c>
      <c r="S160" s="59">
        <f t="shared" si="305"/>
        <v>-5.9229122917683945</v>
      </c>
      <c r="T160" s="59" t="e">
        <f t="shared" si="305"/>
        <v>#REF!</v>
      </c>
      <c r="U160" s="59" t="e">
        <f t="shared" si="305"/>
        <v>#REF!</v>
      </c>
      <c r="V160" s="59" t="e">
        <f t="shared" si="305"/>
        <v>#REF!</v>
      </c>
      <c r="W160" s="59" t="e">
        <f t="shared" si="305"/>
        <v>#REF!</v>
      </c>
      <c r="Y160" s="61"/>
      <c r="Z160" s="61"/>
      <c r="AA160" s="61"/>
    </row>
    <row r="161" spans="2:27" s="59" customFormat="1" x14ac:dyDescent="0.2">
      <c r="B161" s="59" t="s">
        <v>49</v>
      </c>
      <c r="Y161" s="61"/>
      <c r="Z161" s="61"/>
      <c r="AA161" s="61"/>
    </row>
    <row r="162" spans="2:27" s="59" customFormat="1" x14ac:dyDescent="0.2">
      <c r="B162" s="59" t="s">
        <v>50</v>
      </c>
      <c r="C162" s="59">
        <v>1</v>
      </c>
      <c r="D162" s="59" t="s">
        <v>2</v>
      </c>
      <c r="E162" s="59">
        <f>IF(E$14="",E$152,-1)</f>
        <v>-1</v>
      </c>
      <c r="Y162" s="61"/>
      <c r="Z162" s="61"/>
      <c r="AA162" s="61"/>
    </row>
    <row r="163" spans="2:27" s="59" customFormat="1" x14ac:dyDescent="0.2">
      <c r="D163" s="59" t="s">
        <v>8</v>
      </c>
      <c r="E163" s="59">
        <f>IF(E$14="",E$153,0)</f>
        <v>0</v>
      </c>
      <c r="Y163" s="61"/>
      <c r="Z163" s="61"/>
      <c r="AA163" s="61"/>
    </row>
    <row r="164" spans="2:27" s="59" customFormat="1" x14ac:dyDescent="0.2">
      <c r="C164" s="59">
        <f>C162+1</f>
        <v>2</v>
      </c>
      <c r="D164" s="59" t="s">
        <v>2</v>
      </c>
      <c r="E164" s="59">
        <f>IF(F$28&lt;&gt;0,E$152,F164)</f>
        <v>-1</v>
      </c>
      <c r="F164" s="59">
        <f>IF(F$14="",F$152,-1)</f>
        <v>-1</v>
      </c>
      <c r="Y164" s="61"/>
      <c r="Z164" s="61"/>
      <c r="AA164" s="61"/>
    </row>
    <row r="165" spans="2:27" s="59" customFormat="1" x14ac:dyDescent="0.2">
      <c r="D165" s="59" t="s">
        <v>8</v>
      </c>
      <c r="E165" s="59">
        <f>IF(F$28&lt;&gt;0,E$153,F165)</f>
        <v>0</v>
      </c>
      <c r="F165" s="59">
        <f>IF(F$14="",F$153,0)</f>
        <v>0</v>
      </c>
      <c r="Y165" s="61"/>
      <c r="Z165" s="61"/>
      <c r="AA165" s="61"/>
    </row>
    <row r="166" spans="2:27" s="59" customFormat="1" x14ac:dyDescent="0.2">
      <c r="C166" s="59">
        <f>C164+1</f>
        <v>3</v>
      </c>
      <c r="D166" s="59" t="s">
        <v>2</v>
      </c>
      <c r="F166" s="59">
        <f>IF(G$28&lt;&gt;0,F$152,G166)</f>
        <v>-1</v>
      </c>
      <c r="G166" s="59">
        <f>IF(G$14="",G$152,-1)</f>
        <v>-1</v>
      </c>
      <c r="H166" s="59">
        <f>IF(G$28=5,E$152,G166)</f>
        <v>-1</v>
      </c>
      <c r="Y166" s="61"/>
      <c r="Z166" s="61"/>
      <c r="AA166" s="61"/>
    </row>
    <row r="167" spans="2:27" s="59" customFormat="1" x14ac:dyDescent="0.2">
      <c r="D167" s="59" t="s">
        <v>8</v>
      </c>
      <c r="F167" s="59">
        <f>IF(G$28&lt;&gt;0,F$153,G167)</f>
        <v>0</v>
      </c>
      <c r="G167" s="59">
        <f>IF(G$14="",G$153,0)</f>
        <v>0</v>
      </c>
      <c r="H167" s="59">
        <f>IF(G$28=5,E$153,G167)</f>
        <v>0</v>
      </c>
      <c r="Y167" s="61"/>
      <c r="Z167" s="61"/>
      <c r="AA167" s="61"/>
    </row>
    <row r="168" spans="2:27" s="59" customFormat="1" x14ac:dyDescent="0.2">
      <c r="C168" s="59">
        <f>C166+1</f>
        <v>4</v>
      </c>
      <c r="D168" s="59" t="s">
        <v>2</v>
      </c>
      <c r="G168" s="59">
        <f>IF(H$28&lt;&gt;0,G$152,H168)</f>
        <v>8.3203757830561539E-2</v>
      </c>
      <c r="H168" s="59">
        <f>IF(H$14="",H$152,-1)</f>
        <v>8.3203757830561539E-2</v>
      </c>
      <c r="I168" s="59">
        <f>IF(H$28=5,F$152,H168)</f>
        <v>8.3203757830561539E-2</v>
      </c>
      <c r="Y168" s="61"/>
      <c r="Z168" s="61"/>
      <c r="AA168" s="61"/>
    </row>
    <row r="169" spans="2:27" s="59" customFormat="1" x14ac:dyDescent="0.2">
      <c r="D169" s="59" t="s">
        <v>8</v>
      </c>
      <c r="G169" s="59">
        <f>IF(H$28&lt;&gt;0,G$153,H169)</f>
        <v>-25.003830668058537</v>
      </c>
      <c r="H169" s="59">
        <f>IF(H$14="",H$153,0)</f>
        <v>-25.003830668058537</v>
      </c>
      <c r="I169" s="59">
        <f>IF(H$28=5,F$153,H169)</f>
        <v>-25.003830668058537</v>
      </c>
      <c r="Y169" s="61"/>
      <c r="Z169" s="61"/>
      <c r="AA169" s="61"/>
    </row>
    <row r="170" spans="2:27" s="59" customFormat="1" x14ac:dyDescent="0.2">
      <c r="C170" s="59">
        <f>C168+1</f>
        <v>5</v>
      </c>
      <c r="D170" s="59" t="s">
        <v>2</v>
      </c>
      <c r="H170" s="59">
        <f>IF(I$28&lt;&gt;0,H$152,I170)</f>
        <v>9.3757233081908904</v>
      </c>
      <c r="I170" s="59">
        <f>IF(I$14="",I$152,-1)</f>
        <v>9.3757233081908904</v>
      </c>
      <c r="J170" s="59">
        <f>IF(I$28=5,G$152,I170)</f>
        <v>9.3757233081908904</v>
      </c>
      <c r="Y170" s="61"/>
      <c r="Z170" s="61"/>
      <c r="AA170" s="61"/>
    </row>
    <row r="171" spans="2:27" s="59" customFormat="1" x14ac:dyDescent="0.2">
      <c r="D171" s="59" t="s">
        <v>8</v>
      </c>
      <c r="H171" s="59">
        <f>IF(I$28&lt;&gt;0,H$153,I171)</f>
        <v>20.345323670361086</v>
      </c>
      <c r="I171" s="59">
        <f>IF(I$14="",I$153,0)</f>
        <v>20.345323670361086</v>
      </c>
      <c r="J171" s="59">
        <f>IF(I$28=5,G$153,I171)</f>
        <v>20.345323670361086</v>
      </c>
      <c r="Y171" s="61"/>
      <c r="Z171" s="61"/>
      <c r="AA171" s="61"/>
    </row>
    <row r="172" spans="2:27" s="59" customFormat="1" x14ac:dyDescent="0.2">
      <c r="C172" s="59">
        <f>C170+1</f>
        <v>6</v>
      </c>
      <c r="D172" s="59" t="s">
        <v>2</v>
      </c>
      <c r="I172" s="59">
        <f>IF(J$28&lt;&gt;0,I$152,J172)</f>
        <v>9.3757233081908904</v>
      </c>
      <c r="J172" s="59">
        <f>IF(J$14="",J$152,-1)</f>
        <v>5.4957390094007232</v>
      </c>
      <c r="K172" s="59">
        <f>IF(J$28=5,H$152,J172)</f>
        <v>8.3203757830561539E-2</v>
      </c>
      <c r="Y172" s="61"/>
      <c r="Z172" s="61"/>
      <c r="AA172" s="61"/>
    </row>
    <row r="173" spans="2:27" s="59" customFormat="1" x14ac:dyDescent="0.2">
      <c r="D173" s="59" t="s">
        <v>8</v>
      </c>
      <c r="I173" s="59">
        <f>IF(J$28&lt;&gt;0,I$153,J173)</f>
        <v>20.345323670361086</v>
      </c>
      <c r="J173" s="59">
        <f>IF(J$14="",J$153,0)</f>
        <v>4.3203077551807594</v>
      </c>
      <c r="K173" s="59">
        <f>IF(J$28=5,H$153,J173)</f>
        <v>-25.003830668058537</v>
      </c>
      <c r="Y173" s="61"/>
      <c r="Z173" s="61"/>
      <c r="AA173" s="61"/>
    </row>
    <row r="174" spans="2:27" s="59" customFormat="1" x14ac:dyDescent="0.2">
      <c r="C174" s="59">
        <f>C172+1</f>
        <v>7</v>
      </c>
      <c r="D174" s="59" t="s">
        <v>2</v>
      </c>
      <c r="J174" s="59">
        <f>IF(K$28&lt;&gt;0,J$152,K174)</f>
        <v>5.4480985171597482E-2</v>
      </c>
      <c r="K174" s="59">
        <f>IF(K$14="",K$152,-1)</f>
        <v>5.4480985171597482E-2</v>
      </c>
      <c r="L174" s="59">
        <f>IF(K$28=5,I$152,K174)</f>
        <v>5.4480985171597482E-2</v>
      </c>
      <c r="Y174" s="61"/>
      <c r="Z174" s="61"/>
      <c r="AA174" s="61"/>
    </row>
    <row r="175" spans="2:27" s="59" customFormat="1" x14ac:dyDescent="0.2">
      <c r="D175" s="59" t="s">
        <v>8</v>
      </c>
      <c r="J175" s="59">
        <f>IF(K$28&lt;&gt;0,J$153,K175)</f>
        <v>4.277449722330025</v>
      </c>
      <c r="K175" s="59">
        <f>IF(K$14="",K$153,0)</f>
        <v>4.277449722330025</v>
      </c>
      <c r="L175" s="59">
        <f>IF(K$28=5,I$153,K175)</f>
        <v>4.277449722330025</v>
      </c>
      <c r="Y175" s="61"/>
      <c r="Z175" s="61"/>
      <c r="AA175" s="61"/>
    </row>
    <row r="176" spans="2:27" s="59" customFormat="1" x14ac:dyDescent="0.2">
      <c r="C176" s="59">
        <f>C174+1</f>
        <v>8</v>
      </c>
      <c r="D176" s="59" t="s">
        <v>2</v>
      </c>
      <c r="K176" s="59">
        <f>IF(L$28&lt;&gt;0,K$152,L176)</f>
        <v>5.4480985171597482E-2</v>
      </c>
      <c r="L176" s="59">
        <f>IF(L$14="",L$152,-1)</f>
        <v>5.4480985171597482E-2</v>
      </c>
      <c r="M176" s="59">
        <f>IF(L$28=5,J$152,L176)</f>
        <v>5.4480985171597482E-2</v>
      </c>
      <c r="Y176" s="61"/>
      <c r="Z176" s="61"/>
      <c r="AA176" s="61"/>
    </row>
    <row r="177" spans="2:27" s="59" customFormat="1" x14ac:dyDescent="0.2">
      <c r="D177" s="59" t="s">
        <v>8</v>
      </c>
      <c r="K177" s="59">
        <f>IF(L$28&lt;&gt;0,K$153,L177)</f>
        <v>4.277449722330025</v>
      </c>
      <c r="L177" s="59">
        <f>IF(L$14="",L$153,0)</f>
        <v>8.0008026505538137</v>
      </c>
      <c r="M177" s="59">
        <f>IF(L$28=5,J$153,L177)</f>
        <v>8.0008026505538137</v>
      </c>
      <c r="Y177" s="61"/>
      <c r="Z177" s="61"/>
      <c r="AA177" s="61"/>
    </row>
    <row r="178" spans="2:27" s="59" customFormat="1" x14ac:dyDescent="0.2">
      <c r="C178" s="59">
        <f>C176+1</f>
        <v>9</v>
      </c>
      <c r="D178" s="59" t="s">
        <v>2</v>
      </c>
      <c r="L178" s="59">
        <f>IF(M$28&lt;&gt;0,L$152,M178)</f>
        <v>5.4476262829484417E-4</v>
      </c>
      <c r="M178" s="59">
        <f>IF(M$14="",M$152,-1)</f>
        <v>5.4476262829484417E-4</v>
      </c>
      <c r="N178" s="59">
        <f>IF(M$28=5,K$152,M178)</f>
        <v>5.4476262829484417E-4</v>
      </c>
      <c r="O178" s="59">
        <f t="shared" ref="O178:W178" si="306">IF(N$28=5,L$152,N178)</f>
        <v>5.4476262829484417E-4</v>
      </c>
      <c r="P178" s="59">
        <f t="shared" si="306"/>
        <v>5.4476262829484417E-4</v>
      </c>
      <c r="Q178" s="59">
        <f t="shared" si="306"/>
        <v>5.4476262829484417E-4</v>
      </c>
      <c r="R178" s="59">
        <f t="shared" si="306"/>
        <v>5.4476262829484417E-4</v>
      </c>
      <c r="S178" s="59">
        <f t="shared" si="306"/>
        <v>5.4476262829484417E-4</v>
      </c>
      <c r="T178" s="59" t="e">
        <f>IF(#REF!=5,R$152,#REF!)</f>
        <v>#REF!</v>
      </c>
      <c r="U178" s="59" t="e">
        <f>IF(T$28=5,S$152,T178)</f>
        <v>#REF!</v>
      </c>
      <c r="V178" s="59" t="e">
        <f>IF(U$28=5,#REF!,U178)</f>
        <v>#REF!</v>
      </c>
      <c r="W178" s="59" t="e">
        <f t="shared" si="306"/>
        <v>#REF!</v>
      </c>
      <c r="Y178" s="61"/>
      <c r="Z178" s="61"/>
      <c r="AA178" s="61"/>
    </row>
    <row r="179" spans="2:27" s="59" customFormat="1" x14ac:dyDescent="0.2">
      <c r="D179" s="59" t="s">
        <v>8</v>
      </c>
      <c r="L179" s="59">
        <f>IF(M$28&lt;&gt;0,L$153,M179)</f>
        <v>8.0000080258098105</v>
      </c>
      <c r="M179" s="59">
        <f>IF(M$14="",M$153,0)</f>
        <v>8.0000080258098105</v>
      </c>
      <c r="N179" s="59">
        <f>IF(M$28=5,K$153,M179)</f>
        <v>8.0000080258098105</v>
      </c>
      <c r="O179" s="59">
        <f t="shared" ref="O179:W179" si="307">IF(N$28=5,L$153,N179)</f>
        <v>8.0000080258098105</v>
      </c>
      <c r="P179" s="59">
        <f t="shared" si="307"/>
        <v>8.0000080258098105</v>
      </c>
      <c r="Q179" s="59">
        <f t="shared" si="307"/>
        <v>8.0000080258098105</v>
      </c>
      <c r="R179" s="59">
        <f t="shared" si="307"/>
        <v>8.0000080258098105</v>
      </c>
      <c r="S179" s="59">
        <f t="shared" si="307"/>
        <v>8.0000080258098105</v>
      </c>
      <c r="T179" s="59" t="e">
        <f>IF(#REF!=5,R$153,#REF!)</f>
        <v>#REF!</v>
      </c>
      <c r="U179" s="59" t="e">
        <f>IF(T$28=5,S$153,T179)</f>
        <v>#REF!</v>
      </c>
      <c r="V179" s="59" t="e">
        <f>IF(U$28=5,#REF!,U179)</f>
        <v>#REF!</v>
      </c>
      <c r="W179" s="59" t="e">
        <f t="shared" si="307"/>
        <v>#REF!</v>
      </c>
      <c r="Y179" s="61"/>
      <c r="Z179" s="61"/>
      <c r="AA179" s="61"/>
    </row>
    <row r="180" spans="2:27" s="59" customFormat="1" x14ac:dyDescent="0.2">
      <c r="C180" s="59">
        <f>C178+1</f>
        <v>10</v>
      </c>
      <c r="D180" s="59" t="s">
        <v>2</v>
      </c>
      <c r="M180" s="59">
        <f>IF(N$28&lt;&gt;0,M$152,N180)</f>
        <v>5.4476262829484417E-4</v>
      </c>
      <c r="N180" s="59">
        <f>IF(N$14="",N$152,-1)</f>
        <v>5.4476262829484417E-4</v>
      </c>
      <c r="O180" s="59">
        <f t="shared" ref="O180:W180" si="308">IF(O$14="",O$152,-1)</f>
        <v>15.17511246915182</v>
      </c>
      <c r="P180" s="59">
        <f t="shared" si="308"/>
        <v>9.2012211080269264</v>
      </c>
      <c r="Q180" s="59">
        <f t="shared" si="308"/>
        <v>9.0684559843778378E-2</v>
      </c>
      <c r="R180" s="59">
        <f t="shared" si="308"/>
        <v>9.0684559843778378E-2</v>
      </c>
      <c r="S180" s="59">
        <f t="shared" si="308"/>
        <v>9.0671476786990859E-4</v>
      </c>
      <c r="T180" s="59">
        <f t="shared" si="308"/>
        <v>-1</v>
      </c>
      <c r="U180" s="59">
        <f t="shared" si="308"/>
        <v>-1</v>
      </c>
      <c r="V180" s="59">
        <f t="shared" si="308"/>
        <v>-1</v>
      </c>
      <c r="W180" s="59">
        <f t="shared" si="308"/>
        <v>-1</v>
      </c>
      <c r="Y180" s="61"/>
      <c r="Z180" s="61"/>
      <c r="AA180" s="61"/>
    </row>
    <row r="181" spans="2:27" s="59" customFormat="1" x14ac:dyDescent="0.2">
      <c r="D181" s="59" t="s">
        <v>8</v>
      </c>
      <c r="M181" s="59">
        <f>IF(N$28&lt;&gt;0,M$153,N181)</f>
        <v>8.0000080258098105</v>
      </c>
      <c r="N181" s="59">
        <f>IF(N$14="",N$153,0)</f>
        <v>20.000020064524527</v>
      </c>
      <c r="O181" s="59">
        <f t="shared" ref="O181:W181" si="309">IF(O$14="",O$153,0)</f>
        <v>35.978118635387915</v>
      </c>
      <c r="P181" s="59">
        <f t="shared" si="309"/>
        <v>16.271117168489983</v>
      </c>
      <c r="Q181" s="59">
        <f t="shared" si="309"/>
        <v>16.00267205198114</v>
      </c>
      <c r="R181" s="59">
        <f t="shared" si="309"/>
        <v>20.003340064976424</v>
      </c>
      <c r="S181" s="59">
        <f t="shared" si="309"/>
        <v>20.000033395831053</v>
      </c>
      <c r="T181" s="59">
        <f t="shared" si="309"/>
        <v>0</v>
      </c>
      <c r="U181" s="59">
        <f t="shared" si="309"/>
        <v>0</v>
      </c>
      <c r="V181" s="59">
        <f t="shared" si="309"/>
        <v>0</v>
      </c>
      <c r="W181" s="59">
        <f t="shared" si="309"/>
        <v>0</v>
      </c>
      <c r="Y181" s="61"/>
      <c r="Z181" s="61"/>
      <c r="AA181" s="61"/>
    </row>
    <row r="182" spans="2:27" s="59" customFormat="1" x14ac:dyDescent="0.2">
      <c r="B182" s="59" t="s">
        <v>107</v>
      </c>
      <c r="Y182" s="61"/>
      <c r="Z182" s="61"/>
      <c r="AA182" s="61"/>
    </row>
    <row r="183" spans="2:27" s="59" customFormat="1" x14ac:dyDescent="0.2">
      <c r="Y183" s="61"/>
      <c r="Z183" s="61"/>
    </row>
    <row r="184" spans="2:27" s="59" customFormat="1" x14ac:dyDescent="0.2">
      <c r="Y184" s="61"/>
      <c r="Z184" s="61"/>
    </row>
    <row r="185" spans="2:27" s="59" customFormat="1" x14ac:dyDescent="0.2">
      <c r="Y185" s="61"/>
      <c r="Z185" s="61"/>
    </row>
    <row r="186" spans="2:27" s="59" customFormat="1" x14ac:dyDescent="0.2">
      <c r="Y186" s="61"/>
      <c r="Z186" s="61"/>
    </row>
    <row r="187" spans="2:27" s="59" customFormat="1" x14ac:dyDescent="0.2">
      <c r="Y187" s="61"/>
      <c r="Z187" s="61"/>
    </row>
    <row r="188" spans="2:27" s="59" customFormat="1" x14ac:dyDescent="0.2">
      <c r="Y188" s="61"/>
      <c r="Z188" s="61"/>
    </row>
    <row r="189" spans="2:27" s="59" customFormat="1" x14ac:dyDescent="0.2">
      <c r="Y189" s="61"/>
      <c r="Z189" s="61"/>
    </row>
    <row r="190" spans="2:27" s="59" customFormat="1" x14ac:dyDescent="0.2">
      <c r="Y190" s="61"/>
      <c r="Z190" s="61"/>
    </row>
    <row r="191" spans="2:27" s="59" customFormat="1" x14ac:dyDescent="0.2">
      <c r="Y191" s="61"/>
      <c r="Z191" s="61"/>
    </row>
    <row r="192" spans="2:27" s="59" customFormat="1" x14ac:dyDescent="0.2">
      <c r="Y192" s="61"/>
      <c r="Z192" s="61"/>
    </row>
    <row r="193" spans="25:26" s="59" customFormat="1" x14ac:dyDescent="0.2">
      <c r="Y193" s="61"/>
      <c r="Z193" s="61"/>
    </row>
    <row r="194" spans="25:26" s="59" customFormat="1" x14ac:dyDescent="0.2">
      <c r="Y194" s="61"/>
      <c r="Z194" s="61"/>
    </row>
    <row r="195" spans="25:26" s="59" customFormat="1" x14ac:dyDescent="0.2">
      <c r="Y195" s="61"/>
      <c r="Z195" s="61"/>
    </row>
    <row r="196" spans="25:26" s="59" customFormat="1" x14ac:dyDescent="0.2">
      <c r="Y196" s="61"/>
      <c r="Z196" s="61"/>
    </row>
    <row r="197" spans="25:26" s="59" customFormat="1" x14ac:dyDescent="0.2">
      <c r="Y197" s="61"/>
      <c r="Z197" s="61"/>
    </row>
    <row r="198" spans="25:26" s="59" customFormat="1" x14ac:dyDescent="0.2">
      <c r="Y198" s="61"/>
      <c r="Z198" s="61"/>
    </row>
    <row r="199" spans="25:26" s="59" customFormat="1" x14ac:dyDescent="0.2">
      <c r="Y199" s="61"/>
      <c r="Z199" s="61"/>
    </row>
    <row r="200" spans="25:26" s="59" customFormat="1" x14ac:dyDescent="0.2">
      <c r="Y200" s="61"/>
      <c r="Z200" s="61"/>
    </row>
    <row r="201" spans="25:26" s="59" customFormat="1" x14ac:dyDescent="0.2">
      <c r="Y201" s="61"/>
      <c r="Z201" s="61"/>
    </row>
    <row r="202" spans="25:26" s="59" customFormat="1" x14ac:dyDescent="0.2">
      <c r="Y202" s="61"/>
      <c r="Z202" s="61"/>
    </row>
    <row r="203" spans="25:26" s="59" customFormat="1" x14ac:dyDescent="0.2">
      <c r="Y203" s="61"/>
      <c r="Z203" s="61"/>
    </row>
    <row r="204" spans="25:26" s="59" customFormat="1" x14ac:dyDescent="0.2">
      <c r="Y204" s="61"/>
      <c r="Z204" s="61"/>
    </row>
    <row r="205" spans="25:26" s="59" customFormat="1" x14ac:dyDescent="0.2">
      <c r="Y205" s="61"/>
      <c r="Z205" s="61"/>
    </row>
    <row r="206" spans="25:26" s="59" customFormat="1" x14ac:dyDescent="0.2">
      <c r="Y206" s="61"/>
      <c r="Z206" s="61"/>
    </row>
    <row r="207" spans="25:26" s="59" customFormat="1" x14ac:dyDescent="0.2">
      <c r="Y207" s="61"/>
      <c r="Z207" s="61"/>
    </row>
    <row r="208" spans="25:26" s="59" customFormat="1" x14ac:dyDescent="0.2">
      <c r="Y208" s="61"/>
      <c r="Z208" s="61"/>
    </row>
    <row r="209" spans="25:26" s="59" customFormat="1" x14ac:dyDescent="0.2">
      <c r="Y209" s="61"/>
      <c r="Z209" s="61"/>
    </row>
    <row r="210" spans="25:26" s="59" customFormat="1" x14ac:dyDescent="0.2">
      <c r="Y210" s="61"/>
      <c r="Z210" s="61"/>
    </row>
    <row r="211" spans="25:26" s="59" customFormat="1" x14ac:dyDescent="0.2">
      <c r="Y211" s="61"/>
      <c r="Z211" s="61"/>
    </row>
    <row r="212" spans="25:26" s="59" customFormat="1" x14ac:dyDescent="0.2">
      <c r="Y212" s="61"/>
      <c r="Z212" s="61"/>
    </row>
    <row r="213" spans="25:26" s="59" customFormat="1" x14ac:dyDescent="0.2">
      <c r="Y213" s="61"/>
      <c r="Z213" s="61"/>
    </row>
    <row r="214" spans="25:26" s="59" customFormat="1" x14ac:dyDescent="0.2">
      <c r="Y214" s="61"/>
      <c r="Z214" s="61"/>
    </row>
    <row r="215" spans="25:26" s="59" customFormat="1" x14ac:dyDescent="0.2">
      <c r="Y215" s="61"/>
      <c r="Z215" s="61"/>
    </row>
    <row r="216" spans="25:26" s="59" customFormat="1" x14ac:dyDescent="0.2">
      <c r="Y216" s="61"/>
      <c r="Z216" s="61"/>
    </row>
    <row r="217" spans="25:26" s="59" customFormat="1" x14ac:dyDescent="0.2">
      <c r="Y217" s="61"/>
      <c r="Z217" s="61"/>
    </row>
    <row r="218" spans="25:26" s="59" customFormat="1" x14ac:dyDescent="0.2">
      <c r="Y218" s="61"/>
      <c r="Z218" s="61"/>
    </row>
    <row r="219" spans="25:26" s="59" customFormat="1" x14ac:dyDescent="0.2">
      <c r="Y219" s="61"/>
      <c r="Z219" s="61"/>
    </row>
    <row r="220" spans="25:26" s="59" customFormat="1" x14ac:dyDescent="0.2">
      <c r="Y220" s="61"/>
      <c r="Z220" s="61"/>
    </row>
    <row r="221" spans="25:26" s="59" customFormat="1" x14ac:dyDescent="0.2">
      <c r="Y221" s="61"/>
      <c r="Z221" s="61"/>
    </row>
    <row r="222" spans="25:26" s="59" customFormat="1" x14ac:dyDescent="0.2">
      <c r="Y222" s="61"/>
      <c r="Z222" s="61"/>
    </row>
    <row r="223" spans="25:26" s="59" customFormat="1" x14ac:dyDescent="0.2">
      <c r="Y223" s="61"/>
      <c r="Z223" s="61"/>
    </row>
    <row r="224" spans="25:26" s="59" customFormat="1" x14ac:dyDescent="0.2">
      <c r="Y224" s="61"/>
      <c r="Z224" s="61"/>
    </row>
    <row r="225" spans="25:33" s="59" customFormat="1" x14ac:dyDescent="0.2">
      <c r="Y225" s="61"/>
      <c r="Z225" s="61"/>
    </row>
    <row r="226" spans="25:33" s="59" customFormat="1" x14ac:dyDescent="0.2">
      <c r="Y226" s="61"/>
      <c r="Z226" s="61"/>
    </row>
    <row r="227" spans="25:33" s="59" customFormat="1" x14ac:dyDescent="0.2">
      <c r="Y227" s="61"/>
      <c r="Z227" s="61"/>
    </row>
    <row r="228" spans="25:33" s="59" customFormat="1" x14ac:dyDescent="0.2">
      <c r="Y228" s="61"/>
      <c r="Z228" s="61"/>
    </row>
    <row r="229" spans="25:33" s="59" customFormat="1" x14ac:dyDescent="0.2">
      <c r="Y229" s="61"/>
      <c r="Z229" s="61"/>
    </row>
    <row r="230" spans="25:33" s="59" customFormat="1" x14ac:dyDescent="0.2">
      <c r="Y230" s="61"/>
      <c r="Z230" s="61"/>
    </row>
    <row r="231" spans="25:33" s="59" customFormat="1" x14ac:dyDescent="0.2">
      <c r="Y231" s="61"/>
      <c r="Z231" s="61"/>
    </row>
    <row r="232" spans="25:33" s="51" customFormat="1" x14ac:dyDescent="0.2">
      <c r="Y232" s="61"/>
      <c r="Z232" s="61"/>
      <c r="AA232" s="59"/>
      <c r="AB232" s="59"/>
      <c r="AC232" s="59"/>
      <c r="AD232" s="59"/>
      <c r="AE232" s="59"/>
      <c r="AF232" s="59"/>
      <c r="AG232" s="59"/>
    </row>
    <row r="233" spans="25:33" s="51" customFormat="1" x14ac:dyDescent="0.2">
      <c r="Y233" s="61"/>
      <c r="Z233" s="61"/>
      <c r="AA233" s="59"/>
      <c r="AB233" s="59"/>
      <c r="AC233" s="59"/>
      <c r="AD233" s="59"/>
      <c r="AE233" s="59"/>
      <c r="AF233" s="59"/>
      <c r="AG233" s="59"/>
    </row>
    <row r="234" spans="25:33" s="51" customFormat="1" x14ac:dyDescent="0.2">
      <c r="Y234" s="61"/>
      <c r="Z234" s="61"/>
      <c r="AA234" s="59"/>
      <c r="AB234" s="59"/>
      <c r="AC234" s="59"/>
      <c r="AD234" s="59"/>
      <c r="AE234" s="59"/>
      <c r="AF234" s="59"/>
      <c r="AG234" s="59"/>
    </row>
    <row r="235" spans="25:33" s="51" customFormat="1" x14ac:dyDescent="0.2">
      <c r="Y235" s="61"/>
      <c r="Z235" s="61"/>
      <c r="AA235" s="59"/>
      <c r="AB235" s="59"/>
      <c r="AC235" s="59"/>
      <c r="AD235" s="59"/>
      <c r="AE235" s="59"/>
      <c r="AF235" s="59"/>
      <c r="AG235" s="59"/>
    </row>
    <row r="236" spans="25:33" s="51" customFormat="1" x14ac:dyDescent="0.2">
      <c r="Y236" s="61"/>
      <c r="Z236" s="61"/>
      <c r="AA236" s="59"/>
      <c r="AB236" s="59"/>
      <c r="AC236" s="59"/>
      <c r="AD236" s="59"/>
      <c r="AE236" s="59"/>
      <c r="AF236" s="59"/>
      <c r="AG236" s="59"/>
    </row>
    <row r="237" spans="25:33" s="51" customFormat="1" x14ac:dyDescent="0.2">
      <c r="Y237" s="61"/>
      <c r="Z237" s="61"/>
      <c r="AA237" s="59"/>
      <c r="AB237" s="59"/>
      <c r="AC237" s="59"/>
      <c r="AD237" s="59"/>
      <c r="AE237" s="59"/>
      <c r="AF237" s="59"/>
      <c r="AG237" s="59"/>
    </row>
    <row r="238" spans="25:33" s="51" customFormat="1" x14ac:dyDescent="0.2">
      <c r="Y238" s="61"/>
      <c r="Z238" s="61"/>
      <c r="AA238" s="59"/>
      <c r="AB238" s="59"/>
      <c r="AC238" s="59"/>
      <c r="AD238" s="59"/>
      <c r="AE238" s="59"/>
      <c r="AF238" s="59"/>
      <c r="AG238" s="59"/>
    </row>
    <row r="239" spans="25:33" s="51" customFormat="1" x14ac:dyDescent="0.2">
      <c r="Y239" s="61"/>
      <c r="Z239" s="61"/>
      <c r="AA239" s="59"/>
      <c r="AB239" s="59"/>
      <c r="AC239" s="59"/>
      <c r="AD239" s="59"/>
      <c r="AE239" s="59"/>
      <c r="AF239" s="59"/>
      <c r="AG239" s="59"/>
    </row>
    <row r="240" spans="25:33" s="51" customFormat="1" x14ac:dyDescent="0.2">
      <c r="Y240" s="61"/>
      <c r="Z240" s="61"/>
      <c r="AA240" s="59"/>
      <c r="AB240" s="59"/>
      <c r="AC240" s="59"/>
      <c r="AD240" s="59"/>
      <c r="AE240" s="59"/>
      <c r="AF240" s="59"/>
      <c r="AG240" s="59"/>
    </row>
    <row r="241" spans="25:33" s="51" customFormat="1" x14ac:dyDescent="0.2">
      <c r="Y241" s="61"/>
      <c r="Z241" s="61"/>
      <c r="AA241" s="59"/>
      <c r="AB241" s="59"/>
      <c r="AC241" s="59"/>
      <c r="AD241" s="59"/>
      <c r="AE241" s="59"/>
      <c r="AF241" s="59"/>
      <c r="AG241" s="59"/>
    </row>
    <row r="242" spans="25:33" s="51" customFormat="1" x14ac:dyDescent="0.2">
      <c r="Y242" s="61"/>
      <c r="Z242" s="61"/>
      <c r="AA242" s="59"/>
      <c r="AB242" s="59"/>
      <c r="AC242" s="59"/>
      <c r="AD242" s="59"/>
      <c r="AE242" s="59"/>
      <c r="AF242" s="59"/>
      <c r="AG242" s="59"/>
    </row>
    <row r="243" spans="25:33" s="51" customFormat="1" x14ac:dyDescent="0.2">
      <c r="Y243" s="61"/>
      <c r="Z243" s="61"/>
      <c r="AA243" s="59"/>
      <c r="AB243" s="59"/>
      <c r="AC243" s="59"/>
      <c r="AD243" s="59"/>
      <c r="AE243" s="59"/>
      <c r="AF243" s="59"/>
      <c r="AG243" s="59"/>
    </row>
    <row r="244" spans="25:33" s="51" customFormat="1" x14ac:dyDescent="0.2">
      <c r="Y244" s="61"/>
      <c r="Z244" s="61"/>
      <c r="AA244" s="59"/>
      <c r="AB244" s="59"/>
      <c r="AC244" s="59"/>
      <c r="AD244" s="59"/>
      <c r="AE244" s="59"/>
      <c r="AF244" s="59"/>
      <c r="AG244" s="59"/>
    </row>
    <row r="245" spans="25:33" s="51" customFormat="1" x14ac:dyDescent="0.2">
      <c r="Y245" s="61"/>
      <c r="Z245" s="61"/>
      <c r="AA245" s="59"/>
      <c r="AB245" s="59"/>
      <c r="AC245" s="59"/>
      <c r="AD245" s="59"/>
      <c r="AE245" s="59"/>
      <c r="AF245" s="59"/>
      <c r="AG245" s="59"/>
    </row>
    <row r="246" spans="25:33" s="51" customFormat="1" x14ac:dyDescent="0.2">
      <c r="Y246" s="61"/>
      <c r="Z246" s="61"/>
      <c r="AA246" s="59"/>
      <c r="AB246" s="59"/>
      <c r="AC246" s="59"/>
      <c r="AD246" s="59"/>
      <c r="AE246" s="59"/>
      <c r="AF246" s="59"/>
      <c r="AG246" s="59"/>
    </row>
    <row r="247" spans="25:33" s="51" customFormat="1" x14ac:dyDescent="0.2">
      <c r="Y247" s="61"/>
      <c r="Z247" s="61"/>
      <c r="AA247" s="59"/>
      <c r="AB247" s="59"/>
      <c r="AC247" s="59"/>
      <c r="AD247" s="59"/>
      <c r="AE247" s="59"/>
      <c r="AF247" s="59"/>
      <c r="AG247" s="59"/>
    </row>
    <row r="248" spans="25:33" s="51" customFormat="1" x14ac:dyDescent="0.2">
      <c r="Y248" s="61"/>
      <c r="Z248" s="61"/>
      <c r="AA248" s="59"/>
      <c r="AB248" s="59"/>
      <c r="AC248" s="59"/>
      <c r="AD248" s="59"/>
      <c r="AE248" s="59"/>
      <c r="AF248" s="59"/>
      <c r="AG248" s="59"/>
    </row>
    <row r="249" spans="25:33" s="51" customFormat="1" x14ac:dyDescent="0.2">
      <c r="Y249" s="61"/>
      <c r="Z249" s="61"/>
      <c r="AA249" s="59"/>
      <c r="AB249" s="59"/>
      <c r="AC249" s="59"/>
      <c r="AD249" s="59"/>
      <c r="AE249" s="59"/>
      <c r="AF249" s="59"/>
      <c r="AG249" s="59"/>
    </row>
    <row r="250" spans="25:33" s="51" customFormat="1" x14ac:dyDescent="0.2">
      <c r="Y250" s="61"/>
      <c r="Z250" s="61"/>
      <c r="AA250" s="59"/>
      <c r="AB250" s="59"/>
      <c r="AC250" s="59"/>
      <c r="AD250" s="59"/>
      <c r="AE250" s="59"/>
      <c r="AF250" s="59"/>
      <c r="AG250" s="59"/>
    </row>
    <row r="251" spans="25:33" s="51" customFormat="1" x14ac:dyDescent="0.2">
      <c r="Y251" s="61"/>
      <c r="Z251" s="61"/>
      <c r="AA251" s="59"/>
      <c r="AB251" s="59"/>
      <c r="AC251" s="59"/>
      <c r="AD251" s="59"/>
      <c r="AE251" s="59"/>
      <c r="AF251" s="59"/>
      <c r="AG251" s="59"/>
    </row>
    <row r="252" spans="25:33" s="51" customFormat="1" x14ac:dyDescent="0.2">
      <c r="Y252" s="61"/>
      <c r="Z252" s="61"/>
      <c r="AA252" s="59"/>
      <c r="AB252" s="59"/>
      <c r="AC252" s="59"/>
      <c r="AD252" s="59"/>
      <c r="AE252" s="59"/>
      <c r="AF252" s="59"/>
      <c r="AG252" s="59"/>
    </row>
    <row r="253" spans="25:33" s="51" customFormat="1" x14ac:dyDescent="0.2">
      <c r="Y253" s="61"/>
      <c r="Z253" s="61"/>
      <c r="AA253" s="59"/>
      <c r="AB253" s="59"/>
      <c r="AC253" s="59"/>
      <c r="AD253" s="59"/>
      <c r="AE253" s="59"/>
      <c r="AF253" s="59"/>
      <c r="AG253" s="59"/>
    </row>
    <row r="254" spans="25:33" s="51" customFormat="1" x14ac:dyDescent="0.2">
      <c r="Y254" s="61"/>
      <c r="Z254" s="61"/>
      <c r="AA254" s="59"/>
      <c r="AB254" s="59"/>
      <c r="AC254" s="59"/>
      <c r="AD254" s="59"/>
      <c r="AE254" s="59"/>
      <c r="AF254" s="59"/>
      <c r="AG254" s="59"/>
    </row>
    <row r="255" spans="25:33" s="51" customFormat="1" x14ac:dyDescent="0.2">
      <c r="Y255" s="61"/>
      <c r="Z255" s="61"/>
      <c r="AA255" s="59"/>
      <c r="AB255" s="59"/>
      <c r="AC255" s="59"/>
      <c r="AD255" s="59"/>
      <c r="AE255" s="59"/>
      <c r="AF255" s="59"/>
      <c r="AG255" s="59"/>
    </row>
    <row r="256" spans="25:33" s="51" customFormat="1" x14ac:dyDescent="0.2">
      <c r="Y256" s="61"/>
      <c r="Z256" s="61"/>
      <c r="AA256" s="59"/>
      <c r="AB256" s="59"/>
      <c r="AC256" s="59"/>
      <c r="AD256" s="59"/>
      <c r="AE256" s="59"/>
      <c r="AF256" s="59"/>
      <c r="AG256" s="59"/>
    </row>
    <row r="257" spans="1:33" s="51" customFormat="1" x14ac:dyDescent="0.2">
      <c r="Y257" s="61"/>
      <c r="Z257" s="61"/>
      <c r="AA257" s="59"/>
      <c r="AB257" s="59"/>
      <c r="AC257" s="59"/>
      <c r="AD257" s="59"/>
      <c r="AE257" s="59"/>
      <c r="AF257" s="59"/>
      <c r="AG257" s="59"/>
    </row>
    <row r="258" spans="1:33" s="51" customFormat="1" x14ac:dyDescent="0.2">
      <c r="Y258" s="61"/>
      <c r="Z258" s="61"/>
      <c r="AA258" s="59"/>
      <c r="AB258" s="59"/>
      <c r="AC258" s="59"/>
      <c r="AD258" s="59"/>
      <c r="AE258" s="59"/>
      <c r="AF258" s="59"/>
      <c r="AG258" s="59"/>
    </row>
    <row r="259" spans="1:33" s="51" customFormat="1" x14ac:dyDescent="0.2">
      <c r="Y259" s="61"/>
      <c r="Z259" s="61"/>
      <c r="AA259" s="59"/>
      <c r="AB259" s="59"/>
      <c r="AC259" s="59"/>
      <c r="AD259" s="59"/>
      <c r="AE259" s="59"/>
      <c r="AF259" s="59"/>
      <c r="AG259" s="59"/>
    </row>
    <row r="260" spans="1:33" s="51" customFormat="1" x14ac:dyDescent="0.2">
      <c r="Y260" s="61"/>
      <c r="Z260" s="61"/>
      <c r="AA260" s="59"/>
      <c r="AB260" s="59"/>
      <c r="AC260" s="59"/>
      <c r="AD260" s="59"/>
      <c r="AE260" s="59"/>
      <c r="AF260" s="59"/>
      <c r="AG260" s="59"/>
    </row>
    <row r="261" spans="1:33" s="51" customFormat="1" x14ac:dyDescent="0.2">
      <c r="Y261" s="61"/>
      <c r="Z261" s="61"/>
      <c r="AA261" s="59"/>
      <c r="AB261" s="59"/>
      <c r="AC261" s="59"/>
      <c r="AD261" s="59"/>
      <c r="AE261" s="59"/>
      <c r="AF261" s="59"/>
      <c r="AG261" s="59"/>
    </row>
    <row r="262" spans="1:33" s="51" customFormat="1" x14ac:dyDescent="0.2">
      <c r="Y262" s="61"/>
      <c r="Z262" s="61"/>
      <c r="AA262" s="59"/>
      <c r="AB262" s="59"/>
      <c r="AC262" s="59"/>
      <c r="AD262" s="59"/>
      <c r="AE262" s="59"/>
      <c r="AF262" s="59"/>
      <c r="AG262" s="59"/>
    </row>
    <row r="263" spans="1:33" s="51" customFormat="1" x14ac:dyDescent="0.2">
      <c r="Y263" s="61"/>
      <c r="Z263" s="61"/>
      <c r="AA263" s="59"/>
      <c r="AB263" s="59"/>
      <c r="AC263" s="59"/>
      <c r="AD263" s="59"/>
      <c r="AE263" s="59"/>
      <c r="AF263" s="59"/>
      <c r="AG263" s="59"/>
    </row>
    <row r="264" spans="1:33" s="51" customFormat="1" x14ac:dyDescent="0.2">
      <c r="Y264" s="61"/>
      <c r="Z264" s="61"/>
      <c r="AA264" s="59"/>
      <c r="AB264" s="59"/>
      <c r="AC264" s="59"/>
      <c r="AD264" s="59"/>
      <c r="AE264" s="59"/>
      <c r="AF264" s="59"/>
      <c r="AG264" s="59"/>
    </row>
    <row r="265" spans="1:33" s="51" customFormat="1" x14ac:dyDescent="0.2">
      <c r="Y265" s="61"/>
      <c r="Z265" s="61"/>
      <c r="AA265" s="59"/>
      <c r="AB265" s="59"/>
      <c r="AC265" s="59"/>
      <c r="AD265" s="59"/>
      <c r="AE265" s="59"/>
      <c r="AF265" s="59"/>
      <c r="AG265" s="59"/>
    </row>
    <row r="266" spans="1:33" s="51" customFormat="1" x14ac:dyDescent="0.2">
      <c r="Y266" s="61"/>
      <c r="Z266" s="61"/>
      <c r="AA266" s="59"/>
      <c r="AB266" s="59"/>
      <c r="AC266" s="59"/>
      <c r="AD266" s="59"/>
      <c r="AE266" s="59"/>
      <c r="AF266" s="59"/>
      <c r="AG266" s="59"/>
    </row>
    <row r="267" spans="1:33" s="51" customFormat="1" x14ac:dyDescent="0.2">
      <c r="Y267" s="61"/>
      <c r="Z267" s="61"/>
      <c r="AA267" s="59"/>
      <c r="AB267" s="59"/>
      <c r="AC267" s="59"/>
      <c r="AD267" s="59"/>
      <c r="AE267" s="59"/>
      <c r="AF267" s="59"/>
      <c r="AG267" s="59"/>
    </row>
    <row r="268" spans="1:33" s="51" customFormat="1" x14ac:dyDescent="0.2">
      <c r="Y268" s="61"/>
      <c r="Z268" s="61"/>
      <c r="AA268" s="59"/>
      <c r="AB268" s="59"/>
      <c r="AC268" s="59"/>
      <c r="AD268" s="59"/>
      <c r="AE268" s="59"/>
      <c r="AF268" s="59"/>
      <c r="AG268" s="59"/>
    </row>
    <row r="269" spans="1:33" s="51" customFormat="1" x14ac:dyDescent="0.2">
      <c r="Y269" s="61"/>
      <c r="Z269" s="61"/>
      <c r="AA269" s="59"/>
      <c r="AB269" s="59"/>
      <c r="AC269" s="59"/>
      <c r="AD269" s="59"/>
      <c r="AE269" s="59"/>
      <c r="AF269" s="59"/>
      <c r="AG269" s="59"/>
    </row>
    <row r="270" spans="1:33" s="51" customFormat="1" x14ac:dyDescent="0.2">
      <c r="Y270" s="61"/>
      <c r="Z270" s="61"/>
      <c r="AA270" s="59"/>
      <c r="AB270" s="59"/>
      <c r="AC270" s="59"/>
      <c r="AD270" s="59"/>
      <c r="AE270" s="59"/>
      <c r="AF270" s="59"/>
      <c r="AG270" s="59"/>
    </row>
    <row r="271" spans="1:33" s="51" customFormat="1" x14ac:dyDescent="0.2">
      <c r="Y271" s="61"/>
      <c r="Z271" s="61"/>
      <c r="AA271" s="59"/>
      <c r="AB271" s="59"/>
      <c r="AC271" s="59"/>
      <c r="AD271" s="59"/>
      <c r="AE271" s="59"/>
      <c r="AF271" s="59"/>
      <c r="AG271" s="59"/>
    </row>
    <row r="272" spans="1:33" x14ac:dyDescent="0.2">
      <c r="A272" s="47"/>
      <c r="B272" s="47"/>
      <c r="C272" s="47"/>
      <c r="D272" s="47"/>
      <c r="E272" s="47"/>
      <c r="F272" s="47"/>
      <c r="G272" s="47"/>
      <c r="H272" s="47"/>
      <c r="I272" s="47"/>
      <c r="J272" s="47"/>
      <c r="K272" s="47"/>
      <c r="L272" s="47"/>
      <c r="X272" s="47"/>
    </row>
    <row r="273" spans="1:24" x14ac:dyDescent="0.2">
      <c r="A273" s="47"/>
      <c r="B273" s="47"/>
      <c r="C273" s="47"/>
      <c r="D273" s="47"/>
      <c r="E273" s="47"/>
      <c r="F273" s="47"/>
      <c r="G273" s="47"/>
      <c r="H273" s="47"/>
      <c r="I273" s="47"/>
      <c r="J273" s="47"/>
      <c r="K273" s="47"/>
      <c r="L273" s="47"/>
      <c r="X273" s="47"/>
    </row>
    <row r="274" spans="1:24" x14ac:dyDescent="0.2">
      <c r="A274" s="47"/>
      <c r="B274" s="47"/>
      <c r="C274" s="47"/>
      <c r="D274" s="47"/>
      <c r="E274" s="47"/>
      <c r="F274" s="47"/>
      <c r="G274" s="47"/>
      <c r="H274" s="47"/>
      <c r="I274" s="47"/>
      <c r="J274" s="47"/>
      <c r="K274" s="47"/>
      <c r="L274" s="47"/>
      <c r="X274" s="47"/>
    </row>
    <row r="275" spans="1:24" x14ac:dyDescent="0.2">
      <c r="A275" s="47"/>
      <c r="B275" s="47"/>
      <c r="C275" s="47"/>
      <c r="D275" s="47"/>
      <c r="E275" s="47"/>
      <c r="F275" s="47"/>
      <c r="G275" s="47"/>
      <c r="H275" s="47"/>
      <c r="I275" s="47"/>
      <c r="J275" s="47"/>
      <c r="K275" s="47"/>
      <c r="L275" s="47"/>
      <c r="X275" s="47"/>
    </row>
    <row r="276" spans="1:24" x14ac:dyDescent="0.2">
      <c r="A276" s="47"/>
      <c r="B276" s="47"/>
      <c r="C276" s="47"/>
      <c r="D276" s="47"/>
      <c r="E276" s="47"/>
      <c r="F276" s="47"/>
      <c r="G276" s="47"/>
      <c r="H276" s="47"/>
      <c r="I276" s="47"/>
      <c r="J276" s="47"/>
      <c r="K276" s="47"/>
      <c r="L276" s="47"/>
      <c r="X276" s="47"/>
    </row>
    <row r="277" spans="1:24" x14ac:dyDescent="0.2">
      <c r="A277" s="47"/>
      <c r="B277" s="47"/>
      <c r="C277" s="47"/>
      <c r="D277" s="47"/>
      <c r="E277" s="47"/>
      <c r="F277" s="47"/>
      <c r="G277" s="47"/>
      <c r="H277" s="47"/>
      <c r="I277" s="47"/>
      <c r="J277" s="47"/>
      <c r="K277" s="47"/>
      <c r="L277" s="47"/>
      <c r="X277" s="47"/>
    </row>
    <row r="278" spans="1:24" x14ac:dyDescent="0.2">
      <c r="A278" s="47"/>
      <c r="B278" s="47"/>
      <c r="C278" s="47"/>
      <c r="D278" s="47"/>
      <c r="E278" s="47"/>
      <c r="F278" s="47"/>
      <c r="G278" s="47"/>
      <c r="H278" s="47"/>
      <c r="I278" s="47"/>
      <c r="J278" s="47"/>
      <c r="K278" s="47"/>
      <c r="L278" s="47"/>
      <c r="X278" s="47"/>
    </row>
    <row r="279" spans="1:24" x14ac:dyDescent="0.2">
      <c r="A279" s="47"/>
      <c r="B279" s="47"/>
      <c r="C279" s="47"/>
      <c r="D279" s="47"/>
      <c r="E279" s="47"/>
      <c r="F279" s="47"/>
      <c r="G279" s="47"/>
      <c r="H279" s="47"/>
      <c r="I279" s="47"/>
      <c r="J279" s="47"/>
      <c r="K279" s="47"/>
      <c r="L279" s="47"/>
      <c r="X279" s="47"/>
    </row>
    <row r="280" spans="1:24" x14ac:dyDescent="0.2">
      <c r="A280" s="47"/>
      <c r="B280" s="47"/>
      <c r="C280" s="47"/>
      <c r="D280" s="47"/>
      <c r="E280" s="47"/>
      <c r="F280" s="47"/>
      <c r="G280" s="47"/>
      <c r="H280" s="47"/>
      <c r="I280" s="47"/>
      <c r="J280" s="47"/>
      <c r="K280" s="47"/>
      <c r="L280" s="47"/>
      <c r="X280" s="47"/>
    </row>
    <row r="281" spans="1:24" x14ac:dyDescent="0.2">
      <c r="A281" s="47"/>
      <c r="B281" s="47"/>
      <c r="C281" s="47"/>
      <c r="D281" s="47"/>
      <c r="E281" s="47"/>
      <c r="F281" s="47"/>
      <c r="G281" s="47"/>
      <c r="H281" s="47"/>
      <c r="I281" s="47"/>
      <c r="J281" s="47"/>
      <c r="K281" s="47"/>
      <c r="L281" s="47"/>
      <c r="X281" s="47"/>
    </row>
    <row r="282" spans="1:24" x14ac:dyDescent="0.2">
      <c r="A282" s="47"/>
      <c r="B282" s="47"/>
      <c r="C282" s="47"/>
      <c r="D282" s="47"/>
      <c r="E282" s="47"/>
      <c r="F282" s="47"/>
      <c r="G282" s="47"/>
      <c r="H282" s="47"/>
      <c r="I282" s="47"/>
      <c r="J282" s="47"/>
      <c r="K282" s="47"/>
      <c r="L282" s="47"/>
      <c r="X282" s="47"/>
    </row>
    <row r="283" spans="1:24" x14ac:dyDescent="0.2">
      <c r="A283" s="47"/>
      <c r="B283" s="47"/>
      <c r="C283" s="47"/>
      <c r="D283" s="47"/>
      <c r="E283" s="47"/>
      <c r="F283" s="47"/>
      <c r="G283" s="47"/>
      <c r="H283" s="47"/>
      <c r="I283" s="47"/>
      <c r="J283" s="47"/>
      <c r="K283" s="47"/>
      <c r="L283" s="47"/>
      <c r="X283" s="47"/>
    </row>
    <row r="284" spans="1:24" x14ac:dyDescent="0.2">
      <c r="A284" s="47"/>
      <c r="B284" s="47"/>
      <c r="C284" s="47"/>
      <c r="D284" s="47"/>
      <c r="E284" s="47"/>
      <c r="F284" s="47"/>
      <c r="G284" s="47"/>
      <c r="H284" s="47"/>
      <c r="I284" s="47"/>
      <c r="J284" s="47"/>
      <c r="K284" s="47"/>
      <c r="L284" s="47"/>
      <c r="X284" s="47"/>
    </row>
    <row r="285" spans="1:24" x14ac:dyDescent="0.2">
      <c r="A285" s="47"/>
      <c r="B285" s="47"/>
      <c r="C285" s="47"/>
      <c r="D285" s="47"/>
      <c r="E285" s="47"/>
      <c r="F285" s="47"/>
      <c r="G285" s="47"/>
      <c r="H285" s="47"/>
      <c r="I285" s="47"/>
      <c r="J285" s="47"/>
      <c r="K285" s="47"/>
      <c r="L285" s="47"/>
      <c r="X285" s="47"/>
    </row>
    <row r="286" spans="1:24" x14ac:dyDescent="0.2">
      <c r="A286" s="47"/>
      <c r="B286" s="47"/>
      <c r="C286" s="47"/>
      <c r="D286" s="47"/>
      <c r="E286" s="47"/>
      <c r="F286" s="47"/>
      <c r="G286" s="47"/>
      <c r="H286" s="47"/>
      <c r="I286" s="47"/>
      <c r="J286" s="47"/>
      <c r="K286" s="47"/>
      <c r="L286" s="47"/>
      <c r="X286" s="47"/>
    </row>
    <row r="287" spans="1:24" x14ac:dyDescent="0.2">
      <c r="A287" s="47"/>
      <c r="B287" s="47"/>
      <c r="C287" s="47"/>
      <c r="D287" s="47"/>
      <c r="E287" s="47"/>
      <c r="F287" s="47"/>
      <c r="G287" s="47"/>
      <c r="H287" s="47"/>
      <c r="I287" s="47"/>
      <c r="J287" s="47"/>
      <c r="K287" s="47"/>
      <c r="L287" s="47"/>
      <c r="X287" s="47"/>
    </row>
    <row r="288" spans="1:24" x14ac:dyDescent="0.2">
      <c r="A288" s="47"/>
      <c r="B288" s="47"/>
      <c r="C288" s="47"/>
      <c r="D288" s="47"/>
      <c r="E288" s="47"/>
      <c r="F288" s="47"/>
      <c r="G288" s="47"/>
      <c r="H288" s="47"/>
      <c r="I288" s="47"/>
      <c r="J288" s="47"/>
      <c r="K288" s="47"/>
      <c r="L288" s="47"/>
      <c r="X288" s="47"/>
    </row>
    <row r="289" spans="1:24" x14ac:dyDescent="0.2">
      <c r="A289" s="47"/>
      <c r="B289" s="47"/>
      <c r="C289" s="47"/>
      <c r="D289" s="47"/>
      <c r="E289" s="47"/>
      <c r="F289" s="47"/>
      <c r="G289" s="47"/>
      <c r="H289" s="47"/>
      <c r="I289" s="47"/>
      <c r="J289" s="47"/>
      <c r="K289" s="47"/>
      <c r="L289" s="47"/>
      <c r="X289" s="47"/>
    </row>
    <row r="290" spans="1:24" x14ac:dyDescent="0.2">
      <c r="A290" s="47"/>
      <c r="B290" s="47"/>
      <c r="C290" s="47"/>
      <c r="D290" s="47"/>
      <c r="E290" s="47"/>
      <c r="F290" s="47"/>
      <c r="G290" s="47"/>
      <c r="H290" s="47"/>
      <c r="I290" s="47"/>
      <c r="J290" s="47"/>
      <c r="K290" s="47"/>
      <c r="L290" s="47"/>
      <c r="X290" s="47"/>
    </row>
    <row r="291" spans="1:24" x14ac:dyDescent="0.2">
      <c r="A291" s="47"/>
      <c r="B291" s="47"/>
      <c r="C291" s="47"/>
      <c r="D291" s="47"/>
      <c r="E291" s="47"/>
      <c r="F291" s="47"/>
      <c r="G291" s="47"/>
      <c r="H291" s="47"/>
      <c r="I291" s="47"/>
      <c r="J291" s="47"/>
      <c r="K291" s="47"/>
      <c r="L291" s="47"/>
      <c r="X291" s="47"/>
    </row>
    <row r="292" spans="1:24" x14ac:dyDescent="0.2">
      <c r="A292" s="47"/>
      <c r="B292" s="47"/>
      <c r="C292" s="47"/>
      <c r="D292" s="47"/>
      <c r="E292" s="47"/>
      <c r="F292" s="47"/>
      <c r="G292" s="47"/>
      <c r="H292" s="47"/>
      <c r="I292" s="47"/>
      <c r="J292" s="47"/>
      <c r="K292" s="47"/>
      <c r="L292" s="47"/>
      <c r="X292" s="47"/>
    </row>
    <row r="293" spans="1:24" x14ac:dyDescent="0.2">
      <c r="A293" s="47"/>
      <c r="B293" s="47"/>
      <c r="C293" s="47"/>
      <c r="D293" s="47"/>
      <c r="E293" s="47"/>
      <c r="F293" s="47"/>
      <c r="G293" s="47"/>
      <c r="H293" s="47"/>
      <c r="I293" s="47"/>
      <c r="J293" s="47"/>
      <c r="K293" s="47"/>
      <c r="L293" s="47"/>
      <c r="X293" s="47"/>
    </row>
    <row r="294" spans="1:24" x14ac:dyDescent="0.2">
      <c r="A294" s="47"/>
      <c r="B294" s="47"/>
      <c r="C294" s="47"/>
      <c r="D294" s="47"/>
      <c r="E294" s="47"/>
      <c r="F294" s="47"/>
      <c r="G294" s="47"/>
      <c r="H294" s="47"/>
      <c r="I294" s="47"/>
      <c r="J294" s="47"/>
      <c r="K294" s="47"/>
      <c r="L294" s="47"/>
      <c r="X294" s="47"/>
    </row>
    <row r="295" spans="1:24" x14ac:dyDescent="0.2">
      <c r="A295" s="47"/>
      <c r="B295" s="47"/>
      <c r="C295" s="47"/>
      <c r="D295" s="47"/>
      <c r="E295" s="47"/>
      <c r="F295" s="47"/>
      <c r="G295" s="47"/>
      <c r="H295" s="47"/>
      <c r="I295" s="47"/>
      <c r="J295" s="47"/>
      <c r="K295" s="47"/>
      <c r="L295" s="47"/>
      <c r="X295" s="47"/>
    </row>
    <row r="296" spans="1:24" x14ac:dyDescent="0.2">
      <c r="A296" s="47"/>
      <c r="B296" s="47"/>
      <c r="C296" s="47"/>
      <c r="D296" s="47"/>
      <c r="E296" s="47"/>
      <c r="F296" s="47"/>
      <c r="G296" s="47"/>
      <c r="H296" s="47"/>
      <c r="I296" s="47"/>
      <c r="J296" s="47"/>
      <c r="K296" s="47"/>
      <c r="L296" s="47"/>
      <c r="X296" s="47"/>
    </row>
    <row r="297" spans="1:24" x14ac:dyDescent="0.2">
      <c r="A297" s="47"/>
      <c r="B297" s="47"/>
      <c r="C297" s="47"/>
      <c r="D297" s="47"/>
      <c r="E297" s="47"/>
      <c r="F297" s="47"/>
      <c r="G297" s="47"/>
      <c r="H297" s="47"/>
      <c r="I297" s="47"/>
      <c r="J297" s="47"/>
      <c r="K297" s="47"/>
      <c r="L297" s="47"/>
      <c r="X297" s="47"/>
    </row>
    <row r="298" spans="1:24" x14ac:dyDescent="0.2">
      <c r="A298" s="47"/>
      <c r="B298" s="47"/>
      <c r="C298" s="47"/>
      <c r="D298" s="47"/>
      <c r="E298" s="47"/>
      <c r="F298" s="47"/>
      <c r="G298" s="47"/>
      <c r="H298" s="47"/>
      <c r="I298" s="47"/>
      <c r="J298" s="47"/>
      <c r="K298" s="47"/>
      <c r="L298" s="47"/>
      <c r="X298" s="47"/>
    </row>
    <row r="299" spans="1:24" x14ac:dyDescent="0.2">
      <c r="A299" s="47"/>
      <c r="B299" s="47"/>
      <c r="C299" s="47"/>
      <c r="D299" s="47"/>
      <c r="E299" s="47"/>
      <c r="F299" s="47"/>
      <c r="G299" s="47"/>
      <c r="H299" s="47"/>
      <c r="I299" s="47"/>
      <c r="J299" s="47"/>
      <c r="K299" s="47"/>
      <c r="L299" s="47"/>
      <c r="X299" s="47"/>
    </row>
    <row r="300" spans="1:24" x14ac:dyDescent="0.2">
      <c r="A300" s="47"/>
      <c r="B300" s="47"/>
      <c r="C300" s="47"/>
      <c r="D300" s="47"/>
      <c r="E300" s="47"/>
      <c r="F300" s="47"/>
      <c r="G300" s="47"/>
      <c r="H300" s="47"/>
      <c r="I300" s="47"/>
      <c r="J300" s="47"/>
      <c r="K300" s="47"/>
      <c r="L300" s="47"/>
      <c r="X300" s="47"/>
    </row>
    <row r="301" spans="1:24" x14ac:dyDescent="0.2">
      <c r="A301" s="47"/>
      <c r="B301" s="47"/>
      <c r="C301" s="47"/>
      <c r="D301" s="47"/>
      <c r="E301" s="47"/>
      <c r="F301" s="47"/>
      <c r="G301" s="47"/>
      <c r="H301" s="47"/>
      <c r="I301" s="47"/>
      <c r="J301" s="47"/>
      <c r="K301" s="47"/>
      <c r="L301" s="47"/>
      <c r="X301" s="47"/>
    </row>
    <row r="302" spans="1:24" x14ac:dyDescent="0.2">
      <c r="A302" s="47"/>
      <c r="B302" s="47"/>
      <c r="C302" s="47"/>
      <c r="D302" s="47"/>
      <c r="E302" s="47"/>
      <c r="F302" s="47"/>
      <c r="G302" s="47"/>
      <c r="H302" s="47"/>
      <c r="I302" s="47"/>
      <c r="J302" s="47"/>
      <c r="K302" s="47"/>
      <c r="L302" s="47"/>
      <c r="X302" s="47"/>
    </row>
    <row r="303" spans="1:24" x14ac:dyDescent="0.2">
      <c r="A303" s="47"/>
      <c r="B303" s="47"/>
      <c r="C303" s="47"/>
      <c r="D303" s="47"/>
      <c r="E303" s="47"/>
      <c r="F303" s="47"/>
      <c r="G303" s="47"/>
      <c r="H303" s="47"/>
      <c r="I303" s="47"/>
      <c r="J303" s="47"/>
      <c r="K303" s="47"/>
      <c r="L303" s="47"/>
      <c r="X303" s="47"/>
    </row>
    <row r="304" spans="1:24" x14ac:dyDescent="0.2">
      <c r="A304" s="47"/>
      <c r="B304" s="47"/>
      <c r="C304" s="47"/>
      <c r="D304" s="47"/>
      <c r="E304" s="47"/>
      <c r="F304" s="47"/>
      <c r="G304" s="47"/>
      <c r="H304" s="47"/>
      <c r="I304" s="47"/>
      <c r="J304" s="47"/>
      <c r="K304" s="47"/>
      <c r="L304" s="47"/>
      <c r="X304" s="47"/>
    </row>
    <row r="305" spans="1:24" x14ac:dyDescent="0.2">
      <c r="A305" s="47"/>
      <c r="B305" s="47"/>
      <c r="C305" s="47"/>
      <c r="D305" s="47"/>
      <c r="E305" s="47"/>
      <c r="F305" s="47"/>
      <c r="G305" s="47"/>
      <c r="H305" s="47"/>
      <c r="I305" s="47"/>
      <c r="J305" s="47"/>
      <c r="K305" s="47"/>
      <c r="L305" s="47"/>
      <c r="X305" s="47"/>
    </row>
    <row r="306" spans="1:24" x14ac:dyDescent="0.2">
      <c r="A306" s="47"/>
      <c r="B306" s="47"/>
      <c r="C306" s="47"/>
      <c r="D306" s="47"/>
      <c r="E306" s="47"/>
      <c r="F306" s="47"/>
      <c r="G306" s="47"/>
      <c r="H306" s="47"/>
      <c r="I306" s="47"/>
      <c r="J306" s="47"/>
      <c r="K306" s="47"/>
      <c r="L306" s="47"/>
      <c r="X306" s="47"/>
    </row>
    <row r="307" spans="1:24" x14ac:dyDescent="0.2">
      <c r="A307" s="47"/>
      <c r="B307" s="47"/>
      <c r="C307" s="47"/>
      <c r="D307" s="47"/>
      <c r="E307" s="47"/>
      <c r="F307" s="47"/>
      <c r="G307" s="47"/>
      <c r="H307" s="47"/>
      <c r="I307" s="47"/>
      <c r="J307" s="47"/>
      <c r="K307" s="47"/>
      <c r="L307" s="47"/>
      <c r="X307" s="47"/>
    </row>
    <row r="308" spans="1:24" x14ac:dyDescent="0.2">
      <c r="A308" s="47"/>
      <c r="B308" s="47"/>
      <c r="C308" s="47"/>
      <c r="D308" s="47"/>
      <c r="E308" s="47"/>
      <c r="F308" s="47"/>
      <c r="G308" s="47"/>
      <c r="H308" s="47"/>
      <c r="I308" s="47"/>
      <c r="J308" s="47"/>
      <c r="K308" s="47"/>
      <c r="L308" s="47"/>
      <c r="X308" s="47"/>
    </row>
    <row r="309" spans="1:24" x14ac:dyDescent="0.2">
      <c r="A309" s="47"/>
      <c r="B309" s="47"/>
      <c r="C309" s="47"/>
      <c r="D309" s="47"/>
      <c r="E309" s="47"/>
      <c r="F309" s="47"/>
      <c r="G309" s="47"/>
      <c r="H309" s="47"/>
      <c r="I309" s="47"/>
      <c r="J309" s="47"/>
      <c r="K309" s="47"/>
      <c r="L309" s="47"/>
      <c r="X309" s="47"/>
    </row>
    <row r="310" spans="1:24" x14ac:dyDescent="0.2">
      <c r="A310" s="47"/>
      <c r="B310" s="47"/>
      <c r="C310" s="47"/>
      <c r="D310" s="47"/>
      <c r="E310" s="47"/>
      <c r="F310" s="47"/>
      <c r="G310" s="47"/>
      <c r="H310" s="47"/>
      <c r="I310" s="47"/>
      <c r="J310" s="47"/>
      <c r="K310" s="47"/>
      <c r="L310" s="47"/>
      <c r="X310" s="47"/>
    </row>
    <row r="311" spans="1:24" x14ac:dyDescent="0.2">
      <c r="A311" s="47"/>
      <c r="B311" s="47"/>
      <c r="C311" s="47"/>
      <c r="D311" s="47"/>
      <c r="E311" s="47"/>
      <c r="F311" s="47"/>
      <c r="G311" s="47"/>
      <c r="H311" s="47"/>
      <c r="I311" s="47"/>
      <c r="J311" s="47"/>
      <c r="K311" s="47"/>
      <c r="L311" s="47"/>
      <c r="X311" s="47"/>
    </row>
    <row r="312" spans="1:24" x14ac:dyDescent="0.2">
      <c r="A312" s="47"/>
      <c r="B312" s="47"/>
      <c r="C312" s="47"/>
      <c r="D312" s="47"/>
      <c r="E312" s="47"/>
      <c r="F312" s="47"/>
      <c r="G312" s="47"/>
      <c r="H312" s="47"/>
      <c r="I312" s="47"/>
      <c r="J312" s="47"/>
      <c r="K312" s="47"/>
      <c r="L312" s="47"/>
      <c r="X312" s="47"/>
    </row>
    <row r="313" spans="1:24" x14ac:dyDescent="0.2">
      <c r="A313" s="47"/>
      <c r="B313" s="47"/>
      <c r="C313" s="47"/>
      <c r="D313" s="47"/>
      <c r="E313" s="47"/>
      <c r="F313" s="47"/>
      <c r="G313" s="47"/>
      <c r="H313" s="47"/>
      <c r="I313" s="47"/>
      <c r="J313" s="47"/>
      <c r="K313" s="47"/>
      <c r="L313" s="47"/>
      <c r="X313" s="47"/>
    </row>
    <row r="314" spans="1:24" x14ac:dyDescent="0.2">
      <c r="A314" s="47"/>
      <c r="B314" s="47"/>
      <c r="C314" s="47"/>
      <c r="D314" s="47"/>
      <c r="E314" s="47"/>
      <c r="F314" s="47"/>
      <c r="G314" s="47"/>
      <c r="H314" s="47"/>
      <c r="I314" s="47"/>
      <c r="J314" s="47"/>
      <c r="K314" s="47"/>
      <c r="L314" s="47"/>
      <c r="X314" s="47"/>
    </row>
    <row r="315" spans="1:24" x14ac:dyDescent="0.2">
      <c r="A315" s="47"/>
      <c r="B315" s="47"/>
      <c r="C315" s="47"/>
      <c r="D315" s="47"/>
      <c r="E315" s="47"/>
      <c r="F315" s="47"/>
      <c r="G315" s="47"/>
      <c r="H315" s="47"/>
      <c r="I315" s="47"/>
      <c r="J315" s="47"/>
      <c r="K315" s="47"/>
      <c r="L315" s="47"/>
      <c r="X315" s="47"/>
    </row>
    <row r="316" spans="1:24" x14ac:dyDescent="0.2">
      <c r="A316" s="47"/>
      <c r="B316" s="47"/>
      <c r="C316" s="47"/>
      <c r="D316" s="47"/>
      <c r="E316" s="47"/>
      <c r="F316" s="47"/>
      <c r="G316" s="47"/>
      <c r="H316" s="47"/>
      <c r="I316" s="47"/>
      <c r="J316" s="47"/>
      <c r="K316" s="47"/>
      <c r="L316" s="47"/>
      <c r="X316" s="47"/>
    </row>
    <row r="317" spans="1:24" x14ac:dyDescent="0.2">
      <c r="A317" s="47"/>
      <c r="B317" s="47"/>
      <c r="C317" s="47"/>
      <c r="D317" s="47"/>
      <c r="E317" s="47"/>
      <c r="F317" s="47"/>
      <c r="G317" s="47"/>
      <c r="H317" s="47"/>
      <c r="I317" s="47"/>
      <c r="J317" s="47"/>
      <c r="K317" s="47"/>
      <c r="L317" s="47"/>
      <c r="X317" s="47"/>
    </row>
    <row r="318" spans="1:24" x14ac:dyDescent="0.2">
      <c r="A318" s="47"/>
      <c r="B318" s="47"/>
      <c r="C318" s="47"/>
      <c r="D318" s="47"/>
      <c r="E318" s="47"/>
      <c r="F318" s="47"/>
      <c r="G318" s="47"/>
      <c r="H318" s="47"/>
      <c r="I318" s="47"/>
      <c r="J318" s="47"/>
      <c r="K318" s="47"/>
      <c r="L318" s="47"/>
      <c r="X318" s="47"/>
    </row>
    <row r="319" spans="1:24" x14ac:dyDescent="0.2">
      <c r="A319" s="47"/>
      <c r="B319" s="47"/>
      <c r="C319" s="47"/>
      <c r="D319" s="47"/>
      <c r="E319" s="47"/>
      <c r="F319" s="47"/>
      <c r="G319" s="47"/>
      <c r="H319" s="47"/>
      <c r="I319" s="47"/>
      <c r="J319" s="47"/>
      <c r="K319" s="47"/>
      <c r="L319" s="47"/>
      <c r="X319" s="47"/>
    </row>
    <row r="320" spans="1:24" x14ac:dyDescent="0.2">
      <c r="A320" s="47"/>
      <c r="B320" s="47"/>
      <c r="C320" s="47"/>
      <c r="D320" s="47"/>
      <c r="E320" s="47"/>
      <c r="F320" s="47"/>
      <c r="G320" s="47"/>
      <c r="H320" s="47"/>
      <c r="I320" s="47"/>
      <c r="J320" s="47"/>
      <c r="K320" s="47"/>
      <c r="L320" s="47"/>
      <c r="X320" s="47"/>
    </row>
    <row r="321" spans="1:24" x14ac:dyDescent="0.2">
      <c r="A321" s="47"/>
      <c r="B321" s="47"/>
      <c r="C321" s="47"/>
      <c r="D321" s="47"/>
      <c r="E321" s="47"/>
      <c r="F321" s="47"/>
      <c r="G321" s="47"/>
      <c r="H321" s="47"/>
      <c r="I321" s="47"/>
      <c r="J321" s="47"/>
      <c r="K321" s="47"/>
      <c r="L321" s="47"/>
      <c r="X321" s="47"/>
    </row>
    <row r="322" spans="1:24" x14ac:dyDescent="0.2">
      <c r="A322" s="47"/>
      <c r="B322" s="47"/>
      <c r="C322" s="47"/>
      <c r="D322" s="47"/>
      <c r="E322" s="47"/>
      <c r="F322" s="47"/>
      <c r="G322" s="47"/>
      <c r="H322" s="47"/>
      <c r="I322" s="47"/>
      <c r="J322" s="47"/>
      <c r="K322" s="47"/>
      <c r="L322" s="47"/>
      <c r="X322" s="47"/>
    </row>
    <row r="323" spans="1:24" x14ac:dyDescent="0.2">
      <c r="A323" s="47"/>
      <c r="B323" s="47"/>
      <c r="C323" s="47"/>
      <c r="D323" s="47"/>
      <c r="E323" s="47"/>
      <c r="F323" s="47"/>
      <c r="G323" s="47"/>
      <c r="H323" s="47"/>
      <c r="I323" s="47"/>
      <c r="J323" s="47"/>
      <c r="K323" s="47"/>
      <c r="L323" s="47"/>
      <c r="X323" s="47"/>
    </row>
    <row r="324" spans="1:24" x14ac:dyDescent="0.2">
      <c r="A324" s="47"/>
      <c r="B324" s="47"/>
      <c r="C324" s="47"/>
      <c r="D324" s="47"/>
      <c r="E324" s="47"/>
      <c r="F324" s="47"/>
      <c r="G324" s="47"/>
      <c r="H324" s="47"/>
      <c r="I324" s="47"/>
      <c r="J324" s="47"/>
      <c r="K324" s="47"/>
      <c r="L324" s="47"/>
      <c r="X324" s="47"/>
    </row>
    <row r="325" spans="1:24" x14ac:dyDescent="0.2">
      <c r="A325" s="47"/>
      <c r="B325" s="47"/>
      <c r="C325" s="47"/>
      <c r="D325" s="47"/>
      <c r="E325" s="47"/>
      <c r="F325" s="47"/>
      <c r="G325" s="47"/>
      <c r="H325" s="47"/>
      <c r="I325" s="47"/>
      <c r="J325" s="47"/>
      <c r="K325" s="47"/>
      <c r="L325" s="47"/>
      <c r="X325" s="47"/>
    </row>
    <row r="326" spans="1:24" x14ac:dyDescent="0.2">
      <c r="A326" s="47"/>
      <c r="B326" s="47"/>
      <c r="C326" s="47"/>
      <c r="D326" s="47"/>
      <c r="E326" s="47"/>
      <c r="F326" s="47"/>
      <c r="G326" s="47"/>
      <c r="H326" s="47"/>
      <c r="I326" s="47"/>
      <c r="J326" s="47"/>
      <c r="K326" s="47"/>
      <c r="L326" s="47"/>
      <c r="X326" s="47"/>
    </row>
    <row r="327" spans="1:24" x14ac:dyDescent="0.2">
      <c r="A327" s="47"/>
      <c r="B327" s="47"/>
      <c r="C327" s="47"/>
      <c r="D327" s="47"/>
      <c r="E327" s="47"/>
      <c r="F327" s="47"/>
      <c r="G327" s="47"/>
      <c r="H327" s="47"/>
      <c r="I327" s="47"/>
      <c r="J327" s="47"/>
      <c r="K327" s="47"/>
      <c r="L327" s="47"/>
      <c r="X327" s="47"/>
    </row>
    <row r="328" spans="1:24" x14ac:dyDescent="0.2">
      <c r="A328" s="47"/>
      <c r="B328" s="47"/>
      <c r="C328" s="47"/>
      <c r="D328" s="47"/>
      <c r="E328" s="47"/>
      <c r="F328" s="47"/>
      <c r="G328" s="47"/>
      <c r="H328" s="47"/>
      <c r="I328" s="47"/>
      <c r="J328" s="47"/>
      <c r="K328" s="47"/>
      <c r="L328" s="47"/>
      <c r="X328" s="47"/>
    </row>
    <row r="329" spans="1:24" x14ac:dyDescent="0.2">
      <c r="A329" s="47"/>
      <c r="B329" s="47"/>
      <c r="C329" s="47"/>
      <c r="D329" s="47"/>
      <c r="E329" s="47"/>
      <c r="F329" s="47"/>
      <c r="G329" s="47"/>
      <c r="H329" s="47"/>
      <c r="I329" s="47"/>
      <c r="J329" s="47"/>
      <c r="K329" s="47"/>
      <c r="L329" s="47"/>
      <c r="X329" s="47"/>
    </row>
    <row r="330" spans="1:24" x14ac:dyDescent="0.2">
      <c r="A330" s="47"/>
      <c r="B330" s="47"/>
      <c r="C330" s="47"/>
      <c r="D330" s="47"/>
      <c r="E330" s="47"/>
      <c r="F330" s="47"/>
      <c r="G330" s="47"/>
      <c r="H330" s="47"/>
      <c r="I330" s="47"/>
      <c r="J330" s="47"/>
      <c r="K330" s="47"/>
      <c r="L330" s="47"/>
      <c r="X330" s="47"/>
    </row>
    <row r="331" spans="1:24" x14ac:dyDescent="0.2">
      <c r="A331" s="47"/>
      <c r="B331" s="47"/>
      <c r="C331" s="47"/>
      <c r="D331" s="47"/>
      <c r="E331" s="47"/>
      <c r="F331" s="47"/>
      <c r="G331" s="47"/>
      <c r="H331" s="47"/>
      <c r="I331" s="47"/>
      <c r="J331" s="47"/>
      <c r="K331" s="47"/>
      <c r="L331" s="47"/>
      <c r="X331" s="47"/>
    </row>
    <row r="332" spans="1:24" x14ac:dyDescent="0.2">
      <c r="A332" s="47"/>
      <c r="B332" s="47"/>
      <c r="C332" s="47"/>
      <c r="D332" s="47"/>
      <c r="E332" s="47"/>
      <c r="F332" s="47"/>
      <c r="G332" s="47"/>
      <c r="H332" s="47"/>
      <c r="I332" s="47"/>
      <c r="J332" s="47"/>
      <c r="K332" s="47"/>
      <c r="L332" s="47"/>
      <c r="X332" s="47"/>
    </row>
    <row r="333" spans="1:24" x14ac:dyDescent="0.2">
      <c r="A333" s="47"/>
      <c r="B333" s="47"/>
      <c r="C333" s="47"/>
      <c r="D333" s="47"/>
      <c r="E333" s="47"/>
      <c r="F333" s="47"/>
      <c r="G333" s="47"/>
      <c r="H333" s="47"/>
      <c r="I333" s="47"/>
      <c r="J333" s="47"/>
      <c r="K333" s="47"/>
      <c r="L333" s="47"/>
      <c r="X333" s="47"/>
    </row>
    <row r="334" spans="1:24" x14ac:dyDescent="0.2">
      <c r="A334" s="47"/>
      <c r="B334" s="47"/>
      <c r="C334" s="47"/>
      <c r="D334" s="47"/>
      <c r="E334" s="47"/>
      <c r="F334" s="47"/>
      <c r="G334" s="47"/>
      <c r="H334" s="47"/>
      <c r="I334" s="47"/>
      <c r="J334" s="47"/>
      <c r="K334" s="47"/>
      <c r="L334" s="47"/>
      <c r="X334" s="47"/>
    </row>
    <row r="335" spans="1:24" x14ac:dyDescent="0.2">
      <c r="A335" s="47"/>
      <c r="B335" s="47"/>
      <c r="C335" s="47"/>
      <c r="D335" s="47"/>
      <c r="E335" s="47"/>
      <c r="F335" s="47"/>
      <c r="G335" s="47"/>
      <c r="H335" s="47"/>
      <c r="I335" s="47"/>
      <c r="J335" s="47"/>
      <c r="K335" s="47"/>
      <c r="L335" s="47"/>
      <c r="X335" s="47"/>
    </row>
    <row r="336" spans="1:24" x14ac:dyDescent="0.2">
      <c r="A336" s="47"/>
      <c r="B336" s="47"/>
      <c r="C336" s="47"/>
      <c r="D336" s="47"/>
      <c r="E336" s="47"/>
      <c r="F336" s="47"/>
      <c r="G336" s="47"/>
      <c r="H336" s="47"/>
      <c r="I336" s="47"/>
      <c r="J336" s="47"/>
      <c r="K336" s="47"/>
      <c r="L336" s="47"/>
      <c r="X336" s="47"/>
    </row>
    <row r="337" spans="1:24" x14ac:dyDescent="0.2">
      <c r="A337" s="47"/>
      <c r="B337" s="47"/>
      <c r="C337" s="47"/>
      <c r="D337" s="47"/>
      <c r="E337" s="47"/>
      <c r="F337" s="47"/>
      <c r="G337" s="47"/>
      <c r="H337" s="47"/>
      <c r="I337" s="47"/>
      <c r="J337" s="47"/>
      <c r="K337" s="47"/>
      <c r="L337" s="47"/>
      <c r="X337" s="47"/>
    </row>
    <row r="338" spans="1:24" x14ac:dyDescent="0.2">
      <c r="A338" s="47"/>
      <c r="B338" s="47"/>
      <c r="C338" s="47"/>
      <c r="D338" s="47"/>
      <c r="E338" s="47"/>
      <c r="F338" s="47"/>
      <c r="G338" s="47"/>
      <c r="H338" s="47"/>
      <c r="I338" s="47"/>
      <c r="J338" s="47"/>
      <c r="K338" s="47"/>
      <c r="L338" s="47"/>
      <c r="X338" s="47"/>
    </row>
    <row r="339" spans="1:24" x14ac:dyDescent="0.2">
      <c r="A339" s="47"/>
      <c r="B339" s="47"/>
      <c r="C339" s="47"/>
      <c r="D339" s="47"/>
      <c r="E339" s="47"/>
      <c r="F339" s="47"/>
      <c r="G339" s="47"/>
      <c r="H339" s="47"/>
      <c r="I339" s="47"/>
      <c r="J339" s="47"/>
      <c r="K339" s="47"/>
      <c r="L339" s="47"/>
      <c r="X339" s="47"/>
    </row>
    <row r="340" spans="1:24" x14ac:dyDescent="0.2">
      <c r="A340" s="47"/>
      <c r="B340" s="47"/>
      <c r="C340" s="47"/>
      <c r="D340" s="47"/>
      <c r="E340" s="47"/>
      <c r="F340" s="47"/>
      <c r="G340" s="47"/>
      <c r="H340" s="47"/>
      <c r="I340" s="47"/>
      <c r="J340" s="47"/>
      <c r="K340" s="47"/>
      <c r="L340" s="47"/>
      <c r="X340" s="47"/>
    </row>
    <row r="341" spans="1:24" x14ac:dyDescent="0.2">
      <c r="A341" s="47"/>
      <c r="B341" s="47"/>
      <c r="C341" s="47"/>
      <c r="D341" s="47"/>
      <c r="E341" s="47"/>
      <c r="F341" s="47"/>
      <c r="G341" s="47"/>
      <c r="H341" s="47"/>
      <c r="I341" s="47"/>
      <c r="J341" s="47"/>
      <c r="K341" s="47"/>
      <c r="L341" s="47"/>
      <c r="X341" s="47"/>
    </row>
    <row r="342" spans="1:24" x14ac:dyDescent="0.2">
      <c r="A342" s="47"/>
      <c r="B342" s="47"/>
      <c r="C342" s="47"/>
      <c r="D342" s="47"/>
      <c r="E342" s="47"/>
      <c r="F342" s="47"/>
      <c r="G342" s="47"/>
      <c r="H342" s="47"/>
      <c r="I342" s="47"/>
      <c r="J342" s="47"/>
      <c r="K342" s="47"/>
      <c r="L342" s="47"/>
      <c r="X342" s="47"/>
    </row>
    <row r="343" spans="1:24" x14ac:dyDescent="0.2">
      <c r="A343" s="47"/>
      <c r="B343" s="47"/>
      <c r="C343" s="47"/>
      <c r="D343" s="47"/>
      <c r="E343" s="47"/>
      <c r="F343" s="47"/>
      <c r="G343" s="47"/>
      <c r="H343" s="47"/>
      <c r="I343" s="47"/>
      <c r="J343" s="47"/>
      <c r="K343" s="47"/>
      <c r="L343" s="47"/>
      <c r="X343" s="47"/>
    </row>
    <row r="344" spans="1:24" x14ac:dyDescent="0.2">
      <c r="A344" s="47"/>
      <c r="B344" s="47"/>
      <c r="C344" s="47"/>
      <c r="D344" s="47"/>
      <c r="E344" s="47"/>
      <c r="F344" s="47"/>
      <c r="G344" s="47"/>
      <c r="H344" s="47"/>
      <c r="I344" s="47"/>
      <c r="J344" s="47"/>
      <c r="K344" s="47"/>
      <c r="L344" s="47"/>
      <c r="X344" s="47"/>
    </row>
    <row r="345" spans="1:24" x14ac:dyDescent="0.2">
      <c r="A345" s="47"/>
      <c r="B345" s="47"/>
      <c r="C345" s="47"/>
      <c r="D345" s="47"/>
      <c r="E345" s="47"/>
      <c r="F345" s="47"/>
      <c r="G345" s="47"/>
      <c r="H345" s="47"/>
      <c r="I345" s="47"/>
      <c r="J345" s="47"/>
      <c r="K345" s="47"/>
      <c r="L345" s="47"/>
      <c r="X345" s="47"/>
    </row>
    <row r="346" spans="1:24" x14ac:dyDescent="0.2">
      <c r="A346" s="47"/>
      <c r="B346" s="47"/>
      <c r="C346" s="47"/>
      <c r="D346" s="47"/>
      <c r="E346" s="47"/>
      <c r="F346" s="47"/>
      <c r="G346" s="47"/>
      <c r="H346" s="47"/>
      <c r="I346" s="47"/>
      <c r="J346" s="47"/>
      <c r="K346" s="47"/>
      <c r="L346" s="47"/>
      <c r="X346" s="47"/>
    </row>
    <row r="347" spans="1:24" x14ac:dyDescent="0.2">
      <c r="A347" s="47"/>
      <c r="B347" s="47"/>
      <c r="C347" s="47"/>
      <c r="D347" s="47"/>
      <c r="E347" s="47"/>
      <c r="F347" s="47"/>
      <c r="G347" s="47"/>
      <c r="H347" s="47"/>
      <c r="I347" s="47"/>
      <c r="J347" s="47"/>
      <c r="K347" s="47"/>
      <c r="L347" s="47"/>
      <c r="X347" s="47"/>
    </row>
    <row r="348" spans="1:24" x14ac:dyDescent="0.2">
      <c r="A348" s="47"/>
      <c r="B348" s="47"/>
      <c r="C348" s="47"/>
      <c r="D348" s="47"/>
      <c r="E348" s="47"/>
      <c r="F348" s="47"/>
      <c r="G348" s="47"/>
      <c r="H348" s="47"/>
      <c r="I348" s="47"/>
      <c r="J348" s="47"/>
      <c r="K348" s="47"/>
      <c r="L348" s="47"/>
      <c r="X348" s="47"/>
    </row>
    <row r="349" spans="1:24" x14ac:dyDescent="0.2">
      <c r="A349" s="47"/>
      <c r="B349" s="47"/>
      <c r="C349" s="47"/>
      <c r="D349" s="47"/>
      <c r="E349" s="47"/>
      <c r="F349" s="47"/>
      <c r="G349" s="47"/>
      <c r="H349" s="47"/>
      <c r="I349" s="47"/>
      <c r="J349" s="47"/>
      <c r="K349" s="47"/>
      <c r="L349" s="47"/>
      <c r="X349" s="47"/>
    </row>
    <row r="350" spans="1:24" x14ac:dyDescent="0.2">
      <c r="A350" s="47"/>
      <c r="B350" s="47"/>
      <c r="C350" s="47"/>
      <c r="D350" s="47"/>
      <c r="E350" s="47"/>
      <c r="F350" s="47"/>
      <c r="G350" s="47"/>
      <c r="H350" s="47"/>
      <c r="I350" s="47"/>
      <c r="J350" s="47"/>
      <c r="K350" s="47"/>
      <c r="L350" s="47"/>
      <c r="X350" s="47"/>
    </row>
    <row r="351" spans="1:24" x14ac:dyDescent="0.2">
      <c r="A351" s="47"/>
      <c r="B351" s="47"/>
      <c r="C351" s="47"/>
      <c r="D351" s="47"/>
      <c r="E351" s="47"/>
      <c r="F351" s="47"/>
      <c r="G351" s="47"/>
      <c r="H351" s="47"/>
      <c r="I351" s="47"/>
      <c r="J351" s="47"/>
      <c r="K351" s="47"/>
      <c r="L351" s="47"/>
      <c r="X351" s="47"/>
    </row>
    <row r="352" spans="1:24" x14ac:dyDescent="0.2">
      <c r="A352" s="47"/>
      <c r="B352" s="47"/>
      <c r="C352" s="47"/>
      <c r="D352" s="47"/>
      <c r="E352" s="47"/>
      <c r="F352" s="47"/>
      <c r="G352" s="47"/>
      <c r="H352" s="47"/>
      <c r="I352" s="47"/>
      <c r="J352" s="47"/>
      <c r="K352" s="47"/>
      <c r="L352" s="47"/>
      <c r="X352" s="47"/>
    </row>
    <row r="353" spans="1:24" x14ac:dyDescent="0.2">
      <c r="A353" s="47"/>
      <c r="B353" s="47"/>
      <c r="C353" s="47"/>
      <c r="D353" s="47"/>
      <c r="E353" s="47"/>
      <c r="F353" s="47"/>
      <c r="G353" s="47"/>
      <c r="H353" s="47"/>
      <c r="I353" s="47"/>
      <c r="J353" s="47"/>
      <c r="K353" s="47"/>
      <c r="L353" s="47"/>
      <c r="X353" s="47"/>
    </row>
    <row r="354" spans="1:24" x14ac:dyDescent="0.2">
      <c r="A354" s="47"/>
      <c r="B354" s="47"/>
      <c r="C354" s="47"/>
      <c r="D354" s="47"/>
      <c r="E354" s="47"/>
      <c r="F354" s="47"/>
      <c r="G354" s="47"/>
      <c r="H354" s="47"/>
      <c r="I354" s="47"/>
      <c r="J354" s="47"/>
      <c r="K354" s="47"/>
      <c r="L354" s="47"/>
      <c r="X354" s="47"/>
    </row>
    <row r="355" spans="1:24" x14ac:dyDescent="0.2">
      <c r="A355" s="47"/>
      <c r="B355" s="47"/>
      <c r="C355" s="47"/>
      <c r="D355" s="47"/>
      <c r="E355" s="47"/>
      <c r="F355" s="47"/>
      <c r="G355" s="47"/>
      <c r="H355" s="47"/>
      <c r="I355" s="47"/>
      <c r="J355" s="47"/>
      <c r="K355" s="47"/>
      <c r="L355" s="47"/>
      <c r="X355" s="47"/>
    </row>
    <row r="356" spans="1:24" x14ac:dyDescent="0.2">
      <c r="A356" s="47"/>
      <c r="B356" s="47"/>
      <c r="C356" s="47"/>
      <c r="D356" s="47"/>
      <c r="E356" s="47"/>
      <c r="F356" s="47"/>
      <c r="G356" s="47"/>
      <c r="H356" s="47"/>
      <c r="I356" s="47"/>
      <c r="J356" s="47"/>
      <c r="K356" s="47"/>
      <c r="L356" s="47"/>
      <c r="X356" s="47"/>
    </row>
  </sheetData>
  <phoneticPr fontId="10" type="noConversion"/>
  <dataValidations count="1">
    <dataValidation type="list" allowBlank="1" showInputMessage="1" showErrorMessage="1" sqref="E5:Y5">
      <formula1>index_ahu</formula1>
    </dataValidation>
  </dataValidations>
  <pageMargins left="0.75" right="0.75" top="1" bottom="1" header="0.4921259845" footer="0.4921259845"/>
  <pageSetup paperSize="8" orientation="landscape" horizontalDpi="4294967292" verticalDpi="300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121" r:id="rId4" name="Button 1">
              <controlPr defaultSize="0" print="0" autoFill="0" autoPict="0" macro="[0]!Template_Show">
                <anchor moveWithCells="1" sizeWithCells="1">
                  <from>
                    <xdr:col>11</xdr:col>
                    <xdr:colOff>447675</xdr:colOff>
                    <xdr:row>0</xdr:row>
                    <xdr:rowOff>38100</xdr:rowOff>
                  </from>
                  <to>
                    <xdr:col>13</xdr:col>
                    <xdr:colOff>323850</xdr:colOff>
                    <xdr:row>1</xdr:row>
                    <xdr:rowOff>57150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1"/>
  <dimension ref="A1:G6"/>
  <sheetViews>
    <sheetView workbookViewId="0">
      <selection activeCell="B6" sqref="B6"/>
    </sheetView>
  </sheetViews>
  <sheetFormatPr defaultRowHeight="12.75" x14ac:dyDescent="0.2"/>
  <cols>
    <col min="1" max="1" width="14.85546875" bestFit="1" customWidth="1"/>
    <col min="2" max="2" width="13" bestFit="1" customWidth="1"/>
    <col min="3" max="3" width="13.5703125" bestFit="1" customWidth="1"/>
    <col min="4" max="4" width="13.140625" bestFit="1" customWidth="1"/>
    <col min="5" max="5" width="14.28515625" bestFit="1" customWidth="1"/>
    <col min="6" max="6" width="12.85546875" bestFit="1" customWidth="1"/>
    <col min="7" max="8" width="12.28515625" bestFit="1" customWidth="1"/>
    <col min="9" max="9" width="16" customWidth="1"/>
    <col min="10" max="10" width="12.85546875" customWidth="1"/>
    <col min="11" max="11" width="19.7109375" customWidth="1"/>
    <col min="12" max="12" width="14.140625" customWidth="1"/>
    <col min="13" max="13" width="15.28515625" customWidth="1"/>
    <col min="14" max="14" width="16" customWidth="1"/>
    <col min="15" max="15" width="12.85546875" customWidth="1"/>
    <col min="16" max="16" width="19.7109375" customWidth="1"/>
    <col min="17" max="17" width="14.140625" customWidth="1"/>
    <col min="18" max="18" width="15.28515625" customWidth="1"/>
    <col min="19" max="19" width="16" customWidth="1"/>
    <col min="20" max="20" width="12.85546875" customWidth="1"/>
    <col min="21" max="21" width="19.7109375" customWidth="1"/>
    <col min="22" max="22" width="14.140625" customWidth="1"/>
    <col min="23" max="23" width="15.28515625" customWidth="1"/>
    <col min="24" max="24" width="16" customWidth="1"/>
    <col min="25" max="25" width="11.140625" customWidth="1"/>
  </cols>
  <sheetData>
    <row r="1" spans="1:7" x14ac:dyDescent="0.2">
      <c r="A1" t="s">
        <v>186</v>
      </c>
      <c r="B1" t="s">
        <v>187</v>
      </c>
      <c r="C1" t="s">
        <v>188</v>
      </c>
      <c r="D1" t="s">
        <v>189</v>
      </c>
      <c r="E1" t="s">
        <v>190</v>
      </c>
      <c r="F1" t="s">
        <v>191</v>
      </c>
      <c r="G1" t="s">
        <v>192</v>
      </c>
    </row>
    <row r="2" spans="1:7" x14ac:dyDescent="0.2">
      <c r="A2" t="s">
        <v>154</v>
      </c>
      <c r="B2">
        <v>9579.2799999999988</v>
      </c>
      <c r="C2">
        <v>7355.4600000000009</v>
      </c>
      <c r="D2">
        <v>9579.2799999999988</v>
      </c>
      <c r="E2">
        <v>2223.8200000000002</v>
      </c>
      <c r="F2">
        <v>23</v>
      </c>
      <c r="G2">
        <v>20</v>
      </c>
    </row>
    <row r="3" spans="1:7" x14ac:dyDescent="0.2">
      <c r="A3" t="s">
        <v>155</v>
      </c>
      <c r="B3">
        <v>9602.35</v>
      </c>
      <c r="C3">
        <v>7369.7699999999995</v>
      </c>
      <c r="D3">
        <v>9602.35</v>
      </c>
      <c r="E3">
        <v>2232.59</v>
      </c>
      <c r="F3">
        <v>23</v>
      </c>
      <c r="G3">
        <v>20</v>
      </c>
    </row>
    <row r="4" spans="1:7" x14ac:dyDescent="0.2">
      <c r="A4" t="s">
        <v>156</v>
      </c>
      <c r="B4">
        <v>9546.380000000001</v>
      </c>
      <c r="C4">
        <v>7342.79</v>
      </c>
      <c r="D4">
        <v>9546.380000000001</v>
      </c>
      <c r="E4">
        <v>2203.6</v>
      </c>
      <c r="F4">
        <v>23</v>
      </c>
      <c r="G4">
        <v>20</v>
      </c>
    </row>
    <row r="5" spans="1:7" x14ac:dyDescent="0.2">
      <c r="A5" t="s">
        <v>157</v>
      </c>
      <c r="B5">
        <v>9579.2799999999988</v>
      </c>
      <c r="C5">
        <v>7355.46</v>
      </c>
      <c r="D5">
        <v>9579.2799999999988</v>
      </c>
      <c r="E5">
        <v>2223.8200000000002</v>
      </c>
      <c r="F5">
        <v>23</v>
      </c>
      <c r="G5">
        <v>20</v>
      </c>
    </row>
    <row r="6" spans="1:7" x14ac:dyDescent="0.2">
      <c r="A6" t="s">
        <v>193</v>
      </c>
      <c r="B6">
        <v>38307.29</v>
      </c>
      <c r="C6">
        <v>29423.480000000003</v>
      </c>
      <c r="D6">
        <v>38307.29</v>
      </c>
      <c r="E6">
        <v>8883.8300000000017</v>
      </c>
      <c r="F6">
        <v>23</v>
      </c>
      <c r="G6">
        <v>20</v>
      </c>
    </row>
  </sheetData>
  <pageMargins left="0.7" right="0.7" top="0.75" bottom="0.75" header="0.3" footer="0.3"/>
  <pageSetup paperSize="9" orientation="portrait" horizontalDpi="300" verticalDpi="0" copies="0" r:id="rId1"/>
  <tableParts count="1">
    <tablePart r:id="rId2"/>
  </tableParts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3"/>
  <dimension ref="A1:C21"/>
  <sheetViews>
    <sheetView workbookViewId="0">
      <selection activeCell="I28" sqref="I28"/>
    </sheetView>
  </sheetViews>
  <sheetFormatPr defaultRowHeight="12.75" x14ac:dyDescent="0.2"/>
  <cols>
    <col min="1" max="1" width="12.28515625" style="84" customWidth="1"/>
  </cols>
  <sheetData>
    <row r="1" spans="1:3" x14ac:dyDescent="0.2">
      <c r="A1" s="84" t="s">
        <v>163</v>
      </c>
      <c r="C1" s="89"/>
    </row>
    <row r="2" spans="1:3" x14ac:dyDescent="0.2">
      <c r="A2" s="85" t="s">
        <v>167</v>
      </c>
    </row>
    <row r="3" spans="1:3" x14ac:dyDescent="0.2">
      <c r="A3" s="85" t="s">
        <v>168</v>
      </c>
    </row>
    <row r="4" spans="1:3" x14ac:dyDescent="0.2">
      <c r="A4" s="85" t="s">
        <v>169</v>
      </c>
    </row>
    <row r="5" spans="1:3" x14ac:dyDescent="0.2">
      <c r="A5" s="85" t="s">
        <v>170</v>
      </c>
    </row>
    <row r="6" spans="1:3" x14ac:dyDescent="0.2">
      <c r="A6" s="85" t="s">
        <v>160</v>
      </c>
    </row>
    <row r="7" spans="1:3" x14ac:dyDescent="0.2">
      <c r="A7" s="85" t="s">
        <v>161</v>
      </c>
    </row>
    <row r="8" spans="1:3" x14ac:dyDescent="0.2">
      <c r="A8" s="85" t="s">
        <v>143</v>
      </c>
    </row>
    <row r="9" spans="1:3" x14ac:dyDescent="0.2">
      <c r="A9" s="85" t="s">
        <v>144</v>
      </c>
    </row>
    <row r="10" spans="1:3" x14ac:dyDescent="0.2">
      <c r="A10" s="85" t="s">
        <v>145</v>
      </c>
    </row>
    <row r="11" spans="1:3" x14ac:dyDescent="0.2">
      <c r="A11" s="85" t="s">
        <v>146</v>
      </c>
    </row>
    <row r="12" spans="1:3" x14ac:dyDescent="0.2">
      <c r="A12" s="85" t="s">
        <v>164</v>
      </c>
    </row>
    <row r="13" spans="1:3" x14ac:dyDescent="0.2">
      <c r="A13" s="85" t="s">
        <v>165</v>
      </c>
    </row>
    <row r="14" spans="1:3" x14ac:dyDescent="0.2">
      <c r="A14" s="85" t="s">
        <v>166</v>
      </c>
    </row>
    <row r="15" spans="1:3" x14ac:dyDescent="0.2">
      <c r="A15" s="85" t="s">
        <v>147</v>
      </c>
    </row>
    <row r="16" spans="1:3" x14ac:dyDescent="0.2">
      <c r="A16" s="85" t="s">
        <v>148</v>
      </c>
    </row>
    <row r="17" spans="1:1" x14ac:dyDescent="0.2">
      <c r="A17" s="86" t="s">
        <v>195</v>
      </c>
    </row>
    <row r="18" spans="1:1" x14ac:dyDescent="0.2">
      <c r="A18" s="87" t="s">
        <v>152</v>
      </c>
    </row>
    <row r="19" spans="1:1" x14ac:dyDescent="0.2">
      <c r="A19" s="88" t="s">
        <v>153</v>
      </c>
    </row>
    <row r="20" spans="1:1" x14ac:dyDescent="0.2">
      <c r="A20" s="86" t="s">
        <v>172</v>
      </c>
    </row>
    <row r="21" spans="1:1" x14ac:dyDescent="0.2">
      <c r="A21" s="86" t="s">
        <v>173</v>
      </c>
    </row>
  </sheetData>
  <pageMargins left="0.7" right="0.7" top="0.75" bottom="0.75" header="0.3" footer="0.3"/>
  <pageSetup paperSize="9" orientation="portrait" horizontalDpi="300" verticalDpi="0" copies="0" r:id="rId1"/>
  <tableParts count="1">
    <tablePart r:id="rId2"/>
  </tableParts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5"/>
  <dimension ref="A1:H124"/>
  <sheetViews>
    <sheetView workbookViewId="0">
      <selection activeCell="G2" sqref="G2"/>
    </sheetView>
  </sheetViews>
  <sheetFormatPr defaultRowHeight="15" x14ac:dyDescent="0.25"/>
  <cols>
    <col min="1" max="1" width="9.140625" style="115"/>
    <col min="2" max="2" width="40.7109375" style="118" customWidth="1"/>
    <col min="3" max="7" width="9.140625" style="117"/>
    <col min="8" max="8" width="21.85546875" style="117" customWidth="1"/>
    <col min="9" max="16384" width="9.140625" style="118"/>
  </cols>
  <sheetData>
    <row r="1" spans="1:8" x14ac:dyDescent="0.25">
      <c r="B1" s="116" t="s">
        <v>174</v>
      </c>
    </row>
    <row r="3" spans="1:8" x14ac:dyDescent="0.25">
      <c r="A3" s="115">
        <v>1</v>
      </c>
      <c r="B3" s="118" t="s">
        <v>175</v>
      </c>
      <c r="C3" s="119">
        <v>23.7</v>
      </c>
      <c r="D3" s="119">
        <v>53.6</v>
      </c>
      <c r="E3" s="119">
        <v>28.7</v>
      </c>
      <c r="F3" s="119">
        <v>56.1</v>
      </c>
      <c r="G3" s="120">
        <v>990</v>
      </c>
      <c r="H3" s="119"/>
    </row>
    <row r="4" spans="1:8" x14ac:dyDescent="0.25">
      <c r="C4" s="119">
        <v>-10</v>
      </c>
      <c r="D4" s="119">
        <v>-6.7</v>
      </c>
      <c r="E4" s="119">
        <v>-22</v>
      </c>
      <c r="F4" s="119">
        <v>-20.7</v>
      </c>
      <c r="H4" s="119"/>
    </row>
    <row r="6" spans="1:8" x14ac:dyDescent="0.25">
      <c r="B6" s="118" t="s">
        <v>176</v>
      </c>
      <c r="C6" s="119">
        <v>23</v>
      </c>
      <c r="D6" s="119">
        <v>53.6</v>
      </c>
      <c r="E6" s="119">
        <v>27.3</v>
      </c>
      <c r="F6" s="119">
        <v>56.9</v>
      </c>
      <c r="G6" s="119">
        <v>970</v>
      </c>
      <c r="H6" s="119"/>
    </row>
    <row r="7" spans="1:8" x14ac:dyDescent="0.25">
      <c r="C7" s="119">
        <v>-10</v>
      </c>
      <c r="D7" s="119">
        <v>-6.7</v>
      </c>
      <c r="E7" s="119">
        <v>-21</v>
      </c>
      <c r="F7" s="119">
        <v>-19.7</v>
      </c>
      <c r="H7" s="119"/>
    </row>
    <row r="9" spans="1:8" x14ac:dyDescent="0.25">
      <c r="B9" s="118" t="s">
        <v>177</v>
      </c>
      <c r="C9" s="119">
        <v>26.5</v>
      </c>
      <c r="D9" s="119">
        <v>54</v>
      </c>
      <c r="E9" s="119">
        <v>31</v>
      </c>
      <c r="F9" s="119">
        <v>57.4</v>
      </c>
      <c r="G9" s="119">
        <v>1010</v>
      </c>
      <c r="H9" s="119"/>
    </row>
    <row r="10" spans="1:8" x14ac:dyDescent="0.25">
      <c r="C10" s="119">
        <v>-9</v>
      </c>
      <c r="D10" s="119">
        <v>-5.4</v>
      </c>
      <c r="E10" s="119">
        <v>-23</v>
      </c>
      <c r="F10" s="119">
        <v>-22</v>
      </c>
      <c r="H10" s="119"/>
    </row>
    <row r="12" spans="1:8" x14ac:dyDescent="0.25">
      <c r="B12" s="118" t="s">
        <v>178</v>
      </c>
      <c r="C12" s="121">
        <v>25.3</v>
      </c>
      <c r="D12" s="121">
        <v>54.7</v>
      </c>
      <c r="E12" s="121">
        <v>30.4</v>
      </c>
      <c r="F12" s="121">
        <v>53.9</v>
      </c>
      <c r="G12" s="119">
        <v>1010</v>
      </c>
      <c r="H12" s="119"/>
    </row>
    <row r="13" spans="1:8" x14ac:dyDescent="0.25">
      <c r="C13" s="119">
        <v>-10</v>
      </c>
      <c r="D13" s="121">
        <v>-6.7</v>
      </c>
      <c r="E13" s="119">
        <v>-23</v>
      </c>
      <c r="F13" s="121">
        <v>-22.2</v>
      </c>
      <c r="H13" s="119"/>
    </row>
    <row r="15" spans="1:8" x14ac:dyDescent="0.25">
      <c r="B15" s="118" t="s">
        <v>179</v>
      </c>
      <c r="C15" s="119">
        <v>27.4</v>
      </c>
      <c r="D15" s="119">
        <v>56.3</v>
      </c>
      <c r="E15" s="119">
        <v>31.8</v>
      </c>
      <c r="F15" s="119">
        <v>58.6</v>
      </c>
      <c r="G15" s="119">
        <v>1010</v>
      </c>
      <c r="H15" s="119"/>
    </row>
    <row r="16" spans="1:8" x14ac:dyDescent="0.25">
      <c r="C16" s="119">
        <v>-10</v>
      </c>
      <c r="D16" s="119">
        <v>-6.7</v>
      </c>
      <c r="E16" s="119">
        <v>-25</v>
      </c>
      <c r="F16" s="119">
        <v>-24.3</v>
      </c>
      <c r="H16" s="119"/>
    </row>
    <row r="18" spans="2:8" x14ac:dyDescent="0.25">
      <c r="B18" s="118" t="s">
        <v>180</v>
      </c>
      <c r="C18" s="119">
        <v>22.1</v>
      </c>
      <c r="D18" s="119">
        <v>53.2</v>
      </c>
      <c r="E18" s="119">
        <v>26.4</v>
      </c>
      <c r="F18" s="119">
        <v>57.4</v>
      </c>
      <c r="G18" s="119">
        <v>970</v>
      </c>
      <c r="H18" s="119"/>
    </row>
    <row r="19" spans="2:8" x14ac:dyDescent="0.25">
      <c r="C19" s="119">
        <v>-9</v>
      </c>
      <c r="D19" s="119">
        <v>-2.5</v>
      </c>
      <c r="E19" s="119">
        <v>-19</v>
      </c>
      <c r="F19" s="119">
        <v>-17.600000000000001</v>
      </c>
      <c r="H19" s="119"/>
    </row>
    <row r="21" spans="2:8" x14ac:dyDescent="0.25">
      <c r="B21" s="118" t="s">
        <v>181</v>
      </c>
      <c r="C21" s="119">
        <v>25</v>
      </c>
      <c r="D21" s="119">
        <v>60.7</v>
      </c>
      <c r="E21" s="119">
        <v>29.4</v>
      </c>
      <c r="F21" s="119">
        <v>64.5</v>
      </c>
      <c r="G21" s="119">
        <v>1010</v>
      </c>
      <c r="H21" s="119"/>
    </row>
    <row r="22" spans="2:8" x14ac:dyDescent="0.25">
      <c r="C22" s="119">
        <v>0</v>
      </c>
      <c r="D22" s="119">
        <v>-7.1</v>
      </c>
      <c r="E22" s="119">
        <v>-11</v>
      </c>
      <c r="F22" s="119">
        <v>-8.4</v>
      </c>
      <c r="H22" s="119"/>
    </row>
    <row r="24" spans="2:8" x14ac:dyDescent="0.25">
      <c r="B24" s="118" t="s">
        <v>182</v>
      </c>
      <c r="C24" s="119">
        <v>26.1</v>
      </c>
      <c r="D24" s="119">
        <v>59.5</v>
      </c>
      <c r="E24" s="119">
        <v>31.8</v>
      </c>
      <c r="F24" s="119">
        <v>63.2</v>
      </c>
      <c r="G24" s="119">
        <v>970</v>
      </c>
      <c r="H24" s="119"/>
    </row>
    <row r="25" spans="2:8" x14ac:dyDescent="0.25">
      <c r="C25" s="119">
        <v>-4</v>
      </c>
      <c r="D25" s="119">
        <v>-7.1</v>
      </c>
      <c r="E25" s="119">
        <v>-15</v>
      </c>
      <c r="F25" s="119">
        <v>-14</v>
      </c>
      <c r="H25" s="119"/>
    </row>
    <row r="27" spans="2:8" x14ac:dyDescent="0.25">
      <c r="B27" s="118" t="s">
        <v>183</v>
      </c>
      <c r="C27" s="119">
        <v>25.1</v>
      </c>
      <c r="D27" s="119">
        <v>52.8</v>
      </c>
      <c r="E27" s="119">
        <v>29.4</v>
      </c>
      <c r="F27" s="119">
        <v>56.1</v>
      </c>
      <c r="G27" s="119">
        <v>990</v>
      </c>
      <c r="H27" s="119"/>
    </row>
    <row r="28" spans="2:8" x14ac:dyDescent="0.25">
      <c r="C28" s="119">
        <v>-11</v>
      </c>
      <c r="D28" s="119">
        <v>-8</v>
      </c>
      <c r="E28" s="119">
        <v>-23</v>
      </c>
      <c r="F28" s="119">
        <v>-22.2</v>
      </c>
      <c r="H28" s="119"/>
    </row>
    <row r="30" spans="2:8" x14ac:dyDescent="0.25">
      <c r="B30" s="118" t="s">
        <v>184</v>
      </c>
      <c r="C30" s="119">
        <v>22.6</v>
      </c>
      <c r="D30" s="119">
        <v>50.5</v>
      </c>
      <c r="E30" s="119">
        <v>26.3</v>
      </c>
      <c r="F30" s="119">
        <v>54.7</v>
      </c>
      <c r="G30" s="119">
        <v>995</v>
      </c>
      <c r="H30" s="119"/>
    </row>
    <row r="31" spans="2:8" x14ac:dyDescent="0.25">
      <c r="C31" s="119">
        <v>-15</v>
      </c>
      <c r="D31" s="121">
        <v>-12.81</v>
      </c>
      <c r="E31" s="119">
        <v>-28</v>
      </c>
      <c r="F31" s="121">
        <v>-27.46</v>
      </c>
      <c r="H31" s="119"/>
    </row>
    <row r="33" spans="2:8" x14ac:dyDescent="0.25">
      <c r="B33" s="118" t="s">
        <v>185</v>
      </c>
      <c r="C33" s="119">
        <v>20.5</v>
      </c>
      <c r="D33" s="119">
        <v>46</v>
      </c>
      <c r="E33" s="119">
        <v>24.6</v>
      </c>
      <c r="F33" s="119">
        <v>50.5</v>
      </c>
      <c r="G33" s="119">
        <v>1010</v>
      </c>
      <c r="H33" s="119"/>
    </row>
    <row r="34" spans="2:8" x14ac:dyDescent="0.25">
      <c r="C34" s="119">
        <v>-13</v>
      </c>
      <c r="D34" s="121">
        <v>-10.23</v>
      </c>
      <c r="E34" s="119">
        <v>-26</v>
      </c>
      <c r="F34" s="121">
        <v>-25.25</v>
      </c>
      <c r="H34" s="119"/>
    </row>
    <row r="36" spans="2:8" x14ac:dyDescent="0.25">
      <c r="C36" s="119"/>
      <c r="D36" s="119"/>
      <c r="E36" s="119"/>
      <c r="F36" s="119"/>
      <c r="G36" s="119"/>
      <c r="H36" s="119"/>
    </row>
    <row r="37" spans="2:8" x14ac:dyDescent="0.25">
      <c r="C37" s="119"/>
      <c r="D37" s="119"/>
      <c r="E37" s="119"/>
      <c r="F37" s="119"/>
      <c r="H37" s="119"/>
    </row>
    <row r="39" spans="2:8" x14ac:dyDescent="0.25">
      <c r="C39" s="119"/>
      <c r="D39" s="119"/>
      <c r="E39" s="119"/>
      <c r="F39" s="119"/>
      <c r="G39" s="119"/>
      <c r="H39" s="119"/>
    </row>
    <row r="40" spans="2:8" x14ac:dyDescent="0.25">
      <c r="C40" s="119"/>
      <c r="D40" s="119"/>
      <c r="E40" s="119"/>
      <c r="F40" s="119"/>
      <c r="H40" s="119"/>
    </row>
    <row r="42" spans="2:8" x14ac:dyDescent="0.25">
      <c r="C42" s="119"/>
      <c r="D42" s="119"/>
      <c r="E42" s="119"/>
      <c r="F42" s="119"/>
      <c r="G42" s="119"/>
      <c r="H42" s="119"/>
    </row>
    <row r="43" spans="2:8" x14ac:dyDescent="0.25">
      <c r="C43" s="119"/>
      <c r="D43" s="119"/>
      <c r="E43" s="119"/>
      <c r="F43" s="119"/>
      <c r="H43" s="119"/>
    </row>
    <row r="45" spans="2:8" x14ac:dyDescent="0.25">
      <c r="C45" s="119"/>
      <c r="D45" s="119"/>
      <c r="E45" s="119"/>
      <c r="F45" s="119"/>
      <c r="G45" s="119"/>
      <c r="H45" s="119"/>
    </row>
    <row r="46" spans="2:8" x14ac:dyDescent="0.25">
      <c r="C46" s="119"/>
      <c r="D46" s="119"/>
      <c r="E46" s="119"/>
      <c r="F46" s="119"/>
      <c r="H46" s="119"/>
    </row>
    <row r="48" spans="2:8" x14ac:dyDescent="0.25">
      <c r="C48" s="119"/>
      <c r="D48" s="119"/>
      <c r="E48" s="119"/>
      <c r="F48" s="119"/>
      <c r="G48" s="119"/>
      <c r="H48" s="119"/>
    </row>
    <row r="49" spans="3:8" x14ac:dyDescent="0.25">
      <c r="C49" s="119"/>
      <c r="D49" s="119"/>
      <c r="E49" s="119"/>
      <c r="F49" s="119"/>
      <c r="H49" s="119"/>
    </row>
    <row r="51" spans="3:8" x14ac:dyDescent="0.25">
      <c r="C51" s="119"/>
      <c r="D51" s="119"/>
      <c r="E51" s="119"/>
      <c r="F51" s="119"/>
      <c r="G51" s="119"/>
      <c r="H51" s="119"/>
    </row>
    <row r="52" spans="3:8" x14ac:dyDescent="0.25">
      <c r="C52" s="119"/>
      <c r="D52" s="119"/>
      <c r="E52" s="119"/>
      <c r="F52" s="119"/>
      <c r="H52" s="119"/>
    </row>
    <row r="54" spans="3:8" x14ac:dyDescent="0.25">
      <c r="C54" s="119"/>
      <c r="D54" s="119"/>
      <c r="E54" s="119"/>
      <c r="F54" s="119"/>
      <c r="G54" s="119"/>
      <c r="H54" s="119"/>
    </row>
    <row r="55" spans="3:8" x14ac:dyDescent="0.25">
      <c r="C55" s="119"/>
      <c r="D55" s="119"/>
      <c r="E55" s="119"/>
      <c r="F55" s="119"/>
      <c r="H55" s="119"/>
    </row>
    <row r="57" spans="3:8" x14ac:dyDescent="0.25">
      <c r="C57" s="119"/>
      <c r="D57" s="119"/>
      <c r="E57" s="119"/>
      <c r="F57" s="119"/>
      <c r="G57" s="119"/>
      <c r="H57" s="119"/>
    </row>
    <row r="58" spans="3:8" x14ac:dyDescent="0.25">
      <c r="C58" s="119"/>
      <c r="D58" s="119"/>
      <c r="E58" s="119"/>
      <c r="F58" s="119"/>
      <c r="H58" s="119"/>
    </row>
    <row r="60" spans="3:8" x14ac:dyDescent="0.25">
      <c r="C60" s="119"/>
      <c r="D60" s="119"/>
      <c r="E60" s="119"/>
      <c r="F60" s="119"/>
      <c r="G60" s="119"/>
      <c r="H60" s="119"/>
    </row>
    <row r="61" spans="3:8" x14ac:dyDescent="0.25">
      <c r="C61" s="119"/>
      <c r="D61" s="119"/>
      <c r="E61" s="119"/>
      <c r="F61" s="119"/>
      <c r="H61" s="119"/>
    </row>
    <row r="63" spans="3:8" x14ac:dyDescent="0.25">
      <c r="C63" s="119"/>
      <c r="D63" s="119"/>
      <c r="E63" s="119"/>
      <c r="F63" s="119"/>
      <c r="G63" s="119"/>
      <c r="H63" s="119"/>
    </row>
    <row r="64" spans="3:8" x14ac:dyDescent="0.25">
      <c r="C64" s="119"/>
      <c r="D64" s="119"/>
      <c r="E64" s="119"/>
      <c r="F64" s="119"/>
      <c r="H64" s="119"/>
    </row>
    <row r="66" spans="3:8" x14ac:dyDescent="0.25">
      <c r="C66" s="119"/>
      <c r="D66" s="119"/>
      <c r="E66" s="119"/>
      <c r="F66" s="119"/>
      <c r="G66" s="119"/>
      <c r="H66" s="119"/>
    </row>
    <row r="67" spans="3:8" x14ac:dyDescent="0.25">
      <c r="C67" s="119"/>
      <c r="D67" s="119"/>
      <c r="E67" s="119"/>
      <c r="F67" s="119"/>
      <c r="H67" s="119"/>
    </row>
    <row r="69" spans="3:8" x14ac:dyDescent="0.25">
      <c r="C69" s="119"/>
      <c r="D69" s="119"/>
      <c r="E69" s="119"/>
      <c r="F69" s="119"/>
      <c r="G69" s="119"/>
      <c r="H69" s="119"/>
    </row>
    <row r="70" spans="3:8" x14ac:dyDescent="0.25">
      <c r="C70" s="119"/>
      <c r="D70" s="119"/>
      <c r="E70" s="119"/>
      <c r="F70" s="119"/>
      <c r="H70" s="119"/>
    </row>
    <row r="72" spans="3:8" x14ac:dyDescent="0.25">
      <c r="C72" s="119"/>
      <c r="D72" s="119"/>
      <c r="E72" s="119"/>
      <c r="F72" s="119"/>
      <c r="G72" s="119"/>
      <c r="H72" s="119"/>
    </row>
    <row r="73" spans="3:8" x14ac:dyDescent="0.25">
      <c r="C73" s="119"/>
      <c r="D73" s="119"/>
      <c r="E73" s="119"/>
      <c r="F73" s="119"/>
      <c r="H73" s="119"/>
    </row>
    <row r="75" spans="3:8" x14ac:dyDescent="0.25">
      <c r="C75" s="119"/>
      <c r="D75" s="119"/>
      <c r="E75" s="119"/>
      <c r="F75" s="119"/>
      <c r="G75" s="119"/>
      <c r="H75" s="119"/>
    </row>
    <row r="76" spans="3:8" x14ac:dyDescent="0.25">
      <c r="C76" s="119"/>
      <c r="D76" s="119"/>
      <c r="E76" s="119"/>
      <c r="F76" s="119"/>
      <c r="H76" s="119"/>
    </row>
    <row r="78" spans="3:8" x14ac:dyDescent="0.25">
      <c r="C78" s="119"/>
      <c r="D78" s="119"/>
      <c r="E78" s="119"/>
      <c r="F78" s="119"/>
      <c r="G78" s="119"/>
      <c r="H78" s="119"/>
    </row>
    <row r="79" spans="3:8" x14ac:dyDescent="0.25">
      <c r="C79" s="119"/>
      <c r="D79" s="119"/>
      <c r="E79" s="119"/>
      <c r="F79" s="119"/>
      <c r="H79" s="119"/>
    </row>
    <row r="81" spans="3:8" x14ac:dyDescent="0.25">
      <c r="C81" s="119"/>
      <c r="D81" s="119"/>
      <c r="E81" s="119"/>
      <c r="F81" s="119"/>
      <c r="G81" s="119"/>
      <c r="H81" s="119"/>
    </row>
    <row r="82" spans="3:8" x14ac:dyDescent="0.25">
      <c r="C82" s="119"/>
      <c r="D82" s="119"/>
      <c r="E82" s="119"/>
      <c r="F82" s="119"/>
      <c r="H82" s="119"/>
    </row>
    <row r="84" spans="3:8" x14ac:dyDescent="0.25">
      <c r="C84" s="119"/>
      <c r="D84" s="119"/>
      <c r="E84" s="119"/>
      <c r="F84" s="119"/>
      <c r="G84" s="119"/>
      <c r="H84" s="119"/>
    </row>
    <row r="85" spans="3:8" x14ac:dyDescent="0.25">
      <c r="C85" s="119"/>
      <c r="D85" s="119"/>
      <c r="E85" s="119"/>
      <c r="F85" s="119"/>
      <c r="H85" s="119"/>
    </row>
    <row r="87" spans="3:8" x14ac:dyDescent="0.25">
      <c r="C87" s="119"/>
      <c r="D87" s="119"/>
      <c r="E87" s="119"/>
      <c r="F87" s="119"/>
      <c r="G87" s="119"/>
      <c r="H87" s="119"/>
    </row>
    <row r="88" spans="3:8" x14ac:dyDescent="0.25">
      <c r="C88" s="119"/>
      <c r="D88" s="119"/>
      <c r="E88" s="119"/>
      <c r="F88" s="119"/>
      <c r="H88" s="119"/>
    </row>
    <row r="90" spans="3:8" x14ac:dyDescent="0.25">
      <c r="C90" s="119"/>
      <c r="D90" s="119"/>
      <c r="E90" s="119"/>
      <c r="F90" s="119"/>
      <c r="G90" s="119"/>
      <c r="H90" s="119"/>
    </row>
    <row r="91" spans="3:8" x14ac:dyDescent="0.25">
      <c r="C91" s="119"/>
      <c r="D91" s="119"/>
      <c r="E91" s="119"/>
      <c r="F91" s="119"/>
      <c r="H91" s="119"/>
    </row>
    <row r="93" spans="3:8" x14ac:dyDescent="0.25">
      <c r="C93" s="119"/>
      <c r="D93" s="119"/>
      <c r="E93" s="119"/>
      <c r="F93" s="119"/>
      <c r="G93" s="119"/>
      <c r="H93" s="119"/>
    </row>
    <row r="94" spans="3:8" x14ac:dyDescent="0.25">
      <c r="C94" s="119"/>
      <c r="D94" s="119"/>
      <c r="E94" s="119"/>
      <c r="F94" s="119"/>
      <c r="H94" s="119"/>
    </row>
    <row r="96" spans="3:8" x14ac:dyDescent="0.25">
      <c r="C96" s="119"/>
      <c r="D96" s="119"/>
      <c r="E96" s="119"/>
      <c r="F96" s="119"/>
      <c r="G96" s="119"/>
      <c r="H96" s="119"/>
    </row>
    <row r="97" spans="3:8" x14ac:dyDescent="0.25">
      <c r="C97" s="119"/>
      <c r="D97" s="119"/>
      <c r="E97" s="119"/>
      <c r="F97" s="119"/>
      <c r="H97" s="119"/>
    </row>
    <row r="99" spans="3:8" x14ac:dyDescent="0.25">
      <c r="C99" s="119"/>
      <c r="D99" s="119"/>
      <c r="E99" s="119"/>
      <c r="F99" s="119"/>
      <c r="G99" s="119"/>
      <c r="H99" s="119"/>
    </row>
    <row r="100" spans="3:8" x14ac:dyDescent="0.25">
      <c r="C100" s="119"/>
      <c r="D100" s="119"/>
      <c r="E100" s="119"/>
      <c r="F100" s="119"/>
      <c r="H100" s="119"/>
    </row>
    <row r="102" spans="3:8" x14ac:dyDescent="0.25">
      <c r="C102" s="119"/>
      <c r="D102" s="119"/>
      <c r="E102" s="119"/>
      <c r="F102" s="119"/>
      <c r="G102" s="119"/>
      <c r="H102" s="119"/>
    </row>
    <row r="103" spans="3:8" x14ac:dyDescent="0.25">
      <c r="C103" s="119"/>
      <c r="D103" s="119"/>
      <c r="E103" s="119"/>
      <c r="F103" s="119"/>
      <c r="H103" s="119"/>
    </row>
    <row r="105" spans="3:8" x14ac:dyDescent="0.25">
      <c r="C105" s="119"/>
      <c r="D105" s="119"/>
      <c r="E105" s="119"/>
      <c r="F105" s="119"/>
      <c r="G105" s="119"/>
      <c r="H105" s="119"/>
    </row>
    <row r="106" spans="3:8" x14ac:dyDescent="0.25">
      <c r="C106" s="119"/>
      <c r="D106" s="119"/>
      <c r="E106" s="119"/>
      <c r="F106" s="119"/>
      <c r="H106" s="119"/>
    </row>
    <row r="108" spans="3:8" x14ac:dyDescent="0.25">
      <c r="C108" s="119"/>
      <c r="D108" s="119"/>
      <c r="E108" s="119"/>
      <c r="F108" s="119"/>
      <c r="G108" s="119"/>
      <c r="H108" s="119"/>
    </row>
    <row r="109" spans="3:8" x14ac:dyDescent="0.25">
      <c r="C109" s="119"/>
      <c r="D109" s="119"/>
      <c r="E109" s="119"/>
      <c r="F109" s="119"/>
      <c r="H109" s="119"/>
    </row>
    <row r="111" spans="3:8" x14ac:dyDescent="0.25">
      <c r="C111" s="119"/>
      <c r="D111" s="119"/>
      <c r="E111" s="119"/>
      <c r="F111" s="119"/>
      <c r="G111" s="119"/>
      <c r="H111" s="119"/>
    </row>
    <row r="112" spans="3:8" x14ac:dyDescent="0.25">
      <c r="C112" s="119"/>
      <c r="D112" s="119"/>
      <c r="E112" s="119"/>
      <c r="F112" s="119"/>
      <c r="H112" s="119"/>
    </row>
    <row r="114" spans="3:8" x14ac:dyDescent="0.25">
      <c r="C114" s="119"/>
      <c r="D114" s="119"/>
      <c r="E114" s="119"/>
      <c r="F114" s="119"/>
      <c r="G114" s="119"/>
      <c r="H114" s="119"/>
    </row>
    <row r="115" spans="3:8" x14ac:dyDescent="0.25">
      <c r="C115" s="119"/>
      <c r="D115" s="119"/>
      <c r="E115" s="119"/>
      <c r="F115" s="119"/>
      <c r="H115" s="119"/>
    </row>
    <row r="117" spans="3:8" x14ac:dyDescent="0.25">
      <c r="C117" s="119"/>
      <c r="D117" s="119"/>
      <c r="E117" s="119"/>
      <c r="F117" s="119"/>
      <c r="G117" s="119"/>
      <c r="H117" s="119"/>
    </row>
    <row r="118" spans="3:8" x14ac:dyDescent="0.25">
      <c r="C118" s="119"/>
      <c r="D118" s="119"/>
      <c r="E118" s="119"/>
      <c r="F118" s="119"/>
      <c r="H118" s="119"/>
    </row>
    <row r="120" spans="3:8" x14ac:dyDescent="0.25">
      <c r="C120" s="119"/>
      <c r="D120" s="119"/>
      <c r="E120" s="119"/>
      <c r="F120" s="119"/>
      <c r="G120" s="119"/>
      <c r="H120" s="119"/>
    </row>
    <row r="121" spans="3:8" x14ac:dyDescent="0.25">
      <c r="C121" s="119"/>
      <c r="D121" s="119"/>
      <c r="E121" s="119"/>
      <c r="F121" s="119"/>
      <c r="H121" s="119"/>
    </row>
    <row r="123" spans="3:8" x14ac:dyDescent="0.25">
      <c r="C123" s="119"/>
      <c r="D123" s="119"/>
      <c r="E123" s="119"/>
      <c r="F123" s="119"/>
      <c r="G123" s="119"/>
      <c r="H123" s="119"/>
    </row>
    <row r="124" spans="3:8" x14ac:dyDescent="0.25">
      <c r="C124" s="119"/>
      <c r="D124" s="119"/>
      <c r="E124" s="119"/>
      <c r="F124" s="119"/>
      <c r="H124" s="119"/>
    </row>
  </sheetData>
  <pageMargins left="0.7" right="0.7" top="0.75" bottom="0.75" header="0.3" footer="0.3"/>
  <pageSetup paperSize="9" orientation="portrait" horizontalDpi="1200" verticalDpi="1200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List1"/>
  <dimension ref="A2:E28"/>
  <sheetViews>
    <sheetView workbookViewId="0">
      <selection activeCell="B10" sqref="B10"/>
    </sheetView>
  </sheetViews>
  <sheetFormatPr defaultRowHeight="12.75" x14ac:dyDescent="0.2"/>
  <cols>
    <col min="1" max="1" width="27" style="12" customWidth="1"/>
    <col min="2" max="2" width="3.28515625" style="12" customWidth="1"/>
    <col min="3" max="3" width="65.42578125" style="12" customWidth="1"/>
    <col min="4" max="16384" width="9.140625" style="12"/>
  </cols>
  <sheetData>
    <row r="2" spans="1:5" ht="38.25" x14ac:dyDescent="0.2">
      <c r="A2" s="50" t="s">
        <v>129</v>
      </c>
      <c r="C2" s="31" t="s">
        <v>140</v>
      </c>
    </row>
    <row r="3" spans="1:5" ht="25.5" x14ac:dyDescent="0.2">
      <c r="C3" s="32" t="s">
        <v>130</v>
      </c>
      <c r="D3" s="33"/>
      <c r="E3" s="33"/>
    </row>
    <row r="4" spans="1:5" ht="90.75" x14ac:dyDescent="0.2">
      <c r="C4" s="32" t="s">
        <v>139</v>
      </c>
      <c r="D4" s="33"/>
      <c r="E4" s="33"/>
    </row>
    <row r="5" spans="1:5" ht="63.75" x14ac:dyDescent="0.2">
      <c r="C5" s="32" t="s">
        <v>131</v>
      </c>
      <c r="D5" s="33"/>
      <c r="E5" s="33"/>
    </row>
    <row r="6" spans="1:5" ht="38.25" x14ac:dyDescent="0.2">
      <c r="C6" s="31" t="s">
        <v>133</v>
      </c>
    </row>
    <row r="7" spans="1:5" ht="38.25" x14ac:dyDescent="0.2">
      <c r="C7" s="31" t="s">
        <v>134</v>
      </c>
    </row>
    <row r="9" spans="1:5" x14ac:dyDescent="0.2">
      <c r="A9" s="30" t="s">
        <v>84</v>
      </c>
    </row>
    <row r="10" spans="1:5" ht="25.5" x14ac:dyDescent="0.2">
      <c r="A10" s="34" t="s">
        <v>92</v>
      </c>
      <c r="B10" s="35" t="s">
        <v>42</v>
      </c>
      <c r="C10" s="31" t="s">
        <v>120</v>
      </c>
    </row>
    <row r="11" spans="1:5" x14ac:dyDescent="0.2">
      <c r="A11" s="34"/>
      <c r="B11" s="36"/>
    </row>
    <row r="12" spans="1:5" ht="102" x14ac:dyDescent="0.2">
      <c r="A12" s="34" t="s">
        <v>79</v>
      </c>
      <c r="B12" s="35" t="s">
        <v>43</v>
      </c>
      <c r="C12" s="48" t="s">
        <v>123</v>
      </c>
    </row>
    <row r="13" spans="1:5" x14ac:dyDescent="0.2">
      <c r="A13" s="34"/>
      <c r="B13" s="35"/>
      <c r="C13" s="31"/>
    </row>
    <row r="14" spans="1:5" ht="25.5" x14ac:dyDescent="0.2">
      <c r="A14" s="34" t="s">
        <v>93</v>
      </c>
      <c r="B14" s="35" t="s">
        <v>45</v>
      </c>
      <c r="C14" s="31" t="s">
        <v>121</v>
      </c>
    </row>
    <row r="15" spans="1:5" x14ac:dyDescent="0.2">
      <c r="A15" s="34"/>
      <c r="B15" s="35"/>
      <c r="C15" s="31"/>
    </row>
    <row r="16" spans="1:5" ht="25.5" x14ac:dyDescent="0.2">
      <c r="A16" s="34" t="s">
        <v>83</v>
      </c>
      <c r="B16" s="35" t="s">
        <v>27</v>
      </c>
      <c r="C16" s="31" t="s">
        <v>122</v>
      </c>
    </row>
    <row r="17" spans="1:3" x14ac:dyDescent="0.2">
      <c r="A17" s="34"/>
      <c r="B17" s="35"/>
      <c r="C17" s="31"/>
    </row>
    <row r="18" spans="1:3" ht="63.75" x14ac:dyDescent="0.2">
      <c r="A18" s="34" t="s">
        <v>82</v>
      </c>
      <c r="B18" s="35" t="s">
        <v>46</v>
      </c>
      <c r="C18" s="31" t="s">
        <v>125</v>
      </c>
    </row>
    <row r="19" spans="1:3" ht="25.5" x14ac:dyDescent="0.2">
      <c r="A19" s="34" t="s">
        <v>101</v>
      </c>
      <c r="B19" s="35" t="s">
        <v>54</v>
      </c>
      <c r="C19" s="31" t="s">
        <v>124</v>
      </c>
    </row>
    <row r="20" spans="1:3" x14ac:dyDescent="0.2">
      <c r="A20" s="34"/>
      <c r="B20" s="35"/>
      <c r="C20" s="31"/>
    </row>
    <row r="22" spans="1:3" x14ac:dyDescent="0.2">
      <c r="A22" s="30" t="s">
        <v>126</v>
      </c>
      <c r="B22" s="37"/>
    </row>
    <row r="23" spans="1:3" x14ac:dyDescent="0.2">
      <c r="B23" s="38" t="s">
        <v>51</v>
      </c>
      <c r="C23" s="12" t="s">
        <v>128</v>
      </c>
    </row>
    <row r="24" spans="1:3" x14ac:dyDescent="0.2">
      <c r="B24" s="38" t="s">
        <v>52</v>
      </c>
      <c r="C24" s="12" t="s">
        <v>127</v>
      </c>
    </row>
    <row r="26" spans="1:3" x14ac:dyDescent="0.2">
      <c r="A26" s="39"/>
      <c r="C26" s="31"/>
    </row>
    <row r="27" spans="1:3" x14ac:dyDescent="0.2">
      <c r="C27" s="31"/>
    </row>
    <row r="28" spans="1:3" x14ac:dyDescent="0.2">
      <c r="C28" s="40"/>
    </row>
  </sheetData>
  <phoneticPr fontId="10" type="noConversion"/>
  <pageMargins left="0.75" right="0.75" top="1" bottom="1" header="0.4921259845" footer="0.4921259845"/>
  <pageSetup paperSize="9" orientation="portrait" horizontalDpi="4294967292" verticalDpi="300" r:id="rId1"/>
  <headerFooter alignWithMargins="0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List5"/>
  <dimension ref="A1:J15"/>
  <sheetViews>
    <sheetView workbookViewId="0">
      <selection activeCell="H17" sqref="H17"/>
    </sheetView>
  </sheetViews>
  <sheetFormatPr defaultRowHeight="12.75" x14ac:dyDescent="0.2"/>
  <cols>
    <col min="1" max="16384" width="9.140625" style="12"/>
  </cols>
  <sheetData>
    <row r="1" spans="1:10" x14ac:dyDescent="0.2">
      <c r="A1" s="30" t="s">
        <v>135</v>
      </c>
    </row>
    <row r="2" spans="1:10" x14ac:dyDescent="0.2">
      <c r="A2" s="41" t="s">
        <v>136</v>
      </c>
    </row>
    <row r="3" spans="1:10" x14ac:dyDescent="0.2">
      <c r="A3" s="41" t="s">
        <v>137</v>
      </c>
    </row>
    <row r="5" spans="1:10" x14ac:dyDescent="0.2">
      <c r="A5" s="12" t="s">
        <v>138</v>
      </c>
    </row>
    <row r="7" spans="1:10" x14ac:dyDescent="0.2">
      <c r="A7" s="1" t="s">
        <v>80</v>
      </c>
      <c r="B7" s="1" t="s">
        <v>85</v>
      </c>
      <c r="C7" s="1" t="s">
        <v>86</v>
      </c>
      <c r="D7" s="1" t="s">
        <v>85</v>
      </c>
      <c r="E7" s="1"/>
      <c r="F7" s="1" t="s">
        <v>81</v>
      </c>
      <c r="G7" s="1" t="s">
        <v>87</v>
      </c>
      <c r="H7" s="1" t="s">
        <v>85</v>
      </c>
      <c r="I7" s="1" t="s">
        <v>88</v>
      </c>
      <c r="J7" s="1"/>
    </row>
    <row r="8" spans="1:10" x14ac:dyDescent="0.2">
      <c r="A8" s="2">
        <v>-18</v>
      </c>
      <c r="B8" s="2">
        <v>35</v>
      </c>
      <c r="C8" s="2"/>
      <c r="D8" s="2">
        <v>25</v>
      </c>
      <c r="E8" s="2"/>
      <c r="F8" s="2">
        <v>35</v>
      </c>
      <c r="G8" s="2"/>
      <c r="H8" s="2"/>
      <c r="I8" s="2"/>
      <c r="J8" s="2"/>
    </row>
    <row r="9" spans="1:10" x14ac:dyDescent="0.2">
      <c r="A9" s="2">
        <v>100</v>
      </c>
      <c r="B9" s="2"/>
      <c r="C9" s="2">
        <v>85</v>
      </c>
      <c r="D9" s="2"/>
      <c r="E9" s="2"/>
      <c r="F9" s="2">
        <v>50</v>
      </c>
      <c r="G9" s="2"/>
      <c r="H9" s="2"/>
      <c r="I9" s="2"/>
      <c r="J9" s="2"/>
    </row>
    <row r="10" spans="1:10" x14ac:dyDescent="0.2">
      <c r="A10" s="2"/>
      <c r="B10" s="2"/>
      <c r="C10" s="2"/>
      <c r="D10" s="2"/>
      <c r="E10" s="2"/>
      <c r="F10" s="2"/>
      <c r="G10" s="2"/>
      <c r="H10" s="2"/>
      <c r="I10" s="2">
        <v>14</v>
      </c>
      <c r="J10" s="2"/>
    </row>
    <row r="11" spans="1:10" ht="13.5" thickBot="1" x14ac:dyDescent="0.25">
      <c r="A11" s="3"/>
      <c r="B11" s="3"/>
      <c r="C11" s="5"/>
      <c r="D11" s="3"/>
      <c r="E11" s="3"/>
      <c r="F11" s="3"/>
      <c r="G11" s="3"/>
      <c r="H11" s="3"/>
      <c r="I11" s="3"/>
      <c r="J11" s="3"/>
    </row>
    <row r="12" spans="1:10" ht="13.5" thickTop="1" x14ac:dyDescent="0.2">
      <c r="A12" s="4"/>
      <c r="B12" s="4" t="s">
        <v>53</v>
      </c>
      <c r="C12" s="4" t="s">
        <v>55</v>
      </c>
      <c r="D12" s="4" t="s">
        <v>53</v>
      </c>
      <c r="E12" s="4"/>
      <c r="F12" s="4"/>
      <c r="G12" s="4" t="s">
        <v>58</v>
      </c>
      <c r="H12" s="4" t="s">
        <v>53</v>
      </c>
      <c r="I12" s="4" t="s">
        <v>59</v>
      </c>
      <c r="J12" s="4"/>
    </row>
    <row r="13" spans="1:10" x14ac:dyDescent="0.2">
      <c r="A13" s="6">
        <v>10000</v>
      </c>
      <c r="B13" s="6"/>
      <c r="C13" s="6"/>
      <c r="D13" s="6"/>
      <c r="E13" s="6"/>
      <c r="F13" s="6">
        <v>20000</v>
      </c>
      <c r="G13" s="6"/>
      <c r="H13" s="6"/>
      <c r="I13" s="6"/>
      <c r="J13" s="6"/>
    </row>
    <row r="14" spans="1:10" x14ac:dyDescent="0.2">
      <c r="A14" s="2"/>
      <c r="B14" s="2"/>
      <c r="C14" s="2"/>
      <c r="D14" s="2"/>
      <c r="E14" s="2"/>
      <c r="F14" s="2"/>
      <c r="G14" s="2"/>
      <c r="H14" s="2"/>
      <c r="I14" s="2"/>
      <c r="J14" s="2"/>
    </row>
    <row r="15" spans="1:10" x14ac:dyDescent="0.2">
      <c r="A15" s="2"/>
      <c r="B15" s="2"/>
      <c r="C15" s="2"/>
      <c r="D15" s="2"/>
      <c r="E15" s="2"/>
      <c r="F15" s="2"/>
      <c r="G15" s="2">
        <v>260</v>
      </c>
      <c r="H15" s="2">
        <v>80</v>
      </c>
      <c r="I15" s="2"/>
      <c r="J15" s="2"/>
    </row>
  </sheetData>
  <phoneticPr fontId="10" type="noConversion"/>
  <pageMargins left="0.75" right="0.75" top="1" bottom="1" header="0.4921259845" footer="0.4921259845"/>
  <headerFooter alignWithMargins="0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4"/>
  <dimension ref="B1:AB295"/>
  <sheetViews>
    <sheetView topLeftCell="B1" workbookViewId="0">
      <selection activeCell="C7" sqref="C7:V16"/>
    </sheetView>
  </sheetViews>
  <sheetFormatPr defaultRowHeight="15" x14ac:dyDescent="0.25"/>
  <cols>
    <col min="1" max="1" width="5.42578125" style="78" customWidth="1"/>
    <col min="2" max="2" width="40.42578125" style="78" customWidth="1"/>
    <col min="3" max="3" width="10.140625" style="79" bestFit="1" customWidth="1"/>
    <col min="4" max="4" width="9" style="79" bestFit="1" customWidth="1"/>
    <col min="5" max="5" width="8.7109375" style="79" bestFit="1" customWidth="1"/>
    <col min="6" max="7" width="8.5703125" style="79" bestFit="1" customWidth="1"/>
    <col min="8" max="8" width="13.85546875" style="79" bestFit="1" customWidth="1"/>
    <col min="9" max="9" width="6.85546875" style="79" bestFit="1" customWidth="1"/>
    <col min="10" max="10" width="8.140625" style="79" bestFit="1" customWidth="1"/>
    <col min="11" max="11" width="7" style="79" bestFit="1" customWidth="1"/>
    <col min="12" max="12" width="8.28515625" style="79" bestFit="1" customWidth="1"/>
    <col min="13" max="13" width="6.85546875" style="79" bestFit="1" customWidth="1"/>
    <col min="14" max="14" width="8.140625" style="79" bestFit="1" customWidth="1"/>
    <col min="15" max="15" width="7" style="79" bestFit="1" customWidth="1"/>
    <col min="16" max="16" width="8.28515625" style="79" bestFit="1" customWidth="1"/>
    <col min="17" max="17" width="7.5703125" style="79" bestFit="1" customWidth="1"/>
    <col min="18" max="18" width="12.5703125" style="79" bestFit="1" customWidth="1"/>
    <col min="19" max="28" width="9.140625" style="79"/>
    <col min="29" max="16384" width="9.140625" style="78"/>
  </cols>
  <sheetData>
    <row r="1" spans="2:27" x14ac:dyDescent="0.25">
      <c r="B1" s="83" t="s">
        <v>162</v>
      </c>
    </row>
    <row r="3" spans="2:27" x14ac:dyDescent="0.25">
      <c r="C3" s="80"/>
      <c r="D3" s="81"/>
      <c r="E3" s="81"/>
      <c r="F3" s="81"/>
      <c r="G3" s="81"/>
      <c r="H3" s="81"/>
      <c r="I3" s="81"/>
      <c r="J3" s="81"/>
      <c r="K3" s="81"/>
      <c r="L3" s="81"/>
      <c r="M3" s="81"/>
      <c r="N3" s="81"/>
      <c r="O3" s="81"/>
      <c r="P3" s="81"/>
      <c r="Q3" s="81"/>
      <c r="R3" s="81"/>
      <c r="S3" s="81"/>
      <c r="T3" s="81"/>
      <c r="U3" s="81"/>
      <c r="V3" s="81"/>
      <c r="W3" s="81"/>
      <c r="X3" s="81"/>
      <c r="Y3" s="81"/>
      <c r="Z3" s="81"/>
      <c r="AA3" s="81"/>
    </row>
    <row r="4" spans="2:27" x14ac:dyDescent="0.25">
      <c r="C4" s="80"/>
      <c r="D4" s="81"/>
      <c r="E4" s="81"/>
      <c r="F4" s="81"/>
      <c r="G4" s="81"/>
      <c r="H4" s="81"/>
      <c r="I4" s="81"/>
      <c r="J4" s="81"/>
      <c r="K4" s="81"/>
      <c r="L4" s="81"/>
      <c r="M4" s="81"/>
      <c r="N4" s="81"/>
      <c r="O4" s="81"/>
      <c r="P4" s="81"/>
      <c r="Q4" s="81"/>
      <c r="R4" s="81"/>
      <c r="S4" s="81"/>
      <c r="T4" s="81"/>
      <c r="U4" s="81"/>
      <c r="V4" s="81"/>
      <c r="W4" s="81"/>
      <c r="X4" s="81"/>
      <c r="Y4" s="81"/>
      <c r="Z4" s="81"/>
      <c r="AA4" s="81"/>
    </row>
    <row r="5" spans="2:27" x14ac:dyDescent="0.25">
      <c r="C5" s="80"/>
      <c r="D5" s="81"/>
      <c r="E5" s="81"/>
      <c r="F5" s="81"/>
      <c r="G5" s="81"/>
      <c r="H5" s="81"/>
      <c r="I5" s="81"/>
      <c r="J5" s="81"/>
      <c r="K5" s="81"/>
      <c r="L5" s="81"/>
      <c r="M5" s="81"/>
      <c r="N5" s="81"/>
      <c r="O5" s="81"/>
      <c r="P5" s="81"/>
      <c r="Q5" s="81"/>
      <c r="R5" s="81"/>
      <c r="S5" s="81"/>
      <c r="T5" s="81"/>
      <c r="U5" s="81"/>
      <c r="V5" s="81"/>
      <c r="W5" s="81"/>
      <c r="X5" s="81"/>
      <c r="Y5" s="81"/>
      <c r="Z5" s="81"/>
      <c r="AA5" s="81"/>
    </row>
    <row r="6" spans="2:27" x14ac:dyDescent="0.25">
      <c r="C6" s="81"/>
      <c r="D6" s="81"/>
      <c r="E6" s="81"/>
      <c r="F6" s="81"/>
      <c r="G6" s="81"/>
      <c r="H6" s="81"/>
      <c r="I6" s="81"/>
      <c r="J6" s="81"/>
      <c r="K6" s="81"/>
      <c r="L6" s="81"/>
      <c r="M6" s="81"/>
      <c r="N6" s="81"/>
      <c r="O6" s="81"/>
      <c r="P6" s="81"/>
      <c r="Q6" s="81"/>
      <c r="R6" s="81"/>
      <c r="S6" s="81"/>
      <c r="T6" s="81"/>
      <c r="U6" s="81"/>
      <c r="V6" s="81"/>
      <c r="W6" s="81"/>
      <c r="X6" s="81"/>
      <c r="Y6" s="81"/>
      <c r="Z6" s="81"/>
      <c r="AA6" s="81"/>
    </row>
    <row r="7" spans="2:27" x14ac:dyDescent="0.25">
      <c r="C7" s="79">
        <v>1</v>
      </c>
      <c r="D7" s="79">
        <v>2</v>
      </c>
      <c r="E7" s="79">
        <v>3</v>
      </c>
      <c r="F7" s="79">
        <v>4</v>
      </c>
      <c r="G7" s="79">
        <v>5</v>
      </c>
      <c r="H7" s="79">
        <v>6</v>
      </c>
      <c r="I7" s="79">
        <v>7</v>
      </c>
      <c r="J7" s="79">
        <v>8</v>
      </c>
      <c r="K7" s="79">
        <v>9</v>
      </c>
      <c r="L7" s="79">
        <v>10</v>
      </c>
      <c r="M7" s="79">
        <v>11</v>
      </c>
      <c r="N7" s="79">
        <v>12</v>
      </c>
      <c r="O7" s="79">
        <v>13</v>
      </c>
      <c r="P7" s="79">
        <v>14</v>
      </c>
      <c r="Q7" s="79">
        <v>15</v>
      </c>
      <c r="R7" s="79">
        <v>16</v>
      </c>
      <c r="S7" s="79">
        <v>17</v>
      </c>
      <c r="T7" s="79">
        <v>18</v>
      </c>
      <c r="U7" s="79">
        <v>19</v>
      </c>
      <c r="V7" s="79">
        <v>20</v>
      </c>
    </row>
    <row r="8" spans="2:27" x14ac:dyDescent="0.25">
      <c r="B8" s="78" t="s">
        <v>171</v>
      </c>
      <c r="C8" s="80" t="s">
        <v>167</v>
      </c>
      <c r="D8" s="80" t="s">
        <v>160</v>
      </c>
      <c r="E8" s="80" t="s">
        <v>161</v>
      </c>
      <c r="F8" s="80" t="s">
        <v>164</v>
      </c>
      <c r="G8" s="80" t="s">
        <v>165</v>
      </c>
      <c r="H8" s="80" t="s">
        <v>166</v>
      </c>
      <c r="I8" s="80" t="s">
        <v>152</v>
      </c>
      <c r="J8" s="80" t="s">
        <v>153</v>
      </c>
      <c r="K8" s="80" t="s">
        <v>143</v>
      </c>
      <c r="L8" s="80" t="s">
        <v>144</v>
      </c>
      <c r="M8" s="80" t="s">
        <v>145</v>
      </c>
      <c r="N8" s="80" t="s">
        <v>146</v>
      </c>
      <c r="O8" s="80" t="s">
        <v>147</v>
      </c>
      <c r="P8" s="80" t="s">
        <v>148</v>
      </c>
      <c r="Q8" s="80" t="s">
        <v>158</v>
      </c>
      <c r="R8" s="80" t="s">
        <v>159</v>
      </c>
      <c r="S8" s="80" t="s">
        <v>170</v>
      </c>
      <c r="T8" s="80" t="s">
        <v>172</v>
      </c>
      <c r="U8" s="80" t="s">
        <v>172</v>
      </c>
      <c r="V8" s="80" t="s">
        <v>170</v>
      </c>
      <c r="W8" s="80"/>
      <c r="X8" s="80"/>
      <c r="Y8" s="80"/>
      <c r="Z8" s="80"/>
      <c r="AA8" s="80"/>
    </row>
    <row r="9" spans="2:27" x14ac:dyDescent="0.25">
      <c r="C9" s="80"/>
      <c r="D9" s="80"/>
      <c r="E9" s="80"/>
      <c r="F9" s="80">
        <v>-25</v>
      </c>
      <c r="G9" s="80">
        <v>20</v>
      </c>
      <c r="H9" s="80"/>
      <c r="I9" s="80"/>
      <c r="J9" s="80"/>
      <c r="K9" s="80"/>
      <c r="L9" s="80"/>
      <c r="M9" s="80"/>
      <c r="N9" s="80"/>
      <c r="O9" s="80"/>
      <c r="P9" s="80"/>
      <c r="Q9" s="80"/>
      <c r="R9" s="80"/>
      <c r="S9" s="80"/>
      <c r="T9" s="80"/>
      <c r="U9" s="80"/>
      <c r="V9" s="80"/>
      <c r="W9" s="80"/>
      <c r="X9" s="80"/>
      <c r="Y9" s="80"/>
      <c r="Z9" s="80"/>
      <c r="AA9" s="80"/>
    </row>
    <row r="10" spans="2:27" x14ac:dyDescent="0.25">
      <c r="C10" s="80"/>
      <c r="D10" s="80"/>
      <c r="E10" s="80"/>
      <c r="F10" s="80"/>
      <c r="G10" s="80">
        <v>60</v>
      </c>
      <c r="H10" s="80"/>
      <c r="I10" s="80"/>
      <c r="J10" s="80"/>
      <c r="K10" s="80"/>
      <c r="L10" s="80"/>
      <c r="M10" s="80"/>
      <c r="N10" s="80"/>
      <c r="O10" s="80"/>
      <c r="P10" s="80"/>
      <c r="Q10" s="80"/>
      <c r="R10" s="80"/>
      <c r="S10" s="80"/>
      <c r="T10" s="80"/>
      <c r="U10" s="80"/>
      <c r="V10" s="80"/>
      <c r="W10" s="80"/>
      <c r="X10" s="80"/>
      <c r="Y10" s="80"/>
      <c r="Z10" s="80"/>
      <c r="AA10" s="80"/>
    </row>
    <row r="11" spans="2:27" x14ac:dyDescent="0.25">
      <c r="C11" s="80"/>
      <c r="D11" s="80"/>
      <c r="E11" s="80"/>
      <c r="F11" s="80"/>
      <c r="G11" s="80"/>
      <c r="H11" s="80"/>
      <c r="I11" s="80"/>
      <c r="J11" s="80"/>
      <c r="K11" s="80"/>
      <c r="L11" s="80"/>
      <c r="M11" s="80"/>
      <c r="N11" s="80"/>
      <c r="O11" s="80"/>
      <c r="P11" s="80"/>
      <c r="Q11" s="80"/>
      <c r="R11" s="80"/>
      <c r="S11" s="80"/>
      <c r="T11" s="80"/>
      <c r="U11" s="80"/>
      <c r="V11" s="80"/>
      <c r="W11" s="80"/>
      <c r="X11" s="80"/>
      <c r="Y11" s="80"/>
      <c r="Z11" s="80"/>
      <c r="AA11" s="80"/>
    </row>
    <row r="12" spans="2:27" x14ac:dyDescent="0.25">
      <c r="C12" s="80"/>
      <c r="D12" s="80"/>
      <c r="E12" s="80"/>
      <c r="F12" s="80"/>
      <c r="G12" s="80"/>
      <c r="H12" s="80"/>
      <c r="I12" s="80"/>
      <c r="J12" s="80"/>
      <c r="K12" s="80"/>
      <c r="L12" s="80"/>
      <c r="M12" s="80"/>
      <c r="N12" s="80"/>
      <c r="O12" s="80"/>
      <c r="P12" s="80"/>
      <c r="Q12" s="80"/>
      <c r="R12" s="80"/>
      <c r="S12" s="80"/>
      <c r="T12" s="80"/>
      <c r="U12" s="80"/>
      <c r="V12" s="80"/>
      <c r="W12" s="80"/>
      <c r="X12" s="80"/>
      <c r="Y12" s="80"/>
      <c r="Z12" s="80"/>
      <c r="AA12" s="80"/>
    </row>
    <row r="13" spans="2:27" x14ac:dyDescent="0.25">
      <c r="C13" s="80"/>
      <c r="D13" s="80"/>
      <c r="E13" s="80"/>
      <c r="F13" s="80"/>
      <c r="G13" s="80"/>
      <c r="H13" s="80" t="s">
        <v>142</v>
      </c>
      <c r="I13" s="80"/>
      <c r="J13" s="80"/>
      <c r="K13" s="80"/>
      <c r="L13" s="80"/>
      <c r="M13" s="80"/>
      <c r="N13" s="80"/>
      <c r="O13" s="80"/>
      <c r="P13" s="80"/>
      <c r="Q13" s="80"/>
      <c r="R13" s="80"/>
      <c r="S13" s="80"/>
      <c r="T13" s="80"/>
      <c r="U13" s="80"/>
      <c r="V13" s="80"/>
      <c r="W13" s="80"/>
      <c r="X13" s="80"/>
      <c r="Y13" s="80"/>
      <c r="Z13" s="80"/>
      <c r="AA13" s="80"/>
    </row>
    <row r="14" spans="2:27" x14ac:dyDescent="0.25">
      <c r="C14" s="80"/>
      <c r="D14" s="80"/>
      <c r="E14" s="80"/>
      <c r="F14" s="80"/>
      <c r="G14" s="80">
        <v>10000</v>
      </c>
      <c r="H14" s="80"/>
      <c r="I14" s="80"/>
      <c r="J14" s="80"/>
      <c r="K14" s="80"/>
      <c r="L14" s="80"/>
      <c r="M14" s="80"/>
      <c r="N14" s="80"/>
      <c r="O14" s="80"/>
      <c r="P14" s="80"/>
      <c r="Q14" s="80"/>
      <c r="R14" s="80"/>
      <c r="S14" s="80"/>
      <c r="T14" s="80"/>
      <c r="U14" s="80"/>
      <c r="V14" s="80"/>
      <c r="W14" s="80"/>
      <c r="X14" s="80"/>
      <c r="Y14" s="80"/>
      <c r="Z14" s="80"/>
      <c r="AA14" s="80"/>
    </row>
    <row r="15" spans="2:27" x14ac:dyDescent="0.25">
      <c r="C15" s="80"/>
      <c r="D15" s="80"/>
      <c r="E15" s="80"/>
      <c r="F15" s="80"/>
      <c r="G15" s="80"/>
      <c r="H15" s="80"/>
      <c r="I15" s="80"/>
      <c r="J15" s="80"/>
      <c r="K15" s="80"/>
      <c r="L15" s="80"/>
      <c r="M15" s="80"/>
      <c r="N15" s="80"/>
      <c r="O15" s="80"/>
      <c r="P15" s="80"/>
      <c r="Q15" s="80"/>
      <c r="R15" s="80"/>
      <c r="S15" s="80"/>
      <c r="T15" s="80"/>
      <c r="U15" s="80"/>
      <c r="V15" s="80"/>
      <c r="W15" s="80"/>
      <c r="X15" s="80"/>
      <c r="Y15" s="80"/>
      <c r="Z15" s="80"/>
      <c r="AA15" s="80"/>
    </row>
    <row r="16" spans="2:27" x14ac:dyDescent="0.25">
      <c r="C16" s="82"/>
      <c r="D16" s="81"/>
      <c r="E16" s="81"/>
      <c r="F16" s="81"/>
      <c r="G16" s="81"/>
      <c r="H16" s="81"/>
      <c r="I16" s="81"/>
      <c r="J16" s="81"/>
      <c r="K16" s="81"/>
      <c r="L16" s="81"/>
      <c r="M16" s="81"/>
      <c r="N16" s="81"/>
      <c r="O16" s="81"/>
      <c r="P16" s="81"/>
      <c r="Q16" s="81"/>
      <c r="R16" s="81"/>
      <c r="S16" s="81"/>
      <c r="T16" s="81"/>
      <c r="U16" s="81"/>
      <c r="V16" s="81"/>
      <c r="W16" s="81"/>
      <c r="X16" s="81"/>
      <c r="Y16" s="81"/>
      <c r="Z16" s="81"/>
      <c r="AA16" s="81"/>
    </row>
    <row r="17" spans="3:27" x14ac:dyDescent="0.25">
      <c r="C17" s="80"/>
      <c r="D17" s="81"/>
      <c r="E17" s="81"/>
      <c r="F17" s="81"/>
      <c r="G17" s="81"/>
      <c r="H17" s="81"/>
      <c r="I17" s="81"/>
      <c r="J17" s="81"/>
      <c r="K17" s="81"/>
      <c r="L17" s="81"/>
      <c r="M17" s="81"/>
      <c r="N17" s="81"/>
      <c r="O17" s="81"/>
      <c r="P17" s="81"/>
      <c r="Q17" s="81"/>
      <c r="R17" s="81"/>
      <c r="S17" s="81"/>
      <c r="T17" s="81"/>
      <c r="U17" s="81"/>
      <c r="V17" s="81"/>
      <c r="W17" s="81"/>
      <c r="X17" s="81"/>
      <c r="Y17" s="81"/>
      <c r="Z17" s="81"/>
      <c r="AA17" s="81"/>
    </row>
    <row r="18" spans="3:27" x14ac:dyDescent="0.25">
      <c r="C18" s="80"/>
      <c r="D18" s="81"/>
      <c r="E18" s="81"/>
      <c r="F18" s="81"/>
      <c r="G18" s="81"/>
      <c r="H18" s="81"/>
      <c r="I18" s="81"/>
      <c r="J18" s="81"/>
      <c r="K18" s="81"/>
      <c r="L18" s="81"/>
      <c r="M18" s="81"/>
      <c r="N18" s="81"/>
      <c r="O18" s="81"/>
      <c r="P18" s="81"/>
      <c r="Q18" s="81"/>
      <c r="R18" s="81"/>
      <c r="S18" s="81"/>
      <c r="T18" s="81"/>
      <c r="U18" s="81"/>
      <c r="V18" s="81"/>
      <c r="W18" s="81"/>
      <c r="X18" s="81"/>
      <c r="Y18" s="81"/>
      <c r="Z18" s="81"/>
      <c r="AA18" s="81"/>
    </row>
    <row r="19" spans="3:27" x14ac:dyDescent="0.25">
      <c r="C19" s="80"/>
      <c r="D19" s="81"/>
      <c r="E19" s="81"/>
      <c r="F19" s="81"/>
      <c r="G19" s="81"/>
      <c r="H19" s="81"/>
      <c r="I19" s="81"/>
      <c r="J19" s="81"/>
      <c r="K19" s="81"/>
      <c r="L19" s="81"/>
      <c r="M19" s="81"/>
      <c r="N19" s="81"/>
      <c r="O19" s="81"/>
      <c r="P19" s="81"/>
      <c r="Q19" s="81"/>
      <c r="R19" s="81"/>
      <c r="S19" s="81"/>
      <c r="T19" s="81"/>
      <c r="U19" s="81"/>
      <c r="V19" s="81"/>
      <c r="W19" s="81"/>
      <c r="X19" s="81"/>
      <c r="Y19" s="81"/>
      <c r="Z19" s="81"/>
      <c r="AA19" s="81"/>
    </row>
    <row r="20" spans="3:27" x14ac:dyDescent="0.25">
      <c r="C20" s="81"/>
      <c r="D20" s="81"/>
      <c r="E20" s="81"/>
      <c r="F20" s="81"/>
      <c r="G20" s="81"/>
      <c r="H20" s="81"/>
      <c r="I20" s="81"/>
      <c r="J20" s="81"/>
      <c r="K20" s="81"/>
      <c r="L20" s="81"/>
      <c r="M20" s="81"/>
      <c r="N20" s="81"/>
      <c r="O20" s="81"/>
      <c r="P20" s="81"/>
      <c r="Q20" s="81"/>
      <c r="R20" s="81"/>
      <c r="S20" s="81"/>
      <c r="T20" s="81"/>
      <c r="U20" s="81"/>
      <c r="V20" s="81"/>
      <c r="W20" s="81"/>
      <c r="X20" s="81"/>
      <c r="Y20" s="81"/>
      <c r="Z20" s="81"/>
      <c r="AA20" s="81"/>
    </row>
    <row r="22" spans="3:27" x14ac:dyDescent="0.25">
      <c r="C22" s="80"/>
      <c r="D22" s="80"/>
      <c r="E22" s="80"/>
      <c r="F22" s="80"/>
      <c r="G22" s="80"/>
      <c r="H22" s="80"/>
      <c r="I22" s="80"/>
      <c r="J22" s="80"/>
      <c r="K22" s="80"/>
      <c r="L22" s="80"/>
      <c r="M22" s="80"/>
      <c r="N22" s="80"/>
      <c r="O22" s="80"/>
      <c r="P22" s="80"/>
      <c r="Q22" s="80"/>
      <c r="R22" s="80"/>
      <c r="S22" s="80"/>
      <c r="T22" s="80"/>
      <c r="U22" s="80"/>
      <c r="V22" s="80"/>
      <c r="W22" s="80"/>
      <c r="X22" s="80"/>
      <c r="Y22" s="80"/>
      <c r="Z22" s="80"/>
      <c r="AA22" s="80"/>
    </row>
    <row r="23" spans="3:27" x14ac:dyDescent="0.25">
      <c r="C23" s="80"/>
      <c r="D23" s="80"/>
      <c r="E23" s="80"/>
      <c r="F23" s="80"/>
      <c r="G23" s="80"/>
      <c r="H23" s="80"/>
      <c r="I23" s="80"/>
      <c r="J23" s="80"/>
      <c r="K23" s="80"/>
      <c r="L23" s="80"/>
      <c r="M23" s="80"/>
      <c r="N23" s="80"/>
      <c r="O23" s="80"/>
      <c r="P23" s="80"/>
      <c r="Q23" s="80"/>
      <c r="R23" s="80"/>
      <c r="S23" s="80"/>
      <c r="T23" s="80"/>
      <c r="U23" s="80"/>
      <c r="V23" s="80"/>
      <c r="W23" s="80"/>
      <c r="X23" s="80"/>
      <c r="Y23" s="80"/>
      <c r="Z23" s="80"/>
      <c r="AA23" s="80"/>
    </row>
    <row r="24" spans="3:27" x14ac:dyDescent="0.25">
      <c r="C24" s="80"/>
      <c r="D24" s="80"/>
      <c r="E24" s="80"/>
      <c r="F24" s="80"/>
      <c r="G24" s="80"/>
      <c r="H24" s="80"/>
      <c r="I24" s="80"/>
      <c r="J24" s="80"/>
      <c r="K24" s="80"/>
      <c r="L24" s="80"/>
      <c r="M24" s="80"/>
      <c r="N24" s="80"/>
      <c r="O24" s="80"/>
      <c r="P24" s="80"/>
      <c r="Q24" s="80"/>
      <c r="R24" s="80"/>
      <c r="S24" s="80"/>
      <c r="T24" s="80"/>
      <c r="U24" s="80"/>
      <c r="V24" s="80"/>
      <c r="W24" s="80"/>
      <c r="X24" s="80"/>
      <c r="Y24" s="80"/>
      <c r="Z24" s="80"/>
      <c r="AA24" s="80"/>
    </row>
    <row r="25" spans="3:27" x14ac:dyDescent="0.25">
      <c r="C25" s="80"/>
      <c r="D25" s="80"/>
      <c r="E25" s="80"/>
      <c r="F25" s="80"/>
      <c r="G25" s="80"/>
      <c r="H25" s="80"/>
      <c r="I25" s="80"/>
      <c r="J25" s="80"/>
      <c r="K25" s="80"/>
      <c r="L25" s="80"/>
      <c r="M25" s="80"/>
      <c r="N25" s="80"/>
      <c r="O25" s="80"/>
      <c r="P25" s="80"/>
      <c r="Q25" s="80"/>
      <c r="R25" s="80"/>
      <c r="S25" s="80"/>
      <c r="T25" s="80"/>
      <c r="U25" s="80"/>
      <c r="V25" s="80"/>
      <c r="W25" s="80"/>
      <c r="X25" s="80"/>
      <c r="Y25" s="80"/>
      <c r="Z25" s="80"/>
      <c r="AA25" s="80"/>
    </row>
    <row r="26" spans="3:27" x14ac:dyDescent="0.25">
      <c r="C26" s="80"/>
      <c r="D26" s="80"/>
      <c r="E26" s="80"/>
      <c r="F26" s="80"/>
      <c r="G26" s="80"/>
      <c r="H26" s="80"/>
      <c r="I26" s="80"/>
      <c r="J26" s="80"/>
      <c r="K26" s="80"/>
      <c r="L26" s="80"/>
      <c r="M26" s="80"/>
      <c r="N26" s="80"/>
      <c r="O26" s="80"/>
      <c r="P26" s="80"/>
      <c r="Q26" s="80"/>
      <c r="R26" s="80"/>
      <c r="S26" s="80"/>
      <c r="T26" s="80"/>
      <c r="U26" s="80"/>
      <c r="V26" s="80"/>
      <c r="W26" s="80"/>
      <c r="X26" s="80"/>
      <c r="Y26" s="80"/>
      <c r="Z26" s="80"/>
      <c r="AA26" s="80"/>
    </row>
    <row r="27" spans="3:27" x14ac:dyDescent="0.25">
      <c r="C27" s="80"/>
      <c r="D27" s="80"/>
      <c r="E27" s="80"/>
      <c r="F27" s="80"/>
      <c r="G27" s="80"/>
      <c r="H27" s="80"/>
      <c r="I27" s="80"/>
      <c r="J27" s="80"/>
      <c r="K27" s="80"/>
      <c r="L27" s="80"/>
      <c r="M27" s="80"/>
      <c r="N27" s="80"/>
      <c r="O27" s="80"/>
      <c r="P27" s="80"/>
      <c r="Q27" s="80"/>
      <c r="R27" s="80"/>
      <c r="S27" s="80"/>
      <c r="T27" s="80"/>
      <c r="U27" s="80"/>
      <c r="V27" s="80"/>
      <c r="W27" s="80"/>
      <c r="X27" s="80"/>
      <c r="Y27" s="80"/>
      <c r="Z27" s="80"/>
      <c r="AA27" s="80"/>
    </row>
    <row r="28" spans="3:27" x14ac:dyDescent="0.25">
      <c r="C28" s="80"/>
      <c r="D28" s="80"/>
      <c r="E28" s="80"/>
      <c r="F28" s="80"/>
      <c r="G28" s="80"/>
      <c r="H28" s="80"/>
      <c r="I28" s="80"/>
      <c r="J28" s="80"/>
      <c r="K28" s="80"/>
      <c r="L28" s="80"/>
      <c r="M28" s="80"/>
      <c r="N28" s="80"/>
      <c r="O28" s="80"/>
      <c r="P28" s="80"/>
      <c r="Q28" s="80"/>
      <c r="R28" s="80"/>
      <c r="S28" s="80"/>
      <c r="T28" s="80"/>
      <c r="U28" s="80"/>
      <c r="V28" s="80"/>
      <c r="W28" s="80"/>
      <c r="X28" s="80"/>
      <c r="Y28" s="80"/>
      <c r="Z28" s="80"/>
      <c r="AA28" s="80"/>
    </row>
    <row r="29" spans="3:27" x14ac:dyDescent="0.25">
      <c r="C29" s="80"/>
      <c r="D29" s="80"/>
      <c r="E29" s="80"/>
      <c r="F29" s="80"/>
      <c r="G29" s="80"/>
      <c r="H29" s="80"/>
      <c r="I29" s="80"/>
      <c r="J29" s="80"/>
      <c r="K29" s="80"/>
      <c r="L29" s="80"/>
      <c r="M29" s="80"/>
      <c r="N29" s="80"/>
      <c r="O29" s="80"/>
      <c r="P29" s="80"/>
      <c r="Q29" s="80"/>
      <c r="R29" s="80"/>
      <c r="S29" s="80"/>
      <c r="T29" s="80"/>
      <c r="U29" s="80"/>
      <c r="V29" s="80"/>
      <c r="W29" s="80"/>
      <c r="X29" s="80"/>
      <c r="Y29" s="80"/>
      <c r="Z29" s="80"/>
      <c r="AA29" s="80"/>
    </row>
    <row r="30" spans="3:27" x14ac:dyDescent="0.25">
      <c r="C30" s="82"/>
      <c r="D30" s="81"/>
      <c r="E30" s="81"/>
      <c r="F30" s="81"/>
      <c r="G30" s="81"/>
      <c r="H30" s="81"/>
      <c r="I30" s="81"/>
      <c r="J30" s="81"/>
      <c r="K30" s="81"/>
      <c r="L30" s="81"/>
      <c r="M30" s="81"/>
      <c r="N30" s="81"/>
      <c r="O30" s="81"/>
      <c r="P30" s="81"/>
      <c r="Q30" s="81"/>
      <c r="R30" s="81"/>
      <c r="S30" s="81"/>
      <c r="T30" s="81"/>
      <c r="U30" s="81"/>
      <c r="V30" s="81"/>
      <c r="W30" s="81"/>
      <c r="X30" s="81"/>
      <c r="Y30" s="81"/>
      <c r="Z30" s="81"/>
      <c r="AA30" s="81"/>
    </row>
    <row r="31" spans="3:27" x14ac:dyDescent="0.25">
      <c r="C31" s="80"/>
      <c r="D31" s="81"/>
      <c r="E31" s="81"/>
      <c r="F31" s="81"/>
      <c r="G31" s="81"/>
      <c r="H31" s="81"/>
      <c r="I31" s="81"/>
      <c r="J31" s="81"/>
      <c r="K31" s="81"/>
      <c r="L31" s="81"/>
      <c r="M31" s="81"/>
      <c r="N31" s="81"/>
      <c r="O31" s="81"/>
      <c r="P31" s="81"/>
      <c r="Q31" s="81"/>
      <c r="R31" s="81"/>
      <c r="S31" s="81"/>
      <c r="T31" s="81"/>
      <c r="U31" s="81"/>
      <c r="V31" s="81"/>
      <c r="W31" s="81"/>
      <c r="X31" s="81"/>
      <c r="Y31" s="81"/>
      <c r="Z31" s="81"/>
      <c r="AA31" s="81"/>
    </row>
    <row r="32" spans="3:27" x14ac:dyDescent="0.25">
      <c r="C32" s="80"/>
      <c r="D32" s="81"/>
      <c r="E32" s="81"/>
      <c r="F32" s="81"/>
      <c r="G32" s="81"/>
      <c r="H32" s="81"/>
      <c r="I32" s="81"/>
      <c r="J32" s="81"/>
      <c r="K32" s="81"/>
      <c r="L32" s="81"/>
      <c r="M32" s="81"/>
      <c r="N32" s="81"/>
      <c r="O32" s="81"/>
      <c r="P32" s="81"/>
      <c r="Q32" s="81"/>
      <c r="R32" s="81"/>
      <c r="S32" s="81"/>
      <c r="T32" s="81"/>
      <c r="U32" s="81"/>
      <c r="V32" s="81"/>
      <c r="W32" s="81"/>
      <c r="X32" s="81"/>
      <c r="Y32" s="81"/>
      <c r="Z32" s="81"/>
      <c r="AA32" s="81"/>
    </row>
    <row r="33" spans="3:27" x14ac:dyDescent="0.25">
      <c r="C33" s="80"/>
      <c r="D33" s="81"/>
      <c r="E33" s="81"/>
      <c r="F33" s="81"/>
      <c r="G33" s="81"/>
      <c r="H33" s="81"/>
      <c r="I33" s="81"/>
      <c r="J33" s="81"/>
      <c r="K33" s="81"/>
      <c r="L33" s="81"/>
      <c r="M33" s="81"/>
      <c r="N33" s="81"/>
      <c r="O33" s="81"/>
      <c r="P33" s="81"/>
      <c r="Q33" s="81"/>
      <c r="R33" s="81"/>
      <c r="S33" s="81"/>
      <c r="T33" s="81"/>
      <c r="U33" s="81"/>
      <c r="V33" s="81"/>
      <c r="W33" s="81"/>
      <c r="X33" s="81"/>
      <c r="Y33" s="81"/>
      <c r="Z33" s="81"/>
      <c r="AA33" s="81"/>
    </row>
    <row r="34" spans="3:27" x14ac:dyDescent="0.25">
      <c r="C34" s="81"/>
      <c r="D34" s="81"/>
      <c r="E34" s="81"/>
      <c r="F34" s="81"/>
      <c r="G34" s="81"/>
      <c r="H34" s="81"/>
      <c r="I34" s="81"/>
      <c r="J34" s="81"/>
      <c r="K34" s="81"/>
      <c r="L34" s="81"/>
      <c r="M34" s="81"/>
      <c r="N34" s="81"/>
      <c r="O34" s="81"/>
      <c r="P34" s="81"/>
      <c r="Q34" s="81"/>
      <c r="R34" s="81"/>
      <c r="S34" s="81"/>
      <c r="T34" s="81"/>
      <c r="U34" s="81"/>
      <c r="V34" s="81"/>
      <c r="W34" s="81"/>
      <c r="X34" s="81"/>
      <c r="Y34" s="81"/>
      <c r="Z34" s="81"/>
      <c r="AA34" s="81"/>
    </row>
    <row r="36" spans="3:27" x14ac:dyDescent="0.25">
      <c r="C36" s="80"/>
      <c r="D36" s="80"/>
      <c r="E36" s="80"/>
      <c r="F36" s="80"/>
      <c r="G36" s="80"/>
      <c r="H36" s="80"/>
      <c r="I36" s="80"/>
      <c r="J36" s="80"/>
      <c r="K36" s="80"/>
      <c r="L36" s="80"/>
      <c r="M36" s="80"/>
      <c r="N36" s="80"/>
      <c r="O36" s="80"/>
      <c r="P36" s="80"/>
      <c r="Q36" s="80"/>
      <c r="R36" s="80"/>
      <c r="S36" s="80"/>
      <c r="T36" s="80"/>
      <c r="U36" s="80"/>
      <c r="V36" s="80"/>
      <c r="W36" s="80"/>
      <c r="X36" s="80"/>
      <c r="Y36" s="80"/>
      <c r="Z36" s="80"/>
      <c r="AA36" s="80"/>
    </row>
    <row r="37" spans="3:27" x14ac:dyDescent="0.25">
      <c r="C37" s="80"/>
      <c r="D37" s="80"/>
      <c r="E37" s="80"/>
      <c r="F37" s="80"/>
      <c r="G37" s="80"/>
      <c r="H37" s="80"/>
      <c r="I37" s="80"/>
      <c r="J37" s="80"/>
      <c r="K37" s="80"/>
      <c r="L37" s="80"/>
      <c r="M37" s="80"/>
      <c r="N37" s="80"/>
      <c r="O37" s="80"/>
      <c r="P37" s="80"/>
      <c r="Q37" s="80"/>
      <c r="R37" s="80"/>
      <c r="S37" s="80"/>
      <c r="T37" s="80"/>
      <c r="U37" s="80"/>
      <c r="V37" s="80"/>
      <c r="W37" s="80"/>
      <c r="X37" s="80"/>
      <c r="Y37" s="80"/>
      <c r="Z37" s="80"/>
      <c r="AA37" s="80"/>
    </row>
    <row r="38" spans="3:27" x14ac:dyDescent="0.25">
      <c r="C38" s="80"/>
      <c r="D38" s="80"/>
      <c r="E38" s="80"/>
      <c r="F38" s="80"/>
      <c r="G38" s="80"/>
      <c r="H38" s="80"/>
      <c r="I38" s="80"/>
      <c r="J38" s="80"/>
      <c r="K38" s="80"/>
      <c r="L38" s="80"/>
      <c r="M38" s="80"/>
      <c r="N38" s="80"/>
      <c r="O38" s="80"/>
      <c r="P38" s="80"/>
      <c r="Q38" s="80"/>
      <c r="R38" s="80"/>
      <c r="S38" s="80"/>
      <c r="T38" s="80"/>
      <c r="U38" s="80"/>
      <c r="V38" s="80"/>
      <c r="W38" s="80"/>
      <c r="X38" s="80"/>
      <c r="Y38" s="80"/>
      <c r="Z38" s="80"/>
      <c r="AA38" s="80"/>
    </row>
    <row r="39" spans="3:27" x14ac:dyDescent="0.25">
      <c r="C39" s="80"/>
      <c r="D39" s="80"/>
      <c r="E39" s="80"/>
      <c r="F39" s="80"/>
      <c r="G39" s="80"/>
      <c r="H39" s="80"/>
      <c r="I39" s="80"/>
      <c r="J39" s="80"/>
      <c r="K39" s="80"/>
      <c r="L39" s="80"/>
      <c r="M39" s="80"/>
      <c r="N39" s="80"/>
      <c r="O39" s="80"/>
      <c r="P39" s="80"/>
      <c r="Q39" s="80"/>
      <c r="R39" s="80"/>
      <c r="S39" s="80"/>
      <c r="T39" s="80"/>
      <c r="U39" s="80"/>
      <c r="V39" s="80"/>
      <c r="W39" s="80"/>
      <c r="X39" s="80"/>
      <c r="Y39" s="80"/>
      <c r="Z39" s="80"/>
      <c r="AA39" s="80"/>
    </row>
    <row r="40" spans="3:27" x14ac:dyDescent="0.25">
      <c r="C40" s="80"/>
      <c r="D40" s="80"/>
      <c r="E40" s="80"/>
      <c r="F40" s="80"/>
      <c r="G40" s="80"/>
      <c r="H40" s="80"/>
      <c r="I40" s="80"/>
      <c r="J40" s="80"/>
      <c r="K40" s="80"/>
      <c r="L40" s="80"/>
      <c r="M40" s="80"/>
      <c r="N40" s="80"/>
      <c r="O40" s="80"/>
      <c r="P40" s="80"/>
      <c r="Q40" s="80"/>
      <c r="R40" s="80"/>
      <c r="S40" s="80"/>
      <c r="T40" s="80"/>
      <c r="U40" s="80"/>
      <c r="V40" s="80"/>
      <c r="W40" s="80"/>
      <c r="X40" s="80"/>
      <c r="Y40" s="80"/>
      <c r="Z40" s="80"/>
      <c r="AA40" s="80"/>
    </row>
    <row r="41" spans="3:27" x14ac:dyDescent="0.25">
      <c r="C41" s="80"/>
      <c r="D41" s="80"/>
      <c r="E41" s="80"/>
      <c r="F41" s="80"/>
      <c r="G41" s="80"/>
      <c r="H41" s="80"/>
      <c r="I41" s="80"/>
      <c r="J41" s="80"/>
      <c r="K41" s="80"/>
      <c r="L41" s="80"/>
      <c r="M41" s="80"/>
      <c r="N41" s="80"/>
      <c r="O41" s="80"/>
      <c r="P41" s="80"/>
      <c r="Q41" s="80"/>
      <c r="R41" s="80"/>
      <c r="S41" s="80"/>
      <c r="T41" s="80"/>
      <c r="U41" s="80"/>
      <c r="V41" s="80"/>
      <c r="W41" s="80"/>
      <c r="X41" s="80"/>
      <c r="Y41" s="80"/>
      <c r="Z41" s="80"/>
      <c r="AA41" s="80"/>
    </row>
    <row r="42" spans="3:27" x14ac:dyDescent="0.25">
      <c r="C42" s="80"/>
      <c r="D42" s="80"/>
      <c r="E42" s="80"/>
      <c r="F42" s="80"/>
      <c r="G42" s="80"/>
      <c r="H42" s="80"/>
      <c r="I42" s="80"/>
      <c r="J42" s="80"/>
      <c r="K42" s="80"/>
      <c r="L42" s="80"/>
      <c r="M42" s="80"/>
      <c r="N42" s="80"/>
      <c r="O42" s="80"/>
      <c r="P42" s="80"/>
      <c r="Q42" s="80"/>
      <c r="R42" s="80"/>
      <c r="S42" s="80"/>
      <c r="T42" s="80"/>
      <c r="U42" s="80"/>
      <c r="V42" s="80"/>
      <c r="W42" s="80"/>
      <c r="X42" s="80"/>
      <c r="Y42" s="80"/>
      <c r="Z42" s="80"/>
      <c r="AA42" s="80"/>
    </row>
    <row r="43" spans="3:27" x14ac:dyDescent="0.25">
      <c r="C43" s="80"/>
      <c r="D43" s="80"/>
      <c r="E43" s="80"/>
      <c r="F43" s="80"/>
      <c r="G43" s="80"/>
      <c r="H43" s="80"/>
      <c r="I43" s="80"/>
      <c r="J43" s="80"/>
      <c r="K43" s="80"/>
      <c r="L43" s="80"/>
      <c r="M43" s="80"/>
      <c r="N43" s="80"/>
      <c r="O43" s="80"/>
      <c r="P43" s="80"/>
      <c r="Q43" s="80"/>
      <c r="R43" s="80"/>
      <c r="S43" s="80"/>
      <c r="T43" s="80"/>
      <c r="U43" s="80"/>
      <c r="V43" s="80"/>
      <c r="W43" s="80"/>
      <c r="X43" s="80"/>
      <c r="Y43" s="80"/>
      <c r="Z43" s="80"/>
      <c r="AA43" s="80"/>
    </row>
    <row r="44" spans="3:27" x14ac:dyDescent="0.25">
      <c r="C44" s="82"/>
      <c r="D44" s="81"/>
      <c r="E44" s="81"/>
      <c r="F44" s="81"/>
      <c r="G44" s="81"/>
      <c r="H44" s="81"/>
      <c r="I44" s="81"/>
      <c r="J44" s="81"/>
      <c r="K44" s="81"/>
      <c r="L44" s="81"/>
      <c r="M44" s="81"/>
      <c r="N44" s="81"/>
      <c r="O44" s="81"/>
      <c r="P44" s="81"/>
      <c r="Q44" s="81"/>
      <c r="R44" s="81"/>
      <c r="S44" s="81"/>
      <c r="T44" s="81"/>
      <c r="U44" s="81"/>
      <c r="V44" s="81"/>
      <c r="W44" s="81"/>
      <c r="X44" s="81"/>
      <c r="Y44" s="81"/>
      <c r="Z44" s="81"/>
      <c r="AA44" s="81"/>
    </row>
    <row r="45" spans="3:27" x14ac:dyDescent="0.25">
      <c r="C45" s="80"/>
      <c r="D45" s="81"/>
      <c r="E45" s="81"/>
      <c r="F45" s="81"/>
      <c r="G45" s="81"/>
      <c r="H45" s="81"/>
      <c r="I45" s="81"/>
      <c r="J45" s="81"/>
      <c r="K45" s="81"/>
      <c r="L45" s="81"/>
      <c r="M45" s="81"/>
      <c r="N45" s="81"/>
      <c r="O45" s="81"/>
      <c r="P45" s="81"/>
      <c r="Q45" s="81"/>
      <c r="R45" s="81"/>
      <c r="S45" s="81"/>
      <c r="T45" s="81"/>
      <c r="U45" s="81"/>
      <c r="V45" s="81"/>
      <c r="W45" s="81"/>
      <c r="X45" s="81"/>
      <c r="Y45" s="81"/>
      <c r="Z45" s="81"/>
      <c r="AA45" s="81"/>
    </row>
    <row r="46" spans="3:27" x14ac:dyDescent="0.25">
      <c r="C46" s="80"/>
      <c r="D46" s="81"/>
      <c r="E46" s="81"/>
      <c r="F46" s="81"/>
      <c r="G46" s="81"/>
      <c r="H46" s="81"/>
      <c r="I46" s="81"/>
      <c r="J46" s="81"/>
      <c r="K46" s="81"/>
      <c r="L46" s="81"/>
      <c r="M46" s="81"/>
      <c r="N46" s="81"/>
      <c r="O46" s="81"/>
      <c r="P46" s="81"/>
      <c r="Q46" s="81"/>
      <c r="R46" s="81"/>
      <c r="S46" s="81"/>
      <c r="T46" s="81"/>
      <c r="U46" s="81"/>
      <c r="V46" s="81"/>
      <c r="W46" s="81"/>
      <c r="X46" s="81"/>
      <c r="Y46" s="81"/>
      <c r="Z46" s="81"/>
      <c r="AA46" s="81"/>
    </row>
    <row r="47" spans="3:27" x14ac:dyDescent="0.25">
      <c r="C47" s="80"/>
      <c r="D47" s="81"/>
      <c r="E47" s="81"/>
      <c r="F47" s="81"/>
      <c r="G47" s="81"/>
      <c r="H47" s="81"/>
      <c r="I47" s="81"/>
      <c r="J47" s="81"/>
      <c r="K47" s="81"/>
      <c r="L47" s="81"/>
      <c r="M47" s="81"/>
      <c r="N47" s="81"/>
      <c r="O47" s="81"/>
      <c r="P47" s="81"/>
      <c r="Q47" s="81"/>
      <c r="R47" s="81"/>
      <c r="S47" s="81"/>
      <c r="T47" s="81"/>
      <c r="U47" s="81"/>
      <c r="V47" s="81"/>
      <c r="W47" s="81"/>
      <c r="X47" s="81"/>
      <c r="Y47" s="81"/>
      <c r="Z47" s="81"/>
      <c r="AA47" s="81"/>
    </row>
    <row r="48" spans="3:27" x14ac:dyDescent="0.25">
      <c r="C48" s="81"/>
      <c r="D48" s="81"/>
      <c r="E48" s="81"/>
      <c r="F48" s="81"/>
      <c r="G48" s="81"/>
      <c r="H48" s="81"/>
      <c r="I48" s="81"/>
      <c r="J48" s="81"/>
      <c r="K48" s="81"/>
      <c r="L48" s="81"/>
      <c r="M48" s="81"/>
      <c r="N48" s="81"/>
      <c r="O48" s="81"/>
      <c r="P48" s="81"/>
      <c r="Q48" s="81"/>
      <c r="R48" s="81"/>
      <c r="S48" s="81"/>
      <c r="T48" s="81"/>
      <c r="U48" s="81"/>
      <c r="V48" s="81"/>
      <c r="W48" s="81"/>
      <c r="X48" s="81"/>
      <c r="Y48" s="81"/>
      <c r="Z48" s="81"/>
      <c r="AA48" s="81"/>
    </row>
    <row r="50" spans="3:27" x14ac:dyDescent="0.25">
      <c r="C50" s="80"/>
      <c r="D50" s="80"/>
      <c r="E50" s="80"/>
      <c r="F50" s="80"/>
      <c r="G50" s="80"/>
      <c r="H50" s="80"/>
      <c r="I50" s="80"/>
      <c r="J50" s="80"/>
      <c r="K50" s="80"/>
      <c r="L50" s="80"/>
      <c r="M50" s="80"/>
      <c r="N50" s="80"/>
      <c r="O50" s="80"/>
      <c r="P50" s="80"/>
      <c r="Q50" s="80"/>
      <c r="R50" s="80"/>
      <c r="S50" s="80"/>
      <c r="T50" s="80"/>
      <c r="U50" s="80"/>
      <c r="V50" s="80"/>
      <c r="W50" s="80"/>
      <c r="X50" s="80"/>
      <c r="Y50" s="80"/>
      <c r="Z50" s="80"/>
      <c r="AA50" s="80"/>
    </row>
    <row r="51" spans="3:27" x14ac:dyDescent="0.25">
      <c r="C51" s="80"/>
      <c r="D51" s="80"/>
      <c r="E51" s="80"/>
      <c r="F51" s="80"/>
      <c r="G51" s="80"/>
      <c r="H51" s="80"/>
      <c r="I51" s="80"/>
      <c r="J51" s="80"/>
      <c r="K51" s="80"/>
      <c r="L51" s="80"/>
      <c r="M51" s="80"/>
      <c r="N51" s="80"/>
      <c r="O51" s="80"/>
      <c r="P51" s="80"/>
      <c r="Q51" s="80"/>
      <c r="R51" s="80"/>
      <c r="S51" s="80"/>
      <c r="T51" s="80"/>
      <c r="U51" s="80"/>
      <c r="V51" s="80"/>
      <c r="W51" s="80"/>
      <c r="X51" s="80"/>
      <c r="Y51" s="80"/>
      <c r="Z51" s="80"/>
      <c r="AA51" s="80"/>
    </row>
    <row r="52" spans="3:27" x14ac:dyDescent="0.25">
      <c r="C52" s="80"/>
      <c r="D52" s="80"/>
      <c r="E52" s="80"/>
      <c r="F52" s="80"/>
      <c r="G52" s="80"/>
      <c r="H52" s="80"/>
      <c r="I52" s="80"/>
      <c r="J52" s="80"/>
      <c r="K52" s="80"/>
      <c r="L52" s="80"/>
      <c r="M52" s="80"/>
      <c r="N52" s="80"/>
      <c r="O52" s="80"/>
      <c r="P52" s="80"/>
      <c r="Q52" s="80"/>
      <c r="R52" s="80"/>
      <c r="S52" s="80"/>
      <c r="T52" s="80"/>
      <c r="U52" s="80"/>
      <c r="V52" s="80"/>
      <c r="W52" s="80"/>
      <c r="X52" s="80"/>
      <c r="Y52" s="80"/>
      <c r="Z52" s="80"/>
      <c r="AA52" s="80"/>
    </row>
    <row r="53" spans="3:27" x14ac:dyDescent="0.25">
      <c r="C53" s="80"/>
      <c r="D53" s="80"/>
      <c r="E53" s="80"/>
      <c r="F53" s="80"/>
      <c r="G53" s="80"/>
      <c r="H53" s="80"/>
      <c r="I53" s="80"/>
      <c r="J53" s="80"/>
      <c r="K53" s="80"/>
      <c r="L53" s="80"/>
      <c r="M53" s="80"/>
      <c r="N53" s="80"/>
      <c r="O53" s="80"/>
      <c r="P53" s="80"/>
      <c r="Q53" s="80"/>
      <c r="R53" s="80"/>
      <c r="S53" s="80"/>
      <c r="T53" s="80"/>
      <c r="U53" s="80"/>
      <c r="V53" s="80"/>
      <c r="W53" s="80"/>
      <c r="X53" s="80"/>
      <c r="Y53" s="80"/>
      <c r="Z53" s="80"/>
      <c r="AA53" s="80"/>
    </row>
    <row r="54" spans="3:27" x14ac:dyDescent="0.25">
      <c r="C54" s="80"/>
      <c r="D54" s="80"/>
      <c r="E54" s="80"/>
      <c r="F54" s="80"/>
      <c r="G54" s="80"/>
      <c r="H54" s="80"/>
      <c r="I54" s="80"/>
      <c r="J54" s="80"/>
      <c r="K54" s="80"/>
      <c r="L54" s="80"/>
      <c r="M54" s="80"/>
      <c r="N54" s="80"/>
      <c r="O54" s="80"/>
      <c r="P54" s="80"/>
      <c r="Q54" s="80"/>
      <c r="R54" s="80"/>
      <c r="S54" s="80"/>
      <c r="T54" s="80"/>
      <c r="U54" s="80"/>
      <c r="V54" s="80"/>
      <c r="W54" s="80"/>
      <c r="X54" s="80"/>
      <c r="Y54" s="80"/>
      <c r="Z54" s="80"/>
      <c r="AA54" s="80"/>
    </row>
    <row r="55" spans="3:27" x14ac:dyDescent="0.25">
      <c r="C55" s="80"/>
      <c r="D55" s="80"/>
      <c r="E55" s="80"/>
      <c r="F55" s="80"/>
      <c r="G55" s="80"/>
      <c r="H55" s="80"/>
      <c r="I55" s="80"/>
      <c r="J55" s="80"/>
      <c r="K55" s="80"/>
      <c r="L55" s="80"/>
      <c r="M55" s="80"/>
      <c r="N55" s="80"/>
      <c r="O55" s="80"/>
      <c r="P55" s="80"/>
      <c r="Q55" s="80"/>
      <c r="R55" s="80"/>
      <c r="S55" s="80"/>
      <c r="T55" s="80"/>
      <c r="U55" s="80"/>
      <c r="V55" s="80"/>
      <c r="W55" s="80"/>
      <c r="X55" s="80"/>
      <c r="Y55" s="80"/>
      <c r="Z55" s="80"/>
      <c r="AA55" s="80"/>
    </row>
    <row r="56" spans="3:27" x14ac:dyDescent="0.25">
      <c r="C56" s="80"/>
      <c r="D56" s="80"/>
      <c r="E56" s="80"/>
      <c r="F56" s="80"/>
      <c r="G56" s="80"/>
      <c r="H56" s="80"/>
      <c r="I56" s="80"/>
      <c r="J56" s="80"/>
      <c r="K56" s="80"/>
      <c r="L56" s="80"/>
      <c r="M56" s="80"/>
      <c r="N56" s="80"/>
      <c r="O56" s="80"/>
      <c r="P56" s="80"/>
      <c r="Q56" s="80"/>
      <c r="R56" s="80"/>
      <c r="S56" s="80"/>
      <c r="T56" s="80"/>
      <c r="U56" s="80"/>
      <c r="V56" s="80"/>
      <c r="W56" s="80"/>
      <c r="X56" s="80"/>
      <c r="Y56" s="80"/>
      <c r="Z56" s="80"/>
      <c r="AA56" s="80"/>
    </row>
    <row r="57" spans="3:27" x14ac:dyDescent="0.25">
      <c r="C57" s="80"/>
      <c r="D57" s="80"/>
      <c r="E57" s="80"/>
      <c r="F57" s="80"/>
      <c r="G57" s="80"/>
      <c r="H57" s="80"/>
      <c r="I57" s="80"/>
      <c r="J57" s="80"/>
      <c r="K57" s="80"/>
      <c r="L57" s="80"/>
      <c r="M57" s="80"/>
      <c r="N57" s="80"/>
      <c r="O57" s="80"/>
      <c r="P57" s="80"/>
      <c r="Q57" s="80"/>
      <c r="R57" s="80"/>
      <c r="S57" s="80"/>
      <c r="T57" s="80"/>
      <c r="U57" s="80"/>
      <c r="V57" s="80"/>
      <c r="W57" s="80"/>
      <c r="X57" s="80"/>
      <c r="Y57" s="80"/>
      <c r="Z57" s="80"/>
      <c r="AA57" s="80"/>
    </row>
    <row r="58" spans="3:27" x14ac:dyDescent="0.25">
      <c r="C58" s="82"/>
      <c r="D58" s="81"/>
      <c r="E58" s="81"/>
      <c r="F58" s="81"/>
      <c r="G58" s="81"/>
      <c r="H58" s="81"/>
      <c r="I58" s="81"/>
      <c r="J58" s="81"/>
      <c r="K58" s="81"/>
      <c r="L58" s="81"/>
      <c r="M58" s="81"/>
      <c r="N58" s="81"/>
      <c r="O58" s="81"/>
      <c r="P58" s="81"/>
      <c r="Q58" s="81"/>
      <c r="R58" s="81"/>
      <c r="S58" s="81"/>
      <c r="T58" s="81"/>
      <c r="U58" s="81"/>
      <c r="V58" s="81"/>
      <c r="W58" s="81"/>
      <c r="X58" s="81"/>
      <c r="Y58" s="81"/>
      <c r="Z58" s="81"/>
      <c r="AA58" s="81"/>
    </row>
    <row r="59" spans="3:27" x14ac:dyDescent="0.25">
      <c r="C59" s="80"/>
      <c r="D59" s="81"/>
      <c r="E59" s="81"/>
      <c r="F59" s="81"/>
      <c r="G59" s="81"/>
      <c r="H59" s="81"/>
      <c r="I59" s="81"/>
      <c r="J59" s="81"/>
      <c r="K59" s="81"/>
      <c r="L59" s="81"/>
      <c r="M59" s="81"/>
      <c r="N59" s="81"/>
      <c r="O59" s="81"/>
      <c r="P59" s="81"/>
      <c r="Q59" s="81"/>
      <c r="R59" s="81"/>
      <c r="S59" s="81"/>
      <c r="T59" s="81"/>
      <c r="U59" s="81"/>
      <c r="V59" s="81"/>
      <c r="W59" s="81"/>
      <c r="X59" s="81"/>
      <c r="Y59" s="81"/>
      <c r="Z59" s="81"/>
      <c r="AA59" s="81"/>
    </row>
    <row r="60" spans="3:27" x14ac:dyDescent="0.25">
      <c r="C60" s="80"/>
      <c r="D60" s="81"/>
      <c r="E60" s="81"/>
      <c r="F60" s="81"/>
      <c r="G60" s="81"/>
      <c r="H60" s="81"/>
      <c r="I60" s="81"/>
      <c r="J60" s="81"/>
      <c r="K60" s="81"/>
      <c r="L60" s="81"/>
      <c r="M60" s="81"/>
      <c r="N60" s="81"/>
      <c r="O60" s="81"/>
      <c r="P60" s="81"/>
      <c r="Q60" s="81"/>
      <c r="R60" s="81"/>
      <c r="S60" s="81"/>
      <c r="T60" s="81"/>
      <c r="U60" s="81"/>
      <c r="V60" s="81"/>
      <c r="W60" s="81"/>
      <c r="X60" s="81"/>
      <c r="Y60" s="81"/>
      <c r="Z60" s="81"/>
      <c r="AA60" s="81"/>
    </row>
    <row r="61" spans="3:27" x14ac:dyDescent="0.25">
      <c r="C61" s="80"/>
      <c r="D61" s="81"/>
      <c r="E61" s="81"/>
      <c r="F61" s="81"/>
      <c r="G61" s="81"/>
      <c r="H61" s="81"/>
      <c r="I61" s="81"/>
      <c r="J61" s="81"/>
      <c r="K61" s="81"/>
      <c r="L61" s="81"/>
      <c r="M61" s="81"/>
      <c r="N61" s="81"/>
      <c r="O61" s="81"/>
      <c r="P61" s="81"/>
      <c r="Q61" s="81"/>
      <c r="R61" s="81"/>
      <c r="S61" s="81"/>
      <c r="T61" s="81"/>
      <c r="U61" s="81"/>
      <c r="V61" s="81"/>
      <c r="W61" s="81"/>
      <c r="X61" s="81"/>
      <c r="Y61" s="81"/>
      <c r="Z61" s="81"/>
      <c r="AA61" s="81"/>
    </row>
    <row r="62" spans="3:27" x14ac:dyDescent="0.25">
      <c r="C62" s="81"/>
      <c r="D62" s="81"/>
      <c r="E62" s="81"/>
      <c r="F62" s="81"/>
      <c r="G62" s="81"/>
      <c r="H62" s="81"/>
      <c r="I62" s="81"/>
      <c r="J62" s="81"/>
      <c r="K62" s="81"/>
      <c r="L62" s="81"/>
      <c r="M62" s="81"/>
      <c r="N62" s="81"/>
      <c r="O62" s="81"/>
      <c r="P62" s="81"/>
      <c r="Q62" s="81"/>
      <c r="R62" s="81"/>
      <c r="S62" s="81"/>
      <c r="T62" s="81"/>
      <c r="U62" s="81"/>
      <c r="V62" s="81"/>
      <c r="W62" s="81"/>
      <c r="X62" s="81"/>
      <c r="Y62" s="81"/>
      <c r="Z62" s="81"/>
      <c r="AA62" s="81"/>
    </row>
    <row r="64" spans="3:27" x14ac:dyDescent="0.25">
      <c r="C64" s="80"/>
      <c r="D64" s="80"/>
      <c r="E64" s="80"/>
      <c r="F64" s="80"/>
      <c r="G64" s="80"/>
      <c r="H64" s="80"/>
      <c r="I64" s="80"/>
      <c r="J64" s="80"/>
      <c r="K64" s="80"/>
      <c r="L64" s="80"/>
      <c r="M64" s="80"/>
      <c r="N64" s="80"/>
      <c r="O64" s="80"/>
      <c r="P64" s="80"/>
      <c r="Q64" s="80"/>
      <c r="R64" s="80"/>
      <c r="S64" s="80"/>
      <c r="T64" s="80"/>
      <c r="U64" s="80"/>
      <c r="V64" s="80"/>
      <c r="W64" s="80"/>
      <c r="X64" s="80"/>
      <c r="Y64" s="80"/>
      <c r="Z64" s="80"/>
      <c r="AA64" s="80"/>
    </row>
    <row r="65" spans="3:27" x14ac:dyDescent="0.25">
      <c r="C65" s="80"/>
      <c r="D65" s="80"/>
      <c r="E65" s="80"/>
      <c r="F65" s="80"/>
      <c r="G65" s="80"/>
      <c r="H65" s="80"/>
      <c r="I65" s="80"/>
      <c r="J65" s="80"/>
      <c r="K65" s="80"/>
      <c r="L65" s="80"/>
      <c r="M65" s="80"/>
      <c r="N65" s="80"/>
      <c r="O65" s="80"/>
      <c r="P65" s="80"/>
      <c r="Q65" s="80"/>
      <c r="R65" s="80"/>
      <c r="S65" s="80"/>
      <c r="T65" s="80"/>
      <c r="U65" s="80"/>
      <c r="V65" s="80"/>
      <c r="W65" s="80"/>
      <c r="X65" s="80"/>
      <c r="Y65" s="80"/>
      <c r="Z65" s="80"/>
      <c r="AA65" s="80"/>
    </row>
    <row r="66" spans="3:27" x14ac:dyDescent="0.25">
      <c r="C66" s="80"/>
      <c r="D66" s="80"/>
      <c r="E66" s="80"/>
      <c r="F66" s="80"/>
      <c r="G66" s="80"/>
      <c r="H66" s="80"/>
      <c r="I66" s="80"/>
      <c r="J66" s="80"/>
      <c r="K66" s="80"/>
      <c r="L66" s="80"/>
      <c r="M66" s="80"/>
      <c r="N66" s="80"/>
      <c r="O66" s="80"/>
      <c r="P66" s="80"/>
      <c r="Q66" s="80"/>
      <c r="R66" s="80"/>
      <c r="S66" s="80"/>
      <c r="T66" s="80"/>
      <c r="U66" s="80"/>
      <c r="V66" s="80"/>
      <c r="W66" s="80"/>
      <c r="X66" s="80"/>
      <c r="Y66" s="80"/>
      <c r="Z66" s="80"/>
      <c r="AA66" s="80"/>
    </row>
    <row r="67" spans="3:27" x14ac:dyDescent="0.25">
      <c r="C67" s="80"/>
      <c r="D67" s="80"/>
      <c r="E67" s="80"/>
      <c r="F67" s="80"/>
      <c r="G67" s="80"/>
      <c r="H67" s="80"/>
      <c r="I67" s="80"/>
      <c r="J67" s="80"/>
      <c r="K67" s="80"/>
      <c r="L67" s="80"/>
      <c r="M67" s="80"/>
      <c r="N67" s="80"/>
      <c r="O67" s="80"/>
      <c r="P67" s="80"/>
      <c r="Q67" s="80"/>
      <c r="R67" s="80"/>
      <c r="S67" s="80"/>
      <c r="T67" s="80"/>
      <c r="U67" s="80"/>
      <c r="V67" s="80"/>
      <c r="W67" s="80"/>
      <c r="X67" s="80"/>
      <c r="Y67" s="80"/>
      <c r="Z67" s="80"/>
      <c r="AA67" s="80"/>
    </row>
    <row r="68" spans="3:27" x14ac:dyDescent="0.25">
      <c r="C68" s="80"/>
      <c r="D68" s="80"/>
      <c r="E68" s="80"/>
      <c r="F68" s="80"/>
      <c r="G68" s="80"/>
      <c r="H68" s="80"/>
      <c r="I68" s="80"/>
      <c r="J68" s="80"/>
      <c r="K68" s="80"/>
      <c r="L68" s="80"/>
      <c r="M68" s="80"/>
      <c r="N68" s="80"/>
      <c r="O68" s="80"/>
      <c r="P68" s="80"/>
      <c r="Q68" s="80"/>
      <c r="R68" s="80"/>
      <c r="S68" s="80"/>
      <c r="T68" s="80"/>
      <c r="U68" s="80"/>
      <c r="V68" s="80"/>
      <c r="W68" s="80"/>
      <c r="X68" s="80"/>
      <c r="Y68" s="80"/>
      <c r="Z68" s="80"/>
      <c r="AA68" s="80"/>
    </row>
    <row r="69" spans="3:27" x14ac:dyDescent="0.25">
      <c r="C69" s="80"/>
      <c r="D69" s="80"/>
      <c r="E69" s="80"/>
      <c r="F69" s="80"/>
      <c r="G69" s="80"/>
      <c r="H69" s="80"/>
      <c r="I69" s="80"/>
      <c r="J69" s="80"/>
      <c r="K69" s="80"/>
      <c r="L69" s="80"/>
      <c r="M69" s="80"/>
      <c r="N69" s="80"/>
      <c r="O69" s="80"/>
      <c r="P69" s="80"/>
      <c r="Q69" s="80"/>
      <c r="R69" s="80"/>
      <c r="S69" s="80"/>
      <c r="T69" s="80"/>
      <c r="U69" s="80"/>
      <c r="V69" s="80"/>
      <c r="W69" s="80"/>
      <c r="X69" s="80"/>
      <c r="Y69" s="80"/>
      <c r="Z69" s="80"/>
      <c r="AA69" s="80"/>
    </row>
    <row r="70" spans="3:27" x14ac:dyDescent="0.25">
      <c r="C70" s="80"/>
      <c r="D70" s="80"/>
      <c r="E70" s="80"/>
      <c r="F70" s="80"/>
      <c r="G70" s="80"/>
      <c r="H70" s="80"/>
      <c r="I70" s="80"/>
      <c r="J70" s="80"/>
      <c r="K70" s="80"/>
      <c r="L70" s="80"/>
      <c r="M70" s="80"/>
      <c r="N70" s="80"/>
      <c r="O70" s="80"/>
      <c r="P70" s="80"/>
      <c r="Q70" s="80"/>
      <c r="R70" s="80"/>
      <c r="S70" s="80"/>
      <c r="T70" s="80"/>
      <c r="U70" s="80"/>
      <c r="V70" s="80"/>
      <c r="W70" s="80"/>
      <c r="X70" s="80"/>
      <c r="Y70" s="80"/>
      <c r="Z70" s="80"/>
      <c r="AA70" s="80"/>
    </row>
    <row r="71" spans="3:27" x14ac:dyDescent="0.25">
      <c r="C71" s="80"/>
      <c r="D71" s="80"/>
      <c r="E71" s="80"/>
      <c r="F71" s="80"/>
      <c r="G71" s="80"/>
      <c r="H71" s="80"/>
      <c r="I71" s="80"/>
      <c r="J71" s="80"/>
      <c r="K71" s="80"/>
      <c r="L71" s="80"/>
      <c r="M71" s="80"/>
      <c r="N71" s="80"/>
      <c r="O71" s="80"/>
      <c r="P71" s="80"/>
      <c r="Q71" s="80"/>
      <c r="R71" s="80"/>
      <c r="S71" s="80"/>
      <c r="T71" s="80"/>
      <c r="U71" s="80"/>
      <c r="V71" s="80"/>
      <c r="W71" s="80"/>
      <c r="X71" s="80"/>
      <c r="Y71" s="80"/>
      <c r="Z71" s="80"/>
      <c r="AA71" s="80"/>
    </row>
    <row r="72" spans="3:27" x14ac:dyDescent="0.25">
      <c r="C72" s="82"/>
      <c r="D72" s="81"/>
      <c r="E72" s="81"/>
      <c r="F72" s="81"/>
      <c r="G72" s="81"/>
      <c r="H72" s="81"/>
      <c r="I72" s="81"/>
      <c r="J72" s="81"/>
      <c r="K72" s="81"/>
      <c r="L72" s="81"/>
      <c r="M72" s="81"/>
      <c r="N72" s="81"/>
      <c r="O72" s="81"/>
      <c r="P72" s="81"/>
      <c r="Q72" s="81"/>
      <c r="R72" s="81"/>
      <c r="S72" s="81"/>
      <c r="T72" s="81"/>
      <c r="U72" s="81"/>
      <c r="V72" s="81"/>
      <c r="W72" s="81"/>
      <c r="X72" s="81"/>
      <c r="Y72" s="81"/>
      <c r="Z72" s="81"/>
      <c r="AA72" s="81"/>
    </row>
    <row r="73" spans="3:27" x14ac:dyDescent="0.25">
      <c r="C73" s="80"/>
      <c r="D73" s="81"/>
      <c r="E73" s="81"/>
      <c r="F73" s="81"/>
      <c r="G73" s="81"/>
      <c r="H73" s="81"/>
      <c r="I73" s="81"/>
      <c r="J73" s="81"/>
      <c r="K73" s="81"/>
      <c r="L73" s="81"/>
      <c r="M73" s="81"/>
      <c r="N73" s="81"/>
      <c r="O73" s="81"/>
      <c r="P73" s="81"/>
      <c r="Q73" s="81"/>
      <c r="R73" s="81"/>
      <c r="S73" s="81"/>
      <c r="T73" s="81"/>
      <c r="U73" s="81"/>
      <c r="V73" s="81"/>
      <c r="W73" s="81"/>
      <c r="X73" s="81"/>
      <c r="Y73" s="81"/>
      <c r="Z73" s="81"/>
      <c r="AA73" s="81"/>
    </row>
    <row r="74" spans="3:27" x14ac:dyDescent="0.25">
      <c r="C74" s="80"/>
      <c r="D74" s="81"/>
      <c r="E74" s="81"/>
      <c r="F74" s="81"/>
      <c r="G74" s="81"/>
      <c r="H74" s="81"/>
      <c r="I74" s="81"/>
      <c r="J74" s="81"/>
      <c r="K74" s="81"/>
      <c r="L74" s="81"/>
      <c r="M74" s="81"/>
      <c r="N74" s="81"/>
      <c r="O74" s="81"/>
      <c r="P74" s="81"/>
      <c r="Q74" s="81"/>
      <c r="R74" s="81"/>
      <c r="S74" s="81"/>
      <c r="T74" s="81"/>
      <c r="U74" s="81"/>
      <c r="V74" s="81"/>
      <c r="W74" s="81"/>
      <c r="X74" s="81"/>
      <c r="Y74" s="81"/>
      <c r="Z74" s="81"/>
      <c r="AA74" s="81"/>
    </row>
    <row r="75" spans="3:27" x14ac:dyDescent="0.25">
      <c r="C75" s="80"/>
      <c r="D75" s="81"/>
      <c r="E75" s="81"/>
      <c r="F75" s="81"/>
      <c r="G75" s="81"/>
      <c r="H75" s="81"/>
      <c r="I75" s="81"/>
      <c r="J75" s="81"/>
      <c r="K75" s="81"/>
      <c r="L75" s="81"/>
      <c r="M75" s="81"/>
      <c r="N75" s="81"/>
      <c r="O75" s="81"/>
      <c r="P75" s="81"/>
      <c r="Q75" s="81"/>
      <c r="R75" s="81"/>
      <c r="S75" s="81"/>
      <c r="T75" s="81"/>
      <c r="U75" s="81"/>
      <c r="V75" s="81"/>
      <c r="W75" s="81"/>
      <c r="X75" s="81"/>
      <c r="Y75" s="81"/>
      <c r="Z75" s="81"/>
      <c r="AA75" s="81"/>
    </row>
    <row r="76" spans="3:27" x14ac:dyDescent="0.25">
      <c r="C76" s="81"/>
      <c r="D76" s="81"/>
      <c r="E76" s="81"/>
      <c r="F76" s="81"/>
      <c r="G76" s="81"/>
      <c r="H76" s="81"/>
      <c r="I76" s="81"/>
      <c r="J76" s="81"/>
      <c r="K76" s="81"/>
      <c r="L76" s="81"/>
      <c r="M76" s="81"/>
      <c r="N76" s="81"/>
      <c r="O76" s="81"/>
      <c r="P76" s="81"/>
      <c r="Q76" s="81"/>
      <c r="R76" s="81"/>
      <c r="S76" s="81"/>
      <c r="T76" s="81"/>
      <c r="U76" s="81"/>
      <c r="V76" s="81"/>
      <c r="W76" s="81"/>
      <c r="X76" s="81"/>
      <c r="Y76" s="81"/>
      <c r="Z76" s="81"/>
      <c r="AA76" s="81"/>
    </row>
    <row r="78" spans="3:27" x14ac:dyDescent="0.25">
      <c r="C78" s="80"/>
      <c r="D78" s="80"/>
      <c r="E78" s="80"/>
      <c r="F78" s="80"/>
      <c r="G78" s="80"/>
      <c r="H78" s="80"/>
      <c r="I78" s="80"/>
      <c r="J78" s="80"/>
      <c r="K78" s="80"/>
      <c r="L78" s="80"/>
      <c r="M78" s="80"/>
      <c r="N78" s="80"/>
      <c r="O78" s="80"/>
      <c r="P78" s="80"/>
      <c r="Q78" s="80"/>
      <c r="R78" s="80"/>
      <c r="S78" s="80"/>
      <c r="T78" s="80"/>
      <c r="U78" s="80"/>
      <c r="V78" s="80"/>
      <c r="W78" s="80"/>
      <c r="X78" s="80"/>
      <c r="Y78" s="80"/>
      <c r="Z78" s="80"/>
      <c r="AA78" s="80"/>
    </row>
    <row r="79" spans="3:27" x14ac:dyDescent="0.25">
      <c r="C79" s="80"/>
      <c r="D79" s="80"/>
      <c r="E79" s="80"/>
      <c r="F79" s="80"/>
      <c r="G79" s="80"/>
      <c r="H79" s="80"/>
      <c r="I79" s="80"/>
      <c r="J79" s="80"/>
      <c r="K79" s="80"/>
      <c r="L79" s="80"/>
      <c r="M79" s="80"/>
      <c r="N79" s="80"/>
      <c r="O79" s="80"/>
      <c r="P79" s="80"/>
      <c r="Q79" s="80"/>
      <c r="R79" s="80"/>
      <c r="S79" s="80"/>
      <c r="T79" s="80"/>
      <c r="U79" s="80"/>
      <c r="V79" s="80"/>
      <c r="W79" s="80"/>
      <c r="X79" s="80"/>
      <c r="Y79" s="80"/>
      <c r="Z79" s="80"/>
      <c r="AA79" s="80"/>
    </row>
    <row r="80" spans="3:27" x14ac:dyDescent="0.25">
      <c r="C80" s="80"/>
      <c r="D80" s="80"/>
      <c r="E80" s="80"/>
      <c r="F80" s="80"/>
      <c r="G80" s="80"/>
      <c r="H80" s="80"/>
      <c r="I80" s="80"/>
      <c r="J80" s="80"/>
      <c r="K80" s="80"/>
      <c r="L80" s="80"/>
      <c r="M80" s="80"/>
      <c r="N80" s="80"/>
      <c r="O80" s="80"/>
      <c r="P80" s="80"/>
      <c r="Q80" s="80"/>
      <c r="R80" s="80"/>
      <c r="S80" s="80"/>
      <c r="T80" s="80"/>
      <c r="U80" s="80"/>
      <c r="V80" s="80"/>
      <c r="W80" s="80"/>
      <c r="X80" s="80"/>
      <c r="Y80" s="80"/>
      <c r="Z80" s="80"/>
      <c r="AA80" s="80"/>
    </row>
    <row r="81" spans="3:27" x14ac:dyDescent="0.25">
      <c r="C81" s="80"/>
      <c r="D81" s="80"/>
      <c r="E81" s="80"/>
      <c r="F81" s="80"/>
      <c r="G81" s="80"/>
      <c r="H81" s="80"/>
      <c r="I81" s="80"/>
      <c r="J81" s="80"/>
      <c r="K81" s="80"/>
      <c r="L81" s="80"/>
      <c r="M81" s="80"/>
      <c r="N81" s="80"/>
      <c r="O81" s="80"/>
      <c r="P81" s="80"/>
      <c r="Q81" s="80"/>
      <c r="R81" s="80"/>
      <c r="S81" s="80"/>
      <c r="T81" s="80"/>
      <c r="U81" s="80"/>
      <c r="V81" s="80"/>
      <c r="W81" s="80"/>
      <c r="X81" s="80"/>
      <c r="Y81" s="80"/>
      <c r="Z81" s="80"/>
      <c r="AA81" s="80"/>
    </row>
    <row r="82" spans="3:27" x14ac:dyDescent="0.25">
      <c r="C82" s="80"/>
      <c r="D82" s="80"/>
      <c r="E82" s="80"/>
      <c r="F82" s="80"/>
      <c r="G82" s="80"/>
      <c r="H82" s="80"/>
      <c r="I82" s="80"/>
      <c r="J82" s="80"/>
      <c r="K82" s="80"/>
      <c r="L82" s="80"/>
      <c r="M82" s="80"/>
      <c r="N82" s="80"/>
      <c r="O82" s="80"/>
      <c r="P82" s="80"/>
      <c r="Q82" s="80"/>
      <c r="R82" s="80"/>
      <c r="S82" s="80"/>
      <c r="T82" s="80"/>
      <c r="U82" s="80"/>
      <c r="V82" s="80"/>
      <c r="W82" s="80"/>
      <c r="X82" s="80"/>
      <c r="Y82" s="80"/>
      <c r="Z82" s="80"/>
      <c r="AA82" s="80"/>
    </row>
    <row r="83" spans="3:27" x14ac:dyDescent="0.25">
      <c r="C83" s="80"/>
      <c r="D83" s="80"/>
      <c r="E83" s="80"/>
      <c r="F83" s="80"/>
      <c r="G83" s="80"/>
      <c r="H83" s="80"/>
      <c r="I83" s="80"/>
      <c r="J83" s="80"/>
      <c r="K83" s="80"/>
      <c r="L83" s="80"/>
      <c r="M83" s="80"/>
      <c r="N83" s="80"/>
      <c r="O83" s="80"/>
      <c r="P83" s="80"/>
      <c r="Q83" s="80"/>
      <c r="R83" s="80"/>
      <c r="S83" s="80"/>
      <c r="T83" s="80"/>
      <c r="U83" s="80"/>
      <c r="V83" s="80"/>
      <c r="W83" s="80"/>
      <c r="X83" s="80"/>
      <c r="Y83" s="80"/>
      <c r="Z83" s="80"/>
      <c r="AA83" s="80"/>
    </row>
    <row r="84" spans="3:27" x14ac:dyDescent="0.25">
      <c r="C84" s="80"/>
      <c r="D84" s="80"/>
      <c r="E84" s="80"/>
      <c r="F84" s="80"/>
      <c r="G84" s="80"/>
      <c r="H84" s="80"/>
      <c r="I84" s="80"/>
      <c r="J84" s="80"/>
      <c r="K84" s="80"/>
      <c r="L84" s="80"/>
      <c r="M84" s="80"/>
      <c r="N84" s="80"/>
      <c r="O84" s="80"/>
      <c r="P84" s="80"/>
      <c r="Q84" s="80"/>
      <c r="R84" s="80"/>
      <c r="S84" s="80"/>
      <c r="T84" s="80"/>
      <c r="U84" s="80"/>
      <c r="V84" s="80"/>
      <c r="W84" s="80"/>
      <c r="X84" s="80"/>
      <c r="Y84" s="80"/>
      <c r="Z84" s="80"/>
      <c r="AA84" s="80"/>
    </row>
    <row r="85" spans="3:27" x14ac:dyDescent="0.25">
      <c r="C85" s="80"/>
      <c r="D85" s="80"/>
      <c r="E85" s="80"/>
      <c r="F85" s="80"/>
      <c r="G85" s="80"/>
      <c r="H85" s="80"/>
      <c r="I85" s="80"/>
      <c r="J85" s="80"/>
      <c r="K85" s="80"/>
      <c r="L85" s="80"/>
      <c r="M85" s="80"/>
      <c r="N85" s="80"/>
      <c r="O85" s="80"/>
      <c r="P85" s="80"/>
      <c r="Q85" s="80"/>
      <c r="R85" s="80"/>
      <c r="S85" s="80"/>
      <c r="T85" s="80"/>
      <c r="U85" s="80"/>
      <c r="V85" s="80"/>
      <c r="W85" s="80"/>
      <c r="X85" s="80"/>
      <c r="Y85" s="80"/>
      <c r="Z85" s="80"/>
      <c r="AA85" s="80"/>
    </row>
    <row r="86" spans="3:27" x14ac:dyDescent="0.25">
      <c r="C86" s="82"/>
      <c r="D86" s="81"/>
      <c r="E86" s="81"/>
      <c r="F86" s="81"/>
      <c r="G86" s="81"/>
      <c r="H86" s="81"/>
      <c r="I86" s="81"/>
      <c r="J86" s="81"/>
      <c r="K86" s="81"/>
      <c r="L86" s="81"/>
      <c r="M86" s="81"/>
      <c r="N86" s="81"/>
      <c r="O86" s="81"/>
      <c r="P86" s="81"/>
      <c r="Q86" s="81"/>
      <c r="R86" s="81"/>
      <c r="S86" s="81"/>
      <c r="T86" s="81"/>
      <c r="U86" s="81"/>
      <c r="V86" s="81"/>
      <c r="W86" s="81"/>
      <c r="X86" s="81"/>
      <c r="Y86" s="81"/>
      <c r="Z86" s="81"/>
      <c r="AA86" s="81"/>
    </row>
    <row r="87" spans="3:27" x14ac:dyDescent="0.25">
      <c r="C87" s="80"/>
      <c r="D87" s="81"/>
      <c r="E87" s="81"/>
      <c r="F87" s="81"/>
      <c r="G87" s="81"/>
      <c r="H87" s="81"/>
      <c r="I87" s="81"/>
      <c r="J87" s="81"/>
      <c r="K87" s="81"/>
      <c r="L87" s="81"/>
      <c r="M87" s="81"/>
      <c r="N87" s="81"/>
      <c r="O87" s="81"/>
      <c r="P87" s="81"/>
      <c r="Q87" s="81"/>
      <c r="R87" s="81"/>
      <c r="S87" s="81"/>
      <c r="T87" s="81"/>
      <c r="U87" s="81"/>
      <c r="V87" s="81"/>
      <c r="W87" s="81"/>
      <c r="X87" s="81"/>
      <c r="Y87" s="81"/>
      <c r="Z87" s="81"/>
      <c r="AA87" s="81"/>
    </row>
    <row r="88" spans="3:27" x14ac:dyDescent="0.25">
      <c r="C88" s="80"/>
      <c r="D88" s="81"/>
      <c r="E88" s="81"/>
      <c r="F88" s="81"/>
      <c r="G88" s="81"/>
      <c r="H88" s="81"/>
      <c r="I88" s="81"/>
      <c r="J88" s="81"/>
      <c r="K88" s="81"/>
      <c r="L88" s="81"/>
      <c r="M88" s="81"/>
      <c r="N88" s="81"/>
      <c r="O88" s="81"/>
      <c r="P88" s="81"/>
      <c r="Q88" s="81"/>
      <c r="R88" s="81"/>
      <c r="S88" s="81"/>
      <c r="T88" s="81"/>
      <c r="U88" s="81"/>
      <c r="V88" s="81"/>
      <c r="W88" s="81"/>
      <c r="X88" s="81"/>
      <c r="Y88" s="81"/>
      <c r="Z88" s="81"/>
      <c r="AA88" s="81"/>
    </row>
    <row r="89" spans="3:27" x14ac:dyDescent="0.25">
      <c r="C89" s="80"/>
      <c r="D89" s="81"/>
      <c r="E89" s="81"/>
      <c r="F89" s="81"/>
      <c r="G89" s="81"/>
      <c r="H89" s="81"/>
      <c r="I89" s="81"/>
      <c r="J89" s="81"/>
      <c r="K89" s="81"/>
      <c r="L89" s="81"/>
      <c r="M89" s="81"/>
      <c r="N89" s="81"/>
      <c r="O89" s="81"/>
      <c r="P89" s="81"/>
      <c r="Q89" s="81"/>
      <c r="R89" s="81"/>
      <c r="S89" s="81"/>
      <c r="T89" s="81"/>
      <c r="U89" s="81"/>
      <c r="V89" s="81"/>
      <c r="W89" s="81"/>
      <c r="X89" s="81"/>
      <c r="Y89" s="81"/>
      <c r="Z89" s="81"/>
      <c r="AA89" s="81"/>
    </row>
    <row r="90" spans="3:27" x14ac:dyDescent="0.25">
      <c r="C90" s="81"/>
      <c r="D90" s="81"/>
      <c r="E90" s="81"/>
      <c r="F90" s="81"/>
      <c r="G90" s="81"/>
      <c r="H90" s="81"/>
      <c r="I90" s="81"/>
      <c r="J90" s="81"/>
      <c r="K90" s="81"/>
      <c r="L90" s="81"/>
      <c r="M90" s="81"/>
      <c r="N90" s="81"/>
      <c r="O90" s="81"/>
      <c r="P90" s="81"/>
      <c r="Q90" s="81"/>
      <c r="R90" s="81"/>
      <c r="S90" s="81"/>
      <c r="T90" s="81"/>
      <c r="U90" s="81"/>
      <c r="V90" s="81"/>
      <c r="W90" s="81"/>
      <c r="X90" s="81"/>
      <c r="Y90" s="81"/>
      <c r="Z90" s="81"/>
      <c r="AA90" s="81"/>
    </row>
    <row r="92" spans="3:27" x14ac:dyDescent="0.25">
      <c r="C92" s="80"/>
      <c r="D92" s="80"/>
      <c r="E92" s="80"/>
      <c r="F92" s="80"/>
      <c r="G92" s="80"/>
      <c r="H92" s="80"/>
      <c r="I92" s="80"/>
      <c r="J92" s="80"/>
      <c r="K92" s="80"/>
      <c r="L92" s="80"/>
      <c r="M92" s="80"/>
      <c r="N92" s="80"/>
      <c r="O92" s="80"/>
      <c r="P92" s="80"/>
      <c r="Q92" s="80"/>
      <c r="R92" s="80"/>
      <c r="S92" s="80"/>
      <c r="T92" s="80"/>
      <c r="U92" s="80"/>
      <c r="V92" s="80"/>
      <c r="W92" s="80"/>
      <c r="X92" s="80"/>
      <c r="Y92" s="80"/>
      <c r="Z92" s="80"/>
      <c r="AA92" s="80"/>
    </row>
    <row r="93" spans="3:27" x14ac:dyDescent="0.25">
      <c r="C93" s="80"/>
      <c r="D93" s="80"/>
      <c r="E93" s="80"/>
      <c r="F93" s="80"/>
      <c r="G93" s="80"/>
      <c r="H93" s="80"/>
      <c r="I93" s="80"/>
      <c r="J93" s="80"/>
      <c r="K93" s="80"/>
      <c r="L93" s="80"/>
      <c r="M93" s="80"/>
      <c r="N93" s="80"/>
      <c r="O93" s="80"/>
      <c r="P93" s="80"/>
      <c r="Q93" s="80"/>
      <c r="R93" s="80"/>
      <c r="S93" s="80"/>
      <c r="T93" s="80"/>
      <c r="U93" s="80"/>
      <c r="V93" s="80"/>
      <c r="W93" s="80"/>
      <c r="X93" s="80"/>
      <c r="Y93" s="80"/>
      <c r="Z93" s="80"/>
      <c r="AA93" s="80"/>
    </row>
    <row r="94" spans="3:27" x14ac:dyDescent="0.25">
      <c r="C94" s="80"/>
      <c r="D94" s="80"/>
      <c r="E94" s="80"/>
      <c r="F94" s="80"/>
      <c r="G94" s="80"/>
      <c r="H94" s="80"/>
      <c r="I94" s="80"/>
      <c r="J94" s="80"/>
      <c r="K94" s="80"/>
      <c r="L94" s="80"/>
      <c r="M94" s="80"/>
      <c r="N94" s="80"/>
      <c r="O94" s="80"/>
      <c r="P94" s="80"/>
      <c r="Q94" s="80"/>
      <c r="R94" s="80"/>
      <c r="S94" s="80"/>
      <c r="T94" s="80"/>
      <c r="U94" s="80"/>
      <c r="V94" s="80"/>
      <c r="W94" s="80"/>
      <c r="X94" s="80"/>
      <c r="Y94" s="80"/>
      <c r="Z94" s="80"/>
      <c r="AA94" s="80"/>
    </row>
    <row r="95" spans="3:27" x14ac:dyDescent="0.25">
      <c r="C95" s="80"/>
      <c r="D95" s="80"/>
      <c r="E95" s="80"/>
      <c r="F95" s="80"/>
      <c r="G95" s="80"/>
      <c r="H95" s="80"/>
      <c r="I95" s="80"/>
      <c r="J95" s="80"/>
      <c r="K95" s="80"/>
      <c r="L95" s="80"/>
      <c r="M95" s="80"/>
      <c r="N95" s="80"/>
      <c r="O95" s="80"/>
      <c r="P95" s="80"/>
      <c r="Q95" s="80"/>
      <c r="R95" s="80"/>
      <c r="S95" s="80"/>
      <c r="T95" s="80"/>
      <c r="U95" s="80"/>
      <c r="V95" s="80"/>
      <c r="W95" s="80"/>
      <c r="X95" s="80"/>
      <c r="Y95" s="80"/>
      <c r="Z95" s="80"/>
      <c r="AA95" s="80"/>
    </row>
    <row r="96" spans="3:27" x14ac:dyDescent="0.25">
      <c r="C96" s="80"/>
      <c r="D96" s="80"/>
      <c r="E96" s="80"/>
      <c r="F96" s="80"/>
      <c r="G96" s="80"/>
      <c r="H96" s="80"/>
      <c r="I96" s="80"/>
      <c r="J96" s="80"/>
      <c r="K96" s="80"/>
      <c r="L96" s="80"/>
      <c r="M96" s="80"/>
      <c r="N96" s="80"/>
      <c r="O96" s="80"/>
      <c r="P96" s="80"/>
      <c r="Q96" s="80"/>
      <c r="R96" s="80"/>
      <c r="S96" s="80"/>
      <c r="T96" s="80"/>
      <c r="U96" s="80"/>
      <c r="V96" s="80"/>
      <c r="W96" s="80"/>
      <c r="X96" s="80"/>
      <c r="Y96" s="80"/>
      <c r="Z96" s="80"/>
      <c r="AA96" s="80"/>
    </row>
    <row r="97" spans="3:27" x14ac:dyDescent="0.25">
      <c r="C97" s="80"/>
      <c r="D97" s="80"/>
      <c r="E97" s="80"/>
      <c r="F97" s="80"/>
      <c r="G97" s="80"/>
      <c r="H97" s="80"/>
      <c r="I97" s="80"/>
      <c r="J97" s="80"/>
      <c r="K97" s="80"/>
      <c r="L97" s="80"/>
      <c r="M97" s="80"/>
      <c r="N97" s="80"/>
      <c r="O97" s="80"/>
      <c r="P97" s="80"/>
      <c r="Q97" s="80"/>
      <c r="R97" s="80"/>
      <c r="S97" s="80"/>
      <c r="T97" s="80"/>
      <c r="U97" s="80"/>
      <c r="V97" s="80"/>
      <c r="W97" s="80"/>
      <c r="X97" s="80"/>
      <c r="Y97" s="80"/>
      <c r="Z97" s="80"/>
      <c r="AA97" s="80"/>
    </row>
    <row r="98" spans="3:27" x14ac:dyDescent="0.25">
      <c r="C98" s="80"/>
      <c r="D98" s="80"/>
      <c r="E98" s="80"/>
      <c r="F98" s="80"/>
      <c r="G98" s="80"/>
      <c r="H98" s="80"/>
      <c r="I98" s="80"/>
      <c r="J98" s="80"/>
      <c r="K98" s="80"/>
      <c r="L98" s="80"/>
      <c r="M98" s="80"/>
      <c r="N98" s="80"/>
      <c r="O98" s="80"/>
      <c r="P98" s="80"/>
      <c r="Q98" s="80"/>
      <c r="R98" s="80"/>
      <c r="S98" s="80"/>
      <c r="T98" s="80"/>
      <c r="U98" s="80"/>
      <c r="V98" s="80"/>
      <c r="W98" s="80"/>
      <c r="X98" s="80"/>
      <c r="Y98" s="80"/>
      <c r="Z98" s="80"/>
      <c r="AA98" s="80"/>
    </row>
    <row r="99" spans="3:27" x14ac:dyDescent="0.25">
      <c r="C99" s="80"/>
      <c r="D99" s="80"/>
      <c r="E99" s="80"/>
      <c r="F99" s="80"/>
      <c r="G99" s="80"/>
      <c r="H99" s="80"/>
      <c r="I99" s="80"/>
      <c r="J99" s="80"/>
      <c r="K99" s="80"/>
      <c r="L99" s="80"/>
      <c r="M99" s="80"/>
      <c r="N99" s="80"/>
      <c r="O99" s="80"/>
      <c r="P99" s="80"/>
      <c r="Q99" s="80"/>
      <c r="R99" s="80"/>
      <c r="S99" s="80"/>
      <c r="T99" s="80"/>
      <c r="U99" s="80"/>
      <c r="V99" s="80"/>
      <c r="W99" s="80"/>
      <c r="X99" s="80"/>
      <c r="Y99" s="80"/>
      <c r="Z99" s="80"/>
      <c r="AA99" s="80"/>
    </row>
    <row r="100" spans="3:27" x14ac:dyDescent="0.25">
      <c r="C100" s="82"/>
      <c r="D100" s="81"/>
      <c r="E100" s="81"/>
      <c r="F100" s="81"/>
      <c r="G100" s="81"/>
      <c r="H100" s="81"/>
      <c r="I100" s="81"/>
      <c r="J100" s="81"/>
      <c r="K100" s="81"/>
      <c r="L100" s="81"/>
      <c r="M100" s="81"/>
      <c r="N100" s="81"/>
      <c r="O100" s="81"/>
      <c r="P100" s="81"/>
      <c r="Q100" s="81"/>
      <c r="R100" s="81"/>
      <c r="S100" s="81"/>
      <c r="T100" s="81"/>
      <c r="U100" s="81"/>
      <c r="V100" s="81"/>
      <c r="W100" s="81"/>
      <c r="X100" s="81"/>
      <c r="Y100" s="81"/>
      <c r="Z100" s="81"/>
      <c r="AA100" s="81"/>
    </row>
    <row r="101" spans="3:27" x14ac:dyDescent="0.25">
      <c r="C101" s="80"/>
      <c r="D101" s="81"/>
      <c r="E101" s="81"/>
      <c r="F101" s="81"/>
      <c r="G101" s="81"/>
      <c r="H101" s="81"/>
      <c r="I101" s="81"/>
      <c r="J101" s="81"/>
      <c r="K101" s="81"/>
      <c r="L101" s="81"/>
      <c r="M101" s="81"/>
      <c r="N101" s="81"/>
      <c r="O101" s="81"/>
      <c r="P101" s="81"/>
      <c r="Q101" s="81"/>
      <c r="R101" s="81"/>
      <c r="S101" s="81"/>
      <c r="T101" s="81"/>
      <c r="U101" s="81"/>
      <c r="V101" s="81"/>
      <c r="W101" s="81"/>
      <c r="X101" s="81"/>
      <c r="Y101" s="81"/>
      <c r="Z101" s="81"/>
      <c r="AA101" s="81"/>
    </row>
    <row r="102" spans="3:27" x14ac:dyDescent="0.25">
      <c r="C102" s="80"/>
      <c r="D102" s="81"/>
      <c r="E102" s="81"/>
      <c r="F102" s="81"/>
      <c r="G102" s="81"/>
      <c r="H102" s="81"/>
      <c r="I102" s="81"/>
      <c r="J102" s="81"/>
      <c r="K102" s="81"/>
      <c r="L102" s="81"/>
      <c r="M102" s="81"/>
      <c r="N102" s="81"/>
      <c r="O102" s="81"/>
      <c r="P102" s="81"/>
      <c r="Q102" s="81"/>
      <c r="R102" s="81"/>
      <c r="S102" s="81"/>
      <c r="T102" s="81"/>
      <c r="U102" s="81"/>
      <c r="V102" s="81"/>
      <c r="W102" s="81"/>
      <c r="X102" s="81"/>
      <c r="Y102" s="81"/>
      <c r="Z102" s="81"/>
      <c r="AA102" s="81"/>
    </row>
    <row r="103" spans="3:27" x14ac:dyDescent="0.25">
      <c r="C103" s="80"/>
      <c r="D103" s="81"/>
      <c r="E103" s="81"/>
      <c r="F103" s="81"/>
      <c r="G103" s="81"/>
      <c r="H103" s="81"/>
      <c r="I103" s="81"/>
      <c r="J103" s="81"/>
      <c r="K103" s="81"/>
      <c r="L103" s="81"/>
      <c r="M103" s="81"/>
      <c r="N103" s="81"/>
      <c r="O103" s="81"/>
      <c r="P103" s="81"/>
      <c r="Q103" s="81"/>
      <c r="R103" s="81"/>
      <c r="S103" s="81"/>
      <c r="T103" s="81"/>
      <c r="U103" s="81"/>
      <c r="V103" s="81"/>
      <c r="W103" s="81"/>
      <c r="X103" s="81"/>
      <c r="Y103" s="81"/>
      <c r="Z103" s="81"/>
      <c r="AA103" s="81"/>
    </row>
    <row r="104" spans="3:27" x14ac:dyDescent="0.25">
      <c r="C104" s="81"/>
      <c r="D104" s="81"/>
      <c r="E104" s="81"/>
      <c r="F104" s="81"/>
      <c r="G104" s="81"/>
      <c r="H104" s="81"/>
      <c r="I104" s="81"/>
      <c r="J104" s="81"/>
      <c r="K104" s="81"/>
      <c r="L104" s="81"/>
      <c r="M104" s="81"/>
      <c r="N104" s="81"/>
      <c r="O104" s="81"/>
      <c r="P104" s="81"/>
      <c r="Q104" s="81"/>
      <c r="R104" s="81"/>
      <c r="S104" s="81"/>
      <c r="T104" s="81"/>
      <c r="U104" s="81"/>
      <c r="V104" s="81"/>
      <c r="W104" s="81"/>
      <c r="X104" s="81"/>
      <c r="Y104" s="81"/>
      <c r="Z104" s="81"/>
      <c r="AA104" s="81"/>
    </row>
    <row r="106" spans="3:27" x14ac:dyDescent="0.25">
      <c r="C106" s="80"/>
      <c r="D106" s="80"/>
      <c r="E106" s="80"/>
      <c r="F106" s="80"/>
      <c r="G106" s="80"/>
      <c r="H106" s="80"/>
      <c r="I106" s="80"/>
      <c r="J106" s="80"/>
      <c r="K106" s="80"/>
      <c r="L106" s="80"/>
      <c r="M106" s="80"/>
      <c r="N106" s="80"/>
      <c r="O106" s="80"/>
      <c r="P106" s="80"/>
      <c r="Q106" s="80"/>
      <c r="R106" s="80"/>
      <c r="S106" s="80"/>
      <c r="T106" s="80"/>
      <c r="U106" s="80"/>
      <c r="V106" s="80"/>
      <c r="W106" s="80"/>
      <c r="X106" s="80"/>
      <c r="Y106" s="80"/>
      <c r="Z106" s="80"/>
      <c r="AA106" s="80"/>
    </row>
    <row r="107" spans="3:27" x14ac:dyDescent="0.25">
      <c r="C107" s="80"/>
      <c r="D107" s="80"/>
      <c r="E107" s="80"/>
      <c r="F107" s="80"/>
      <c r="G107" s="80"/>
      <c r="H107" s="80"/>
      <c r="I107" s="80"/>
      <c r="J107" s="80"/>
      <c r="K107" s="80"/>
      <c r="L107" s="80"/>
      <c r="M107" s="80"/>
      <c r="N107" s="80"/>
      <c r="O107" s="80"/>
      <c r="P107" s="80"/>
      <c r="Q107" s="80"/>
      <c r="R107" s="80"/>
      <c r="S107" s="80"/>
      <c r="T107" s="80"/>
      <c r="U107" s="80"/>
      <c r="V107" s="80"/>
      <c r="W107" s="80"/>
      <c r="X107" s="80"/>
      <c r="Y107" s="80"/>
      <c r="Z107" s="80"/>
      <c r="AA107" s="80"/>
    </row>
    <row r="108" spans="3:27" x14ac:dyDescent="0.25">
      <c r="C108" s="80"/>
      <c r="D108" s="80"/>
      <c r="E108" s="80"/>
      <c r="F108" s="80"/>
      <c r="G108" s="80"/>
      <c r="H108" s="80"/>
      <c r="I108" s="80"/>
      <c r="J108" s="80"/>
      <c r="K108" s="80"/>
      <c r="L108" s="80"/>
      <c r="M108" s="80"/>
      <c r="N108" s="80"/>
      <c r="O108" s="80"/>
      <c r="P108" s="80"/>
      <c r="Q108" s="80"/>
      <c r="R108" s="80"/>
      <c r="S108" s="80"/>
      <c r="T108" s="80"/>
      <c r="U108" s="80"/>
      <c r="V108" s="80"/>
      <c r="W108" s="80"/>
      <c r="X108" s="80"/>
      <c r="Y108" s="80"/>
      <c r="Z108" s="80"/>
      <c r="AA108" s="80"/>
    </row>
    <row r="109" spans="3:27" x14ac:dyDescent="0.25">
      <c r="C109" s="80"/>
      <c r="D109" s="80"/>
      <c r="E109" s="80"/>
      <c r="F109" s="80"/>
      <c r="G109" s="80"/>
      <c r="H109" s="80"/>
      <c r="I109" s="80"/>
      <c r="J109" s="80"/>
      <c r="K109" s="80"/>
      <c r="L109" s="80"/>
      <c r="M109" s="80"/>
      <c r="N109" s="80"/>
      <c r="O109" s="80"/>
      <c r="P109" s="80"/>
      <c r="Q109" s="80"/>
      <c r="R109" s="80"/>
      <c r="S109" s="80"/>
      <c r="T109" s="80"/>
      <c r="U109" s="80"/>
      <c r="V109" s="80"/>
      <c r="W109" s="80"/>
      <c r="X109" s="80"/>
      <c r="Y109" s="80"/>
      <c r="Z109" s="80"/>
      <c r="AA109" s="80"/>
    </row>
    <row r="110" spans="3:27" x14ac:dyDescent="0.25">
      <c r="C110" s="80"/>
      <c r="D110" s="80"/>
      <c r="E110" s="80"/>
      <c r="F110" s="80"/>
      <c r="G110" s="80"/>
      <c r="H110" s="80"/>
      <c r="I110" s="80"/>
      <c r="J110" s="80"/>
      <c r="K110" s="80"/>
      <c r="L110" s="80"/>
      <c r="M110" s="80"/>
      <c r="N110" s="80"/>
      <c r="O110" s="80"/>
      <c r="P110" s="80"/>
      <c r="Q110" s="80"/>
      <c r="R110" s="80"/>
      <c r="S110" s="80"/>
      <c r="T110" s="80"/>
      <c r="U110" s="80"/>
      <c r="V110" s="80"/>
      <c r="W110" s="80"/>
      <c r="X110" s="80"/>
      <c r="Y110" s="80"/>
      <c r="Z110" s="80"/>
      <c r="AA110" s="80"/>
    </row>
    <row r="111" spans="3:27" x14ac:dyDescent="0.25">
      <c r="C111" s="80"/>
      <c r="D111" s="80"/>
      <c r="E111" s="80"/>
      <c r="F111" s="80"/>
      <c r="G111" s="80"/>
      <c r="H111" s="80"/>
      <c r="I111" s="80"/>
      <c r="J111" s="80"/>
      <c r="K111" s="80"/>
      <c r="L111" s="80"/>
      <c r="M111" s="80"/>
      <c r="N111" s="80"/>
      <c r="O111" s="80"/>
      <c r="P111" s="80"/>
      <c r="Q111" s="80"/>
      <c r="R111" s="80"/>
      <c r="S111" s="80"/>
      <c r="T111" s="80"/>
      <c r="U111" s="80"/>
      <c r="V111" s="80"/>
      <c r="W111" s="80"/>
      <c r="X111" s="80"/>
      <c r="Y111" s="80"/>
      <c r="Z111" s="80"/>
      <c r="AA111" s="80"/>
    </row>
    <row r="112" spans="3:27" x14ac:dyDescent="0.25">
      <c r="C112" s="80"/>
      <c r="D112" s="80"/>
      <c r="E112" s="80"/>
      <c r="F112" s="80"/>
      <c r="G112" s="80"/>
      <c r="H112" s="80"/>
      <c r="I112" s="80"/>
      <c r="J112" s="80"/>
      <c r="K112" s="80"/>
      <c r="L112" s="80"/>
      <c r="M112" s="80"/>
      <c r="N112" s="80"/>
      <c r="O112" s="80"/>
      <c r="P112" s="80"/>
      <c r="Q112" s="80"/>
      <c r="R112" s="80"/>
      <c r="S112" s="80"/>
      <c r="T112" s="80"/>
      <c r="U112" s="80"/>
      <c r="V112" s="80"/>
      <c r="W112" s="80"/>
      <c r="X112" s="80"/>
      <c r="Y112" s="80"/>
      <c r="Z112" s="80"/>
      <c r="AA112" s="80"/>
    </row>
    <row r="113" spans="3:27" x14ac:dyDescent="0.25">
      <c r="C113" s="80"/>
      <c r="D113" s="80"/>
      <c r="E113" s="80"/>
      <c r="F113" s="80"/>
      <c r="G113" s="80"/>
      <c r="H113" s="80"/>
      <c r="I113" s="80"/>
      <c r="J113" s="80"/>
      <c r="K113" s="80"/>
      <c r="L113" s="80"/>
      <c r="M113" s="80"/>
      <c r="N113" s="80"/>
      <c r="O113" s="80"/>
      <c r="P113" s="80"/>
      <c r="Q113" s="80"/>
      <c r="R113" s="80"/>
      <c r="S113" s="80"/>
      <c r="T113" s="80"/>
      <c r="U113" s="80"/>
      <c r="V113" s="80"/>
      <c r="W113" s="80"/>
      <c r="X113" s="80"/>
      <c r="Y113" s="80"/>
      <c r="Z113" s="80"/>
      <c r="AA113" s="80"/>
    </row>
    <row r="114" spans="3:27" x14ac:dyDescent="0.25">
      <c r="C114" s="82"/>
      <c r="D114" s="81"/>
      <c r="E114" s="81"/>
      <c r="F114" s="81"/>
      <c r="G114" s="81"/>
      <c r="H114" s="81"/>
      <c r="I114" s="81"/>
      <c r="J114" s="81"/>
      <c r="K114" s="81"/>
      <c r="L114" s="81"/>
      <c r="M114" s="81"/>
      <c r="N114" s="81"/>
      <c r="O114" s="81"/>
      <c r="P114" s="81"/>
      <c r="Q114" s="81"/>
      <c r="R114" s="81"/>
      <c r="S114" s="81"/>
      <c r="T114" s="81"/>
      <c r="U114" s="81"/>
      <c r="V114" s="81"/>
      <c r="W114" s="81"/>
      <c r="X114" s="81"/>
      <c r="Y114" s="81"/>
      <c r="Z114" s="81"/>
      <c r="AA114" s="81"/>
    </row>
    <row r="115" spans="3:27" x14ac:dyDescent="0.25">
      <c r="C115" s="80"/>
      <c r="D115" s="81"/>
      <c r="E115" s="81"/>
      <c r="F115" s="81"/>
      <c r="G115" s="81"/>
      <c r="H115" s="81"/>
      <c r="I115" s="81"/>
      <c r="J115" s="81"/>
      <c r="K115" s="81"/>
      <c r="L115" s="81"/>
      <c r="M115" s="81"/>
      <c r="N115" s="81"/>
      <c r="O115" s="81"/>
      <c r="P115" s="81"/>
      <c r="Q115" s="81"/>
      <c r="R115" s="81"/>
      <c r="S115" s="81"/>
      <c r="T115" s="81"/>
      <c r="U115" s="81"/>
      <c r="V115" s="81"/>
      <c r="W115" s="81"/>
      <c r="X115" s="81"/>
      <c r="Y115" s="81"/>
      <c r="Z115" s="81"/>
      <c r="AA115" s="81"/>
    </row>
    <row r="116" spans="3:27" x14ac:dyDescent="0.25">
      <c r="C116" s="80"/>
      <c r="D116" s="81"/>
      <c r="E116" s="81"/>
      <c r="F116" s="81"/>
      <c r="G116" s="81"/>
      <c r="H116" s="81"/>
      <c r="I116" s="81"/>
      <c r="J116" s="81"/>
      <c r="K116" s="81"/>
      <c r="L116" s="81"/>
      <c r="M116" s="81"/>
      <c r="N116" s="81"/>
      <c r="O116" s="81"/>
      <c r="P116" s="81"/>
      <c r="Q116" s="81"/>
      <c r="R116" s="81"/>
      <c r="S116" s="81"/>
      <c r="T116" s="81"/>
      <c r="U116" s="81"/>
      <c r="V116" s="81"/>
      <c r="W116" s="81"/>
      <c r="X116" s="81"/>
      <c r="Y116" s="81"/>
      <c r="Z116" s="81"/>
      <c r="AA116" s="81"/>
    </row>
    <row r="117" spans="3:27" x14ac:dyDescent="0.25">
      <c r="C117" s="80"/>
      <c r="D117" s="81"/>
      <c r="E117" s="81"/>
      <c r="F117" s="81"/>
      <c r="G117" s="81"/>
      <c r="H117" s="81"/>
      <c r="I117" s="81"/>
      <c r="J117" s="81"/>
      <c r="K117" s="81"/>
      <c r="L117" s="81"/>
      <c r="M117" s="81"/>
      <c r="N117" s="81"/>
      <c r="O117" s="81"/>
      <c r="P117" s="81"/>
      <c r="Q117" s="81"/>
      <c r="R117" s="81"/>
      <c r="S117" s="81"/>
      <c r="T117" s="81"/>
      <c r="U117" s="81"/>
      <c r="V117" s="81"/>
      <c r="W117" s="81"/>
      <c r="X117" s="81"/>
      <c r="Y117" s="81"/>
      <c r="Z117" s="81"/>
      <c r="AA117" s="81"/>
    </row>
    <row r="118" spans="3:27" x14ac:dyDescent="0.25">
      <c r="C118" s="81"/>
      <c r="D118" s="81"/>
      <c r="E118" s="81"/>
      <c r="F118" s="81"/>
      <c r="G118" s="81"/>
      <c r="H118" s="81"/>
      <c r="I118" s="81"/>
      <c r="J118" s="81"/>
      <c r="K118" s="81"/>
      <c r="L118" s="81"/>
      <c r="M118" s="81"/>
      <c r="N118" s="81"/>
      <c r="O118" s="81"/>
      <c r="P118" s="81"/>
      <c r="Q118" s="81"/>
      <c r="R118" s="81"/>
      <c r="S118" s="81"/>
      <c r="T118" s="81"/>
      <c r="U118" s="81"/>
      <c r="V118" s="81"/>
      <c r="W118" s="81"/>
      <c r="X118" s="81"/>
      <c r="Y118" s="81"/>
      <c r="Z118" s="81"/>
      <c r="AA118" s="81"/>
    </row>
    <row r="120" spans="3:27" x14ac:dyDescent="0.25">
      <c r="C120" s="80"/>
      <c r="D120" s="80"/>
      <c r="E120" s="80"/>
      <c r="F120" s="80"/>
      <c r="G120" s="80"/>
      <c r="H120" s="80"/>
      <c r="I120" s="80"/>
      <c r="J120" s="80"/>
      <c r="K120" s="80"/>
      <c r="L120" s="80"/>
      <c r="M120" s="80"/>
      <c r="N120" s="80"/>
      <c r="O120" s="80"/>
      <c r="P120" s="80"/>
      <c r="Q120" s="80"/>
      <c r="R120" s="80"/>
      <c r="S120" s="80"/>
      <c r="T120" s="80"/>
      <c r="U120" s="80"/>
      <c r="V120" s="80"/>
      <c r="W120" s="80"/>
      <c r="X120" s="80"/>
      <c r="Y120" s="80"/>
      <c r="Z120" s="80"/>
      <c r="AA120" s="80"/>
    </row>
    <row r="121" spans="3:27" x14ac:dyDescent="0.25">
      <c r="C121" s="80"/>
      <c r="D121" s="80"/>
      <c r="E121" s="80"/>
      <c r="F121" s="80"/>
      <c r="G121" s="80"/>
      <c r="H121" s="80"/>
      <c r="I121" s="80"/>
      <c r="J121" s="80"/>
      <c r="K121" s="80"/>
      <c r="L121" s="80"/>
      <c r="M121" s="80"/>
      <c r="N121" s="80"/>
      <c r="O121" s="80"/>
      <c r="P121" s="80"/>
      <c r="Q121" s="80"/>
      <c r="R121" s="80"/>
      <c r="S121" s="80"/>
      <c r="T121" s="80"/>
      <c r="U121" s="80"/>
      <c r="V121" s="80"/>
      <c r="W121" s="80"/>
      <c r="X121" s="80"/>
      <c r="Y121" s="80"/>
      <c r="Z121" s="80"/>
      <c r="AA121" s="80"/>
    </row>
    <row r="122" spans="3:27" x14ac:dyDescent="0.25">
      <c r="C122" s="80"/>
      <c r="D122" s="80"/>
      <c r="E122" s="80"/>
      <c r="F122" s="80"/>
      <c r="G122" s="80"/>
      <c r="H122" s="80"/>
      <c r="I122" s="80"/>
      <c r="J122" s="80"/>
      <c r="K122" s="80"/>
      <c r="L122" s="80"/>
      <c r="M122" s="80"/>
      <c r="N122" s="80"/>
      <c r="O122" s="80"/>
      <c r="P122" s="80"/>
      <c r="Q122" s="80"/>
      <c r="R122" s="80"/>
      <c r="S122" s="80"/>
      <c r="T122" s="80"/>
      <c r="U122" s="80"/>
      <c r="V122" s="80"/>
      <c r="W122" s="80"/>
      <c r="X122" s="80"/>
      <c r="Y122" s="80"/>
      <c r="Z122" s="80"/>
      <c r="AA122" s="80"/>
    </row>
    <row r="123" spans="3:27" x14ac:dyDescent="0.25">
      <c r="C123" s="80"/>
      <c r="D123" s="80"/>
      <c r="E123" s="80"/>
      <c r="F123" s="80"/>
      <c r="G123" s="80"/>
      <c r="H123" s="80"/>
      <c r="I123" s="80"/>
      <c r="J123" s="80"/>
      <c r="K123" s="80"/>
      <c r="L123" s="80"/>
      <c r="M123" s="80"/>
      <c r="N123" s="80"/>
      <c r="O123" s="80"/>
      <c r="P123" s="80"/>
      <c r="Q123" s="80"/>
      <c r="R123" s="80"/>
      <c r="S123" s="80"/>
      <c r="T123" s="80"/>
      <c r="U123" s="80"/>
      <c r="V123" s="80"/>
      <c r="W123" s="80"/>
      <c r="X123" s="80"/>
      <c r="Y123" s="80"/>
      <c r="Z123" s="80"/>
      <c r="AA123" s="80"/>
    </row>
    <row r="124" spans="3:27" x14ac:dyDescent="0.25">
      <c r="C124" s="80"/>
      <c r="D124" s="80"/>
      <c r="E124" s="80"/>
      <c r="F124" s="80"/>
      <c r="G124" s="80"/>
      <c r="H124" s="80"/>
      <c r="I124" s="80"/>
      <c r="J124" s="80"/>
      <c r="K124" s="80"/>
      <c r="L124" s="80"/>
      <c r="M124" s="80"/>
      <c r="N124" s="80"/>
      <c r="O124" s="80"/>
      <c r="P124" s="80"/>
      <c r="Q124" s="80"/>
      <c r="R124" s="80"/>
      <c r="S124" s="80"/>
      <c r="T124" s="80"/>
      <c r="U124" s="80"/>
      <c r="V124" s="80"/>
      <c r="W124" s="80"/>
      <c r="X124" s="80"/>
      <c r="Y124" s="80"/>
      <c r="Z124" s="80"/>
      <c r="AA124" s="80"/>
    </row>
    <row r="125" spans="3:27" x14ac:dyDescent="0.25">
      <c r="C125" s="80"/>
      <c r="D125" s="80"/>
      <c r="E125" s="80"/>
      <c r="F125" s="80"/>
      <c r="G125" s="80"/>
      <c r="H125" s="80"/>
      <c r="I125" s="80"/>
      <c r="J125" s="80"/>
      <c r="K125" s="80"/>
      <c r="L125" s="80"/>
      <c r="M125" s="80"/>
      <c r="N125" s="80"/>
      <c r="O125" s="80"/>
      <c r="P125" s="80"/>
      <c r="Q125" s="80"/>
      <c r="R125" s="80"/>
      <c r="S125" s="80"/>
      <c r="T125" s="80"/>
      <c r="U125" s="80"/>
      <c r="V125" s="80"/>
      <c r="W125" s="80"/>
      <c r="X125" s="80"/>
      <c r="Y125" s="80"/>
      <c r="Z125" s="80"/>
      <c r="AA125" s="80"/>
    </row>
    <row r="126" spans="3:27" x14ac:dyDescent="0.25">
      <c r="C126" s="80"/>
      <c r="D126" s="80"/>
      <c r="E126" s="80"/>
      <c r="F126" s="80"/>
      <c r="G126" s="80"/>
      <c r="H126" s="80"/>
      <c r="I126" s="80"/>
      <c r="J126" s="80"/>
      <c r="K126" s="80"/>
      <c r="L126" s="80"/>
      <c r="M126" s="80"/>
      <c r="N126" s="80"/>
      <c r="O126" s="80"/>
      <c r="P126" s="80"/>
      <c r="Q126" s="80"/>
      <c r="R126" s="80"/>
      <c r="S126" s="80"/>
      <c r="T126" s="80"/>
      <c r="U126" s="80"/>
      <c r="V126" s="80"/>
      <c r="W126" s="80"/>
      <c r="X126" s="80"/>
      <c r="Y126" s="80"/>
      <c r="Z126" s="80"/>
      <c r="AA126" s="80"/>
    </row>
    <row r="127" spans="3:27" x14ac:dyDescent="0.25">
      <c r="C127" s="80"/>
      <c r="D127" s="80"/>
      <c r="E127" s="80"/>
      <c r="F127" s="80"/>
      <c r="G127" s="80"/>
      <c r="H127" s="80"/>
      <c r="I127" s="80"/>
      <c r="J127" s="80"/>
      <c r="K127" s="80"/>
      <c r="L127" s="80"/>
      <c r="M127" s="80"/>
      <c r="N127" s="80"/>
      <c r="O127" s="80"/>
      <c r="P127" s="80"/>
      <c r="Q127" s="80"/>
      <c r="R127" s="80"/>
      <c r="S127" s="80"/>
      <c r="T127" s="80"/>
      <c r="U127" s="80"/>
      <c r="V127" s="80"/>
      <c r="W127" s="80"/>
      <c r="X127" s="80"/>
      <c r="Y127" s="80"/>
      <c r="Z127" s="80"/>
      <c r="AA127" s="80"/>
    </row>
    <row r="128" spans="3:27" x14ac:dyDescent="0.25">
      <c r="C128" s="82"/>
      <c r="D128" s="81"/>
      <c r="E128" s="81"/>
      <c r="F128" s="81"/>
      <c r="G128" s="81"/>
      <c r="H128" s="81"/>
      <c r="I128" s="81"/>
      <c r="J128" s="81"/>
      <c r="K128" s="81"/>
      <c r="L128" s="81"/>
      <c r="M128" s="81"/>
      <c r="N128" s="81"/>
      <c r="O128" s="81"/>
      <c r="P128" s="81"/>
      <c r="Q128" s="81"/>
      <c r="R128" s="81"/>
      <c r="S128" s="81"/>
      <c r="T128" s="81"/>
      <c r="U128" s="81"/>
      <c r="V128" s="81"/>
      <c r="W128" s="81"/>
      <c r="X128" s="81"/>
      <c r="Y128" s="81"/>
      <c r="Z128" s="81"/>
      <c r="AA128" s="81"/>
    </row>
    <row r="129" spans="3:27" x14ac:dyDescent="0.25">
      <c r="C129" s="80"/>
      <c r="D129" s="81"/>
      <c r="E129" s="81"/>
      <c r="F129" s="81"/>
      <c r="G129" s="81"/>
      <c r="H129" s="81"/>
      <c r="I129" s="81"/>
      <c r="J129" s="81"/>
      <c r="K129" s="81"/>
      <c r="L129" s="81"/>
      <c r="M129" s="81"/>
      <c r="N129" s="81"/>
      <c r="O129" s="81"/>
      <c r="P129" s="81"/>
      <c r="Q129" s="81"/>
      <c r="R129" s="81"/>
      <c r="S129" s="81"/>
      <c r="T129" s="81"/>
      <c r="U129" s="81"/>
      <c r="V129" s="81"/>
      <c r="W129" s="81"/>
      <c r="X129" s="81"/>
      <c r="Y129" s="81"/>
      <c r="Z129" s="81"/>
      <c r="AA129" s="81"/>
    </row>
    <row r="130" spans="3:27" x14ac:dyDescent="0.25">
      <c r="C130" s="80"/>
      <c r="D130" s="81"/>
      <c r="E130" s="81"/>
      <c r="F130" s="81"/>
      <c r="G130" s="81"/>
      <c r="H130" s="81"/>
      <c r="I130" s="81"/>
      <c r="J130" s="81"/>
      <c r="K130" s="81"/>
      <c r="L130" s="81"/>
      <c r="M130" s="81"/>
      <c r="N130" s="81"/>
      <c r="O130" s="81"/>
      <c r="P130" s="81"/>
      <c r="Q130" s="81"/>
      <c r="R130" s="81"/>
      <c r="S130" s="81"/>
      <c r="T130" s="81"/>
      <c r="U130" s="81"/>
      <c r="V130" s="81"/>
      <c r="W130" s="81"/>
      <c r="X130" s="81"/>
      <c r="Y130" s="81"/>
      <c r="Z130" s="81"/>
      <c r="AA130" s="81"/>
    </row>
    <row r="131" spans="3:27" x14ac:dyDescent="0.25">
      <c r="C131" s="80"/>
      <c r="D131" s="81"/>
      <c r="E131" s="81"/>
      <c r="F131" s="81"/>
      <c r="G131" s="81"/>
      <c r="H131" s="81"/>
      <c r="I131" s="81"/>
      <c r="J131" s="81"/>
      <c r="K131" s="81"/>
      <c r="L131" s="81"/>
      <c r="M131" s="81"/>
      <c r="N131" s="81"/>
      <c r="O131" s="81"/>
      <c r="P131" s="81"/>
      <c r="Q131" s="81"/>
      <c r="R131" s="81"/>
      <c r="S131" s="81"/>
      <c r="T131" s="81"/>
      <c r="U131" s="81"/>
      <c r="V131" s="81"/>
      <c r="W131" s="81"/>
      <c r="X131" s="81"/>
      <c r="Y131" s="81"/>
      <c r="Z131" s="81"/>
      <c r="AA131" s="81"/>
    </row>
    <row r="132" spans="3:27" x14ac:dyDescent="0.25">
      <c r="C132" s="81"/>
      <c r="D132" s="81"/>
      <c r="E132" s="81"/>
      <c r="F132" s="81"/>
      <c r="G132" s="81"/>
      <c r="H132" s="81"/>
      <c r="I132" s="81"/>
      <c r="J132" s="81"/>
      <c r="K132" s="81"/>
      <c r="L132" s="81"/>
      <c r="M132" s="81"/>
      <c r="N132" s="81"/>
      <c r="O132" s="81"/>
      <c r="P132" s="81"/>
      <c r="Q132" s="81"/>
      <c r="R132" s="81"/>
      <c r="S132" s="81"/>
      <c r="T132" s="81"/>
      <c r="U132" s="81"/>
      <c r="V132" s="81"/>
      <c r="W132" s="81"/>
      <c r="X132" s="81"/>
      <c r="Y132" s="81"/>
      <c r="Z132" s="81"/>
      <c r="AA132" s="81"/>
    </row>
    <row r="134" spans="3:27" x14ac:dyDescent="0.25">
      <c r="C134" s="80"/>
      <c r="D134" s="80"/>
      <c r="E134" s="80"/>
      <c r="F134" s="80"/>
      <c r="G134" s="80"/>
      <c r="H134" s="80"/>
      <c r="I134" s="80"/>
      <c r="J134" s="80"/>
      <c r="K134" s="80"/>
      <c r="L134" s="80"/>
      <c r="M134" s="80"/>
      <c r="N134" s="80"/>
      <c r="O134" s="80"/>
      <c r="P134" s="80"/>
      <c r="Q134" s="80"/>
      <c r="R134" s="80"/>
      <c r="S134" s="80"/>
      <c r="T134" s="80"/>
      <c r="U134" s="80"/>
      <c r="V134" s="80"/>
      <c r="W134" s="80"/>
      <c r="X134" s="80"/>
      <c r="Y134" s="80"/>
      <c r="Z134" s="80"/>
      <c r="AA134" s="80"/>
    </row>
    <row r="135" spans="3:27" x14ac:dyDescent="0.25">
      <c r="C135" s="80"/>
      <c r="D135" s="80"/>
      <c r="E135" s="80"/>
      <c r="F135" s="80"/>
      <c r="G135" s="80"/>
      <c r="H135" s="80"/>
      <c r="I135" s="80"/>
      <c r="J135" s="80"/>
      <c r="K135" s="80"/>
      <c r="L135" s="80"/>
      <c r="M135" s="80"/>
      <c r="N135" s="80"/>
      <c r="O135" s="80"/>
      <c r="P135" s="80"/>
      <c r="Q135" s="80"/>
      <c r="R135" s="80"/>
      <c r="S135" s="80"/>
      <c r="T135" s="80"/>
      <c r="U135" s="80"/>
      <c r="V135" s="80"/>
      <c r="W135" s="80"/>
      <c r="X135" s="80"/>
      <c r="Y135" s="80"/>
      <c r="Z135" s="80"/>
      <c r="AA135" s="80"/>
    </row>
    <row r="136" spans="3:27" x14ac:dyDescent="0.25">
      <c r="C136" s="80"/>
      <c r="D136" s="80"/>
      <c r="E136" s="80"/>
      <c r="F136" s="80"/>
      <c r="G136" s="80"/>
      <c r="H136" s="80"/>
      <c r="I136" s="80"/>
      <c r="J136" s="80"/>
      <c r="K136" s="80"/>
      <c r="L136" s="80"/>
      <c r="M136" s="80"/>
      <c r="N136" s="80"/>
      <c r="O136" s="80"/>
      <c r="P136" s="80"/>
      <c r="Q136" s="80"/>
      <c r="R136" s="80"/>
      <c r="S136" s="80"/>
      <c r="T136" s="80"/>
      <c r="U136" s="80"/>
      <c r="V136" s="80"/>
      <c r="W136" s="80"/>
      <c r="X136" s="80"/>
      <c r="Y136" s="80"/>
      <c r="Z136" s="80"/>
      <c r="AA136" s="80"/>
    </row>
    <row r="137" spans="3:27" x14ac:dyDescent="0.25">
      <c r="C137" s="80"/>
      <c r="D137" s="80"/>
      <c r="E137" s="80"/>
      <c r="F137" s="80"/>
      <c r="G137" s="80"/>
      <c r="H137" s="80"/>
      <c r="I137" s="80"/>
      <c r="J137" s="80"/>
      <c r="K137" s="80"/>
      <c r="L137" s="80"/>
      <c r="M137" s="80"/>
      <c r="N137" s="80"/>
      <c r="O137" s="80"/>
      <c r="P137" s="80"/>
      <c r="Q137" s="80"/>
      <c r="R137" s="80"/>
      <c r="S137" s="80"/>
      <c r="T137" s="80"/>
      <c r="U137" s="80"/>
      <c r="V137" s="80"/>
      <c r="W137" s="80"/>
      <c r="X137" s="80"/>
      <c r="Y137" s="80"/>
      <c r="Z137" s="80"/>
      <c r="AA137" s="80"/>
    </row>
    <row r="138" spans="3:27" x14ac:dyDescent="0.25">
      <c r="C138" s="80"/>
      <c r="D138" s="80"/>
      <c r="E138" s="80"/>
      <c r="F138" s="80"/>
      <c r="G138" s="80"/>
      <c r="H138" s="80"/>
      <c r="I138" s="80"/>
      <c r="J138" s="80"/>
      <c r="K138" s="80"/>
      <c r="L138" s="80"/>
      <c r="M138" s="80"/>
      <c r="N138" s="80"/>
      <c r="O138" s="80"/>
      <c r="P138" s="80"/>
      <c r="Q138" s="80"/>
      <c r="R138" s="80"/>
      <c r="S138" s="80"/>
      <c r="T138" s="80"/>
      <c r="U138" s="80"/>
      <c r="V138" s="80"/>
      <c r="W138" s="80"/>
      <c r="X138" s="80"/>
      <c r="Y138" s="80"/>
      <c r="Z138" s="80"/>
      <c r="AA138" s="80"/>
    </row>
    <row r="139" spans="3:27" x14ac:dyDescent="0.25">
      <c r="C139" s="80"/>
      <c r="D139" s="80"/>
      <c r="E139" s="80"/>
      <c r="F139" s="80"/>
      <c r="G139" s="80"/>
      <c r="H139" s="80"/>
      <c r="I139" s="80"/>
      <c r="J139" s="80"/>
      <c r="K139" s="80"/>
      <c r="L139" s="80"/>
      <c r="M139" s="80"/>
      <c r="N139" s="80"/>
      <c r="O139" s="80"/>
      <c r="P139" s="80"/>
      <c r="Q139" s="80"/>
      <c r="R139" s="80"/>
      <c r="S139" s="80"/>
      <c r="T139" s="80"/>
      <c r="U139" s="80"/>
      <c r="V139" s="80"/>
      <c r="W139" s="80"/>
      <c r="X139" s="80"/>
      <c r="Y139" s="80"/>
      <c r="Z139" s="80"/>
      <c r="AA139" s="80"/>
    </row>
    <row r="140" spans="3:27" x14ac:dyDescent="0.25">
      <c r="C140" s="80"/>
      <c r="D140" s="80"/>
      <c r="E140" s="80"/>
      <c r="F140" s="80"/>
      <c r="G140" s="80"/>
      <c r="H140" s="80"/>
      <c r="I140" s="80"/>
      <c r="J140" s="80"/>
      <c r="K140" s="80"/>
      <c r="L140" s="80"/>
      <c r="M140" s="80"/>
      <c r="N140" s="80"/>
      <c r="O140" s="80"/>
      <c r="P140" s="80"/>
      <c r="Q140" s="80"/>
      <c r="R140" s="80"/>
      <c r="S140" s="80"/>
      <c r="T140" s="80"/>
      <c r="U140" s="80"/>
      <c r="V140" s="80"/>
      <c r="W140" s="80"/>
      <c r="X140" s="80"/>
      <c r="Y140" s="80"/>
      <c r="Z140" s="80"/>
      <c r="AA140" s="80"/>
    </row>
    <row r="141" spans="3:27" x14ac:dyDescent="0.25">
      <c r="C141" s="80"/>
      <c r="D141" s="80"/>
      <c r="E141" s="80"/>
      <c r="F141" s="80"/>
      <c r="G141" s="80"/>
      <c r="H141" s="80"/>
      <c r="I141" s="80"/>
      <c r="J141" s="80"/>
      <c r="K141" s="80"/>
      <c r="L141" s="80"/>
      <c r="M141" s="80"/>
      <c r="N141" s="80"/>
      <c r="O141" s="80"/>
      <c r="P141" s="80"/>
      <c r="Q141" s="80"/>
      <c r="R141" s="80"/>
      <c r="S141" s="80"/>
      <c r="T141" s="80"/>
      <c r="U141" s="80"/>
      <c r="V141" s="80"/>
      <c r="W141" s="80"/>
      <c r="X141" s="80"/>
      <c r="Y141" s="80"/>
      <c r="Z141" s="80"/>
      <c r="AA141" s="80"/>
    </row>
    <row r="142" spans="3:27" x14ac:dyDescent="0.25">
      <c r="C142" s="82"/>
      <c r="D142" s="81"/>
      <c r="E142" s="81"/>
      <c r="F142" s="81"/>
      <c r="G142" s="81"/>
      <c r="H142" s="81"/>
      <c r="I142" s="81"/>
      <c r="J142" s="81"/>
      <c r="K142" s="81"/>
      <c r="L142" s="81"/>
      <c r="M142" s="81"/>
      <c r="N142" s="81"/>
      <c r="O142" s="81"/>
      <c r="P142" s="81"/>
      <c r="Q142" s="81"/>
      <c r="R142" s="81"/>
      <c r="S142" s="81"/>
      <c r="T142" s="81"/>
      <c r="U142" s="81"/>
      <c r="V142" s="81"/>
      <c r="W142" s="81"/>
      <c r="X142" s="81"/>
      <c r="Y142" s="81"/>
      <c r="Z142" s="81"/>
      <c r="AA142" s="81"/>
    </row>
    <row r="143" spans="3:27" x14ac:dyDescent="0.25">
      <c r="C143" s="80"/>
      <c r="D143" s="81"/>
      <c r="E143" s="81"/>
      <c r="F143" s="81"/>
      <c r="G143" s="81"/>
      <c r="H143" s="81"/>
      <c r="I143" s="81"/>
      <c r="J143" s="81"/>
      <c r="K143" s="81"/>
      <c r="L143" s="81"/>
      <c r="M143" s="81"/>
      <c r="N143" s="81"/>
      <c r="O143" s="81"/>
      <c r="P143" s="81"/>
      <c r="Q143" s="81"/>
      <c r="R143" s="81"/>
      <c r="S143" s="81"/>
      <c r="T143" s="81"/>
      <c r="U143" s="81"/>
      <c r="V143" s="81"/>
      <c r="W143" s="81"/>
      <c r="X143" s="81"/>
      <c r="Y143" s="81"/>
      <c r="Z143" s="81"/>
      <c r="AA143" s="81"/>
    </row>
    <row r="144" spans="3:27" x14ac:dyDescent="0.25">
      <c r="C144" s="80"/>
      <c r="D144" s="81"/>
      <c r="E144" s="81"/>
      <c r="F144" s="81"/>
      <c r="G144" s="81"/>
      <c r="H144" s="81"/>
      <c r="I144" s="81"/>
      <c r="J144" s="81"/>
      <c r="K144" s="81"/>
      <c r="L144" s="81"/>
      <c r="M144" s="81"/>
      <c r="N144" s="81"/>
      <c r="O144" s="81"/>
      <c r="P144" s="81"/>
      <c r="Q144" s="81"/>
      <c r="R144" s="81"/>
      <c r="S144" s="81"/>
      <c r="T144" s="81"/>
      <c r="U144" s="81"/>
      <c r="V144" s="81"/>
      <c r="W144" s="81"/>
      <c r="X144" s="81"/>
      <c r="Y144" s="81"/>
      <c r="Z144" s="81"/>
      <c r="AA144" s="81"/>
    </row>
    <row r="145" spans="3:27" x14ac:dyDescent="0.25">
      <c r="C145" s="80"/>
      <c r="D145" s="81"/>
      <c r="E145" s="81"/>
      <c r="F145" s="81"/>
      <c r="G145" s="81"/>
      <c r="H145" s="81"/>
      <c r="I145" s="81"/>
      <c r="J145" s="81"/>
      <c r="K145" s="81"/>
      <c r="L145" s="81"/>
      <c r="M145" s="81"/>
      <c r="N145" s="81"/>
      <c r="O145" s="81"/>
      <c r="P145" s="81"/>
      <c r="Q145" s="81"/>
      <c r="R145" s="81"/>
      <c r="S145" s="81"/>
      <c r="T145" s="81"/>
      <c r="U145" s="81"/>
      <c r="V145" s="81"/>
      <c r="W145" s="81"/>
      <c r="X145" s="81"/>
      <c r="Y145" s="81"/>
      <c r="Z145" s="81"/>
      <c r="AA145" s="81"/>
    </row>
    <row r="146" spans="3:27" x14ac:dyDescent="0.25">
      <c r="C146" s="81"/>
      <c r="D146" s="81"/>
      <c r="E146" s="81"/>
      <c r="F146" s="81"/>
      <c r="G146" s="81"/>
      <c r="H146" s="81"/>
      <c r="I146" s="81"/>
      <c r="J146" s="81"/>
      <c r="K146" s="81"/>
      <c r="L146" s="81"/>
      <c r="M146" s="81"/>
      <c r="N146" s="81"/>
      <c r="O146" s="81"/>
      <c r="P146" s="81"/>
      <c r="Q146" s="81"/>
      <c r="R146" s="81"/>
      <c r="S146" s="81"/>
      <c r="T146" s="81"/>
      <c r="U146" s="81"/>
      <c r="V146" s="81"/>
      <c r="W146" s="81"/>
      <c r="X146" s="81"/>
      <c r="Y146" s="81"/>
      <c r="Z146" s="81"/>
      <c r="AA146" s="81"/>
    </row>
    <row r="148" spans="3:27" x14ac:dyDescent="0.25">
      <c r="C148" s="80"/>
      <c r="D148" s="80"/>
      <c r="E148" s="80"/>
      <c r="F148" s="80"/>
      <c r="G148" s="80"/>
      <c r="H148" s="80"/>
      <c r="I148" s="80"/>
      <c r="J148" s="80"/>
      <c r="K148" s="80"/>
      <c r="L148" s="80"/>
      <c r="M148" s="80"/>
      <c r="N148" s="80"/>
      <c r="O148" s="80"/>
      <c r="P148" s="80"/>
      <c r="Q148" s="80"/>
      <c r="R148" s="80"/>
      <c r="S148" s="80"/>
      <c r="T148" s="80"/>
      <c r="U148" s="80"/>
      <c r="V148" s="80"/>
      <c r="W148" s="80"/>
      <c r="X148" s="80"/>
      <c r="Y148" s="80"/>
      <c r="Z148" s="80"/>
      <c r="AA148" s="80"/>
    </row>
    <row r="149" spans="3:27" x14ac:dyDescent="0.25">
      <c r="C149" s="80"/>
      <c r="D149" s="80"/>
      <c r="E149" s="80"/>
      <c r="F149" s="80"/>
      <c r="G149" s="80"/>
      <c r="H149" s="80"/>
      <c r="I149" s="80"/>
      <c r="J149" s="80"/>
      <c r="K149" s="80"/>
      <c r="L149" s="80"/>
      <c r="M149" s="80"/>
      <c r="N149" s="80"/>
      <c r="O149" s="80"/>
      <c r="P149" s="80"/>
      <c r="Q149" s="80"/>
      <c r="R149" s="80"/>
      <c r="S149" s="80"/>
      <c r="T149" s="80"/>
      <c r="U149" s="80"/>
      <c r="V149" s="80"/>
      <c r="W149" s="80"/>
      <c r="X149" s="80"/>
      <c r="Y149" s="80"/>
      <c r="Z149" s="80"/>
      <c r="AA149" s="80"/>
    </row>
    <row r="150" spans="3:27" x14ac:dyDescent="0.25">
      <c r="C150" s="80"/>
      <c r="D150" s="80"/>
      <c r="E150" s="80"/>
      <c r="F150" s="80"/>
      <c r="G150" s="80"/>
      <c r="H150" s="80"/>
      <c r="I150" s="80"/>
      <c r="J150" s="80"/>
      <c r="K150" s="80"/>
      <c r="L150" s="80"/>
      <c r="M150" s="80"/>
      <c r="N150" s="80"/>
      <c r="O150" s="80"/>
      <c r="P150" s="80"/>
      <c r="Q150" s="80"/>
      <c r="R150" s="80"/>
      <c r="S150" s="80"/>
      <c r="T150" s="80"/>
      <c r="U150" s="80"/>
      <c r="V150" s="80"/>
      <c r="W150" s="80"/>
      <c r="X150" s="80"/>
      <c r="Y150" s="80"/>
      <c r="Z150" s="80"/>
      <c r="AA150" s="80"/>
    </row>
    <row r="151" spans="3:27" x14ac:dyDescent="0.25">
      <c r="C151" s="80"/>
      <c r="D151" s="80"/>
      <c r="E151" s="80"/>
      <c r="F151" s="80"/>
      <c r="G151" s="80"/>
      <c r="H151" s="80"/>
      <c r="I151" s="80"/>
      <c r="J151" s="80"/>
      <c r="K151" s="80"/>
      <c r="L151" s="80"/>
      <c r="M151" s="80"/>
      <c r="N151" s="80"/>
      <c r="O151" s="80"/>
      <c r="P151" s="80"/>
      <c r="Q151" s="80"/>
      <c r="R151" s="80"/>
      <c r="S151" s="80"/>
      <c r="T151" s="80"/>
      <c r="U151" s="80"/>
      <c r="V151" s="80"/>
      <c r="W151" s="80"/>
      <c r="X151" s="80"/>
      <c r="Y151" s="80"/>
      <c r="Z151" s="80"/>
      <c r="AA151" s="80"/>
    </row>
    <row r="152" spans="3:27" x14ac:dyDescent="0.25">
      <c r="C152" s="80"/>
      <c r="D152" s="80"/>
      <c r="E152" s="80"/>
      <c r="F152" s="80"/>
      <c r="G152" s="80"/>
      <c r="H152" s="80"/>
      <c r="I152" s="80"/>
      <c r="J152" s="80"/>
      <c r="K152" s="80"/>
      <c r="L152" s="80"/>
      <c r="M152" s="80"/>
      <c r="N152" s="80"/>
      <c r="O152" s="80"/>
      <c r="P152" s="80"/>
      <c r="Q152" s="80"/>
      <c r="R152" s="80"/>
      <c r="S152" s="80"/>
      <c r="T152" s="80"/>
      <c r="U152" s="80"/>
      <c r="V152" s="80"/>
      <c r="W152" s="80"/>
      <c r="X152" s="80"/>
      <c r="Y152" s="80"/>
      <c r="Z152" s="80"/>
      <c r="AA152" s="80"/>
    </row>
    <row r="153" spans="3:27" x14ac:dyDescent="0.25">
      <c r="C153" s="80"/>
      <c r="D153" s="80"/>
      <c r="E153" s="80"/>
      <c r="F153" s="80"/>
      <c r="G153" s="80"/>
      <c r="H153" s="80"/>
      <c r="I153" s="80"/>
      <c r="J153" s="80"/>
      <c r="K153" s="80"/>
      <c r="L153" s="80"/>
      <c r="M153" s="80"/>
      <c r="N153" s="80"/>
      <c r="O153" s="80"/>
      <c r="P153" s="80"/>
      <c r="Q153" s="80"/>
      <c r="R153" s="80"/>
      <c r="S153" s="80"/>
      <c r="T153" s="80"/>
      <c r="U153" s="80"/>
      <c r="V153" s="80"/>
      <c r="W153" s="80"/>
      <c r="X153" s="80"/>
      <c r="Y153" s="80"/>
      <c r="Z153" s="80"/>
      <c r="AA153" s="80"/>
    </row>
    <row r="154" spans="3:27" x14ac:dyDescent="0.25">
      <c r="C154" s="80"/>
      <c r="D154" s="80"/>
      <c r="E154" s="80"/>
      <c r="F154" s="80"/>
      <c r="G154" s="80"/>
      <c r="H154" s="80"/>
      <c r="I154" s="80"/>
      <c r="J154" s="80"/>
      <c r="K154" s="80"/>
      <c r="L154" s="80"/>
      <c r="M154" s="80"/>
      <c r="N154" s="80"/>
      <c r="O154" s="80"/>
      <c r="P154" s="80"/>
      <c r="Q154" s="80"/>
      <c r="R154" s="80"/>
      <c r="S154" s="80"/>
      <c r="T154" s="80"/>
      <c r="U154" s="80"/>
      <c r="V154" s="80"/>
      <c r="W154" s="80"/>
      <c r="X154" s="80"/>
      <c r="Y154" s="80"/>
      <c r="Z154" s="80"/>
      <c r="AA154" s="80"/>
    </row>
    <row r="155" spans="3:27" x14ac:dyDescent="0.25">
      <c r="C155" s="80"/>
      <c r="D155" s="80"/>
      <c r="E155" s="80"/>
      <c r="F155" s="80"/>
      <c r="G155" s="80"/>
      <c r="H155" s="80"/>
      <c r="I155" s="80"/>
      <c r="J155" s="80"/>
      <c r="K155" s="80"/>
      <c r="L155" s="80"/>
      <c r="M155" s="80"/>
      <c r="N155" s="80"/>
      <c r="O155" s="80"/>
      <c r="P155" s="80"/>
      <c r="Q155" s="80"/>
      <c r="R155" s="80"/>
      <c r="S155" s="80"/>
      <c r="T155" s="80"/>
      <c r="U155" s="80"/>
      <c r="V155" s="80"/>
      <c r="W155" s="80"/>
      <c r="X155" s="80"/>
      <c r="Y155" s="80"/>
      <c r="Z155" s="80"/>
      <c r="AA155" s="80"/>
    </row>
    <row r="156" spans="3:27" x14ac:dyDescent="0.25">
      <c r="C156" s="82"/>
      <c r="D156" s="81"/>
      <c r="E156" s="81"/>
      <c r="F156" s="81"/>
      <c r="G156" s="81"/>
      <c r="H156" s="81"/>
      <c r="I156" s="81"/>
      <c r="J156" s="81"/>
      <c r="K156" s="81"/>
      <c r="L156" s="81"/>
      <c r="M156" s="81"/>
      <c r="N156" s="81"/>
      <c r="O156" s="81"/>
      <c r="P156" s="81"/>
      <c r="Q156" s="81"/>
      <c r="R156" s="81"/>
      <c r="S156" s="81"/>
      <c r="T156" s="81"/>
      <c r="U156" s="81"/>
      <c r="V156" s="81"/>
      <c r="W156" s="81"/>
      <c r="X156" s="81"/>
      <c r="Y156" s="81"/>
      <c r="Z156" s="81"/>
      <c r="AA156" s="81"/>
    </row>
    <row r="157" spans="3:27" x14ac:dyDescent="0.25">
      <c r="C157" s="80"/>
      <c r="D157" s="81"/>
      <c r="E157" s="81"/>
      <c r="F157" s="81"/>
      <c r="G157" s="81"/>
      <c r="H157" s="81"/>
      <c r="I157" s="81"/>
      <c r="J157" s="81"/>
      <c r="K157" s="81"/>
      <c r="L157" s="81"/>
      <c r="M157" s="81"/>
      <c r="N157" s="81"/>
      <c r="O157" s="81"/>
      <c r="P157" s="81"/>
      <c r="Q157" s="81"/>
      <c r="R157" s="81"/>
      <c r="S157" s="81"/>
      <c r="T157" s="81"/>
      <c r="U157" s="81"/>
      <c r="V157" s="81"/>
      <c r="W157" s="81"/>
      <c r="X157" s="81"/>
      <c r="Y157" s="81"/>
      <c r="Z157" s="81"/>
      <c r="AA157" s="81"/>
    </row>
    <row r="158" spans="3:27" x14ac:dyDescent="0.25">
      <c r="C158" s="80"/>
      <c r="D158" s="81"/>
      <c r="E158" s="81"/>
      <c r="F158" s="81"/>
      <c r="G158" s="81"/>
      <c r="H158" s="81"/>
      <c r="I158" s="81"/>
      <c r="J158" s="81"/>
      <c r="K158" s="81"/>
      <c r="L158" s="81"/>
      <c r="M158" s="81"/>
      <c r="N158" s="81"/>
      <c r="O158" s="81"/>
      <c r="P158" s="81"/>
      <c r="Q158" s="81"/>
      <c r="R158" s="81"/>
      <c r="S158" s="81"/>
      <c r="T158" s="81"/>
      <c r="U158" s="81"/>
      <c r="V158" s="81"/>
      <c r="W158" s="81"/>
      <c r="X158" s="81"/>
      <c r="Y158" s="81"/>
      <c r="Z158" s="81"/>
      <c r="AA158" s="81"/>
    </row>
    <row r="159" spans="3:27" x14ac:dyDescent="0.25">
      <c r="C159" s="80"/>
      <c r="D159" s="81"/>
      <c r="E159" s="81"/>
      <c r="F159" s="81"/>
      <c r="G159" s="81"/>
      <c r="H159" s="81"/>
      <c r="I159" s="81"/>
      <c r="J159" s="81"/>
      <c r="K159" s="81"/>
      <c r="L159" s="81"/>
      <c r="M159" s="81"/>
      <c r="N159" s="81"/>
      <c r="O159" s="81"/>
      <c r="P159" s="81"/>
      <c r="Q159" s="81"/>
      <c r="R159" s="81"/>
      <c r="S159" s="81"/>
      <c r="T159" s="81"/>
      <c r="U159" s="81"/>
      <c r="V159" s="81"/>
      <c r="W159" s="81"/>
      <c r="X159" s="81"/>
      <c r="Y159" s="81"/>
      <c r="Z159" s="81"/>
      <c r="AA159" s="81"/>
    </row>
    <row r="160" spans="3:27" x14ac:dyDescent="0.25">
      <c r="C160" s="81"/>
      <c r="D160" s="81"/>
      <c r="E160" s="81"/>
      <c r="F160" s="81"/>
      <c r="G160" s="81"/>
      <c r="H160" s="81"/>
      <c r="I160" s="81"/>
      <c r="J160" s="81"/>
      <c r="K160" s="81"/>
      <c r="L160" s="81"/>
      <c r="M160" s="81"/>
      <c r="N160" s="81"/>
      <c r="O160" s="81"/>
      <c r="P160" s="81"/>
      <c r="Q160" s="81"/>
      <c r="R160" s="81"/>
      <c r="S160" s="81"/>
      <c r="T160" s="81"/>
      <c r="U160" s="81"/>
      <c r="V160" s="81"/>
      <c r="W160" s="81"/>
      <c r="X160" s="81"/>
      <c r="Y160" s="81"/>
      <c r="Z160" s="81"/>
      <c r="AA160" s="81"/>
    </row>
    <row r="162" spans="3:27" x14ac:dyDescent="0.25">
      <c r="C162" s="80"/>
      <c r="D162" s="80"/>
      <c r="E162" s="80"/>
      <c r="F162" s="80"/>
      <c r="G162" s="80"/>
      <c r="H162" s="80"/>
      <c r="I162" s="80"/>
      <c r="J162" s="80"/>
      <c r="K162" s="80"/>
      <c r="L162" s="80"/>
      <c r="M162" s="80"/>
      <c r="N162" s="80"/>
      <c r="O162" s="80"/>
      <c r="P162" s="80"/>
      <c r="Q162" s="80"/>
      <c r="R162" s="80"/>
      <c r="S162" s="80"/>
      <c r="T162" s="80"/>
      <c r="U162" s="80"/>
      <c r="V162" s="80"/>
      <c r="W162" s="80"/>
      <c r="X162" s="80"/>
      <c r="Y162" s="80"/>
      <c r="Z162" s="80"/>
      <c r="AA162" s="80"/>
    </row>
    <row r="163" spans="3:27" x14ac:dyDescent="0.25">
      <c r="C163" s="80"/>
      <c r="D163" s="80"/>
      <c r="E163" s="80"/>
      <c r="F163" s="80"/>
      <c r="G163" s="80"/>
      <c r="H163" s="80"/>
      <c r="I163" s="80"/>
      <c r="J163" s="80"/>
      <c r="K163" s="80"/>
      <c r="L163" s="80"/>
      <c r="M163" s="80"/>
      <c r="N163" s="80"/>
      <c r="O163" s="80"/>
      <c r="P163" s="80"/>
      <c r="Q163" s="80"/>
      <c r="R163" s="80"/>
      <c r="S163" s="80"/>
      <c r="T163" s="80"/>
      <c r="U163" s="80"/>
      <c r="V163" s="80"/>
      <c r="W163" s="80"/>
      <c r="X163" s="80"/>
      <c r="Y163" s="80"/>
      <c r="Z163" s="80"/>
      <c r="AA163" s="80"/>
    </row>
    <row r="164" spans="3:27" x14ac:dyDescent="0.25">
      <c r="C164" s="80"/>
      <c r="D164" s="80"/>
      <c r="E164" s="80"/>
      <c r="F164" s="80"/>
      <c r="G164" s="80"/>
      <c r="H164" s="80"/>
      <c r="I164" s="80"/>
      <c r="J164" s="80"/>
      <c r="K164" s="80"/>
      <c r="L164" s="80"/>
      <c r="M164" s="80"/>
      <c r="N164" s="80"/>
      <c r="O164" s="80"/>
      <c r="P164" s="80"/>
      <c r="Q164" s="80"/>
      <c r="R164" s="80"/>
      <c r="S164" s="80"/>
      <c r="T164" s="80"/>
      <c r="U164" s="80"/>
      <c r="V164" s="80"/>
      <c r="W164" s="80"/>
      <c r="X164" s="80"/>
      <c r="Y164" s="80"/>
      <c r="Z164" s="80"/>
      <c r="AA164" s="80"/>
    </row>
    <row r="165" spans="3:27" x14ac:dyDescent="0.25">
      <c r="C165" s="80"/>
      <c r="D165" s="80"/>
      <c r="E165" s="80"/>
      <c r="F165" s="80"/>
      <c r="G165" s="80"/>
      <c r="H165" s="80"/>
      <c r="I165" s="80"/>
      <c r="J165" s="80"/>
      <c r="K165" s="80"/>
      <c r="L165" s="80"/>
      <c r="M165" s="80"/>
      <c r="N165" s="80"/>
      <c r="O165" s="80"/>
      <c r="P165" s="80"/>
      <c r="Q165" s="80"/>
      <c r="R165" s="80"/>
      <c r="S165" s="80"/>
      <c r="T165" s="80"/>
      <c r="U165" s="80"/>
      <c r="V165" s="80"/>
      <c r="W165" s="80"/>
      <c r="X165" s="80"/>
      <c r="Y165" s="80"/>
      <c r="Z165" s="80"/>
      <c r="AA165" s="80"/>
    </row>
    <row r="166" spans="3:27" x14ac:dyDescent="0.25">
      <c r="C166" s="80"/>
      <c r="D166" s="80"/>
      <c r="E166" s="80"/>
      <c r="F166" s="80"/>
      <c r="G166" s="80"/>
      <c r="H166" s="80"/>
      <c r="I166" s="80"/>
      <c r="J166" s="80"/>
      <c r="K166" s="80"/>
      <c r="L166" s="80"/>
      <c r="M166" s="80"/>
      <c r="N166" s="80"/>
      <c r="O166" s="80"/>
      <c r="P166" s="80"/>
      <c r="Q166" s="80"/>
      <c r="R166" s="80"/>
      <c r="S166" s="80"/>
      <c r="T166" s="80"/>
      <c r="U166" s="80"/>
      <c r="V166" s="80"/>
      <c r="W166" s="80"/>
      <c r="X166" s="80"/>
      <c r="Y166" s="80"/>
      <c r="Z166" s="80"/>
      <c r="AA166" s="80"/>
    </row>
    <row r="167" spans="3:27" x14ac:dyDescent="0.25">
      <c r="C167" s="80"/>
      <c r="D167" s="80"/>
      <c r="E167" s="80"/>
      <c r="F167" s="80"/>
      <c r="G167" s="80"/>
      <c r="H167" s="80"/>
      <c r="I167" s="80"/>
      <c r="J167" s="80"/>
      <c r="K167" s="80"/>
      <c r="L167" s="80"/>
      <c r="M167" s="80"/>
      <c r="N167" s="80"/>
      <c r="O167" s="80"/>
      <c r="P167" s="80"/>
      <c r="Q167" s="80"/>
      <c r="R167" s="80"/>
      <c r="S167" s="80"/>
      <c r="T167" s="80"/>
      <c r="U167" s="80"/>
      <c r="V167" s="80"/>
      <c r="W167" s="80"/>
      <c r="X167" s="80"/>
      <c r="Y167" s="80"/>
      <c r="Z167" s="80"/>
      <c r="AA167" s="80"/>
    </row>
    <row r="168" spans="3:27" x14ac:dyDescent="0.25">
      <c r="C168" s="80"/>
      <c r="D168" s="80"/>
      <c r="E168" s="80"/>
      <c r="F168" s="80"/>
      <c r="G168" s="80"/>
      <c r="H168" s="80"/>
      <c r="I168" s="80"/>
      <c r="J168" s="80"/>
      <c r="K168" s="80"/>
      <c r="L168" s="80"/>
      <c r="M168" s="80"/>
      <c r="N168" s="80"/>
      <c r="O168" s="80"/>
      <c r="P168" s="80"/>
      <c r="Q168" s="80"/>
      <c r="R168" s="80"/>
      <c r="S168" s="80"/>
      <c r="T168" s="80"/>
      <c r="U168" s="80"/>
      <c r="V168" s="80"/>
      <c r="W168" s="80"/>
      <c r="X168" s="80"/>
      <c r="Y168" s="80"/>
      <c r="Z168" s="80"/>
      <c r="AA168" s="80"/>
    </row>
    <row r="169" spans="3:27" x14ac:dyDescent="0.25">
      <c r="C169" s="80"/>
      <c r="D169" s="80"/>
      <c r="E169" s="80"/>
      <c r="F169" s="80"/>
      <c r="G169" s="80"/>
      <c r="H169" s="80"/>
      <c r="I169" s="80"/>
      <c r="J169" s="80"/>
      <c r="K169" s="80"/>
      <c r="L169" s="80"/>
      <c r="M169" s="80"/>
      <c r="N169" s="80"/>
      <c r="O169" s="80"/>
      <c r="P169" s="80"/>
      <c r="Q169" s="80"/>
      <c r="R169" s="80"/>
      <c r="S169" s="80"/>
      <c r="T169" s="80"/>
      <c r="U169" s="80"/>
      <c r="V169" s="80"/>
      <c r="W169" s="80"/>
      <c r="X169" s="80"/>
      <c r="Y169" s="80"/>
      <c r="Z169" s="80"/>
      <c r="AA169" s="80"/>
    </row>
    <row r="170" spans="3:27" x14ac:dyDescent="0.25">
      <c r="C170" s="82"/>
      <c r="D170" s="81"/>
      <c r="E170" s="81"/>
      <c r="F170" s="81"/>
      <c r="G170" s="81"/>
      <c r="H170" s="81"/>
      <c r="I170" s="81"/>
      <c r="J170" s="81"/>
      <c r="K170" s="81"/>
      <c r="L170" s="81"/>
      <c r="M170" s="81"/>
      <c r="N170" s="81"/>
      <c r="O170" s="81"/>
      <c r="P170" s="81"/>
      <c r="Q170" s="81"/>
      <c r="R170" s="81"/>
      <c r="S170" s="81"/>
      <c r="T170" s="81"/>
      <c r="U170" s="81"/>
      <c r="V170" s="81"/>
      <c r="W170" s="81"/>
      <c r="X170" s="81"/>
      <c r="Y170" s="81"/>
      <c r="Z170" s="81"/>
      <c r="AA170" s="81"/>
    </row>
    <row r="171" spans="3:27" x14ac:dyDescent="0.25">
      <c r="C171" s="80"/>
      <c r="D171" s="81"/>
      <c r="E171" s="81"/>
      <c r="F171" s="81"/>
      <c r="G171" s="81"/>
      <c r="H171" s="81"/>
      <c r="I171" s="81"/>
      <c r="J171" s="81"/>
      <c r="K171" s="81"/>
      <c r="L171" s="81"/>
      <c r="M171" s="81"/>
      <c r="N171" s="81"/>
      <c r="O171" s="81"/>
      <c r="P171" s="81"/>
      <c r="Q171" s="81"/>
      <c r="R171" s="81"/>
      <c r="S171" s="81"/>
      <c r="T171" s="81"/>
      <c r="U171" s="81"/>
      <c r="V171" s="81"/>
      <c r="W171" s="81"/>
      <c r="X171" s="81"/>
      <c r="Y171" s="81"/>
      <c r="Z171" s="81"/>
      <c r="AA171" s="81"/>
    </row>
    <row r="172" spans="3:27" x14ac:dyDescent="0.25">
      <c r="C172" s="80"/>
      <c r="D172" s="81"/>
      <c r="E172" s="81"/>
      <c r="F172" s="81"/>
      <c r="G172" s="81"/>
      <c r="H172" s="81"/>
      <c r="I172" s="81"/>
      <c r="J172" s="81"/>
      <c r="K172" s="81"/>
      <c r="L172" s="81"/>
      <c r="M172" s="81"/>
      <c r="N172" s="81"/>
      <c r="O172" s="81"/>
      <c r="P172" s="81"/>
      <c r="Q172" s="81"/>
      <c r="R172" s="81"/>
      <c r="S172" s="81"/>
      <c r="T172" s="81"/>
      <c r="U172" s="81"/>
      <c r="V172" s="81"/>
      <c r="W172" s="81"/>
      <c r="X172" s="81"/>
      <c r="Y172" s="81"/>
      <c r="Z172" s="81"/>
      <c r="AA172" s="81"/>
    </row>
    <row r="173" spans="3:27" x14ac:dyDescent="0.25">
      <c r="C173" s="80"/>
      <c r="D173" s="81"/>
      <c r="E173" s="81"/>
      <c r="F173" s="81"/>
      <c r="G173" s="81"/>
      <c r="H173" s="81"/>
      <c r="I173" s="81"/>
      <c r="J173" s="81"/>
      <c r="K173" s="81"/>
      <c r="L173" s="81"/>
      <c r="M173" s="81"/>
      <c r="N173" s="81"/>
      <c r="O173" s="81"/>
      <c r="P173" s="81"/>
      <c r="Q173" s="81"/>
      <c r="R173" s="81"/>
      <c r="S173" s="81"/>
      <c r="T173" s="81"/>
      <c r="U173" s="81"/>
      <c r="V173" s="81"/>
      <c r="W173" s="81"/>
      <c r="X173" s="81"/>
      <c r="Y173" s="81"/>
      <c r="Z173" s="81"/>
      <c r="AA173" s="81"/>
    </row>
    <row r="174" spans="3:27" x14ac:dyDescent="0.25">
      <c r="C174" s="81"/>
      <c r="D174" s="81"/>
      <c r="E174" s="81"/>
      <c r="F174" s="81"/>
      <c r="G174" s="81"/>
      <c r="H174" s="81"/>
      <c r="I174" s="81"/>
      <c r="J174" s="81"/>
      <c r="K174" s="81"/>
      <c r="L174" s="81"/>
      <c r="M174" s="81"/>
      <c r="N174" s="81"/>
      <c r="O174" s="81"/>
      <c r="P174" s="81"/>
      <c r="Q174" s="81"/>
      <c r="R174" s="81"/>
      <c r="S174" s="81"/>
      <c r="T174" s="81"/>
      <c r="U174" s="81"/>
      <c r="V174" s="81"/>
      <c r="W174" s="81"/>
      <c r="X174" s="81"/>
      <c r="Y174" s="81"/>
      <c r="Z174" s="81"/>
      <c r="AA174" s="81"/>
    </row>
    <row r="176" spans="3:27" x14ac:dyDescent="0.25">
      <c r="C176" s="80"/>
      <c r="D176" s="80"/>
      <c r="E176" s="80"/>
      <c r="F176" s="80"/>
      <c r="G176" s="80"/>
      <c r="H176" s="80"/>
      <c r="I176" s="80"/>
      <c r="J176" s="80"/>
      <c r="K176" s="80"/>
      <c r="L176" s="80"/>
      <c r="M176" s="80"/>
      <c r="N176" s="80"/>
      <c r="O176" s="80"/>
      <c r="P176" s="80"/>
      <c r="Q176" s="80"/>
      <c r="R176" s="80"/>
      <c r="S176" s="80"/>
      <c r="T176" s="80"/>
      <c r="U176" s="80"/>
      <c r="V176" s="80"/>
      <c r="W176" s="80"/>
      <c r="X176" s="80"/>
      <c r="Y176" s="80"/>
      <c r="Z176" s="80"/>
      <c r="AA176" s="80"/>
    </row>
    <row r="177" spans="3:27" x14ac:dyDescent="0.25">
      <c r="C177" s="80"/>
      <c r="D177" s="80"/>
      <c r="E177" s="80"/>
      <c r="F177" s="80"/>
      <c r="G177" s="80"/>
      <c r="H177" s="80"/>
      <c r="I177" s="80"/>
      <c r="J177" s="80"/>
      <c r="K177" s="80"/>
      <c r="L177" s="80"/>
      <c r="M177" s="80"/>
      <c r="N177" s="80"/>
      <c r="O177" s="80"/>
      <c r="P177" s="80"/>
      <c r="Q177" s="80"/>
      <c r="R177" s="80"/>
      <c r="S177" s="80"/>
      <c r="T177" s="80"/>
      <c r="U177" s="80"/>
      <c r="V177" s="80"/>
      <c r="W177" s="80"/>
      <c r="X177" s="80"/>
      <c r="Y177" s="80"/>
      <c r="Z177" s="80"/>
      <c r="AA177" s="80"/>
    </row>
    <row r="178" spans="3:27" x14ac:dyDescent="0.25">
      <c r="C178" s="80"/>
      <c r="D178" s="80"/>
      <c r="E178" s="80"/>
      <c r="F178" s="80"/>
      <c r="G178" s="80"/>
      <c r="H178" s="80"/>
      <c r="I178" s="80"/>
      <c r="J178" s="80"/>
      <c r="K178" s="80"/>
      <c r="L178" s="80"/>
      <c r="M178" s="80"/>
      <c r="N178" s="80"/>
      <c r="O178" s="80"/>
      <c r="P178" s="80"/>
      <c r="Q178" s="80"/>
      <c r="R178" s="80"/>
      <c r="S178" s="80"/>
      <c r="T178" s="80"/>
      <c r="U178" s="80"/>
      <c r="V178" s="80"/>
      <c r="W178" s="80"/>
      <c r="X178" s="80"/>
      <c r="Y178" s="80"/>
      <c r="Z178" s="80"/>
      <c r="AA178" s="80"/>
    </row>
    <row r="179" spans="3:27" x14ac:dyDescent="0.25">
      <c r="C179" s="80"/>
      <c r="D179" s="80"/>
      <c r="E179" s="80"/>
      <c r="F179" s="80"/>
      <c r="G179" s="80"/>
      <c r="H179" s="80"/>
      <c r="I179" s="80"/>
      <c r="J179" s="80"/>
      <c r="K179" s="80"/>
      <c r="L179" s="80"/>
      <c r="M179" s="80"/>
      <c r="N179" s="80"/>
      <c r="O179" s="80"/>
      <c r="P179" s="80"/>
      <c r="Q179" s="80"/>
      <c r="R179" s="80"/>
      <c r="S179" s="80"/>
      <c r="T179" s="80"/>
      <c r="U179" s="80"/>
      <c r="V179" s="80"/>
      <c r="W179" s="80"/>
      <c r="X179" s="80"/>
      <c r="Y179" s="80"/>
      <c r="Z179" s="80"/>
      <c r="AA179" s="80"/>
    </row>
    <row r="180" spans="3:27" x14ac:dyDescent="0.25">
      <c r="C180" s="80"/>
      <c r="D180" s="80"/>
      <c r="E180" s="80"/>
      <c r="F180" s="80"/>
      <c r="G180" s="80"/>
      <c r="H180" s="80"/>
      <c r="I180" s="80"/>
      <c r="J180" s="80"/>
      <c r="K180" s="80"/>
      <c r="L180" s="80"/>
      <c r="M180" s="80"/>
      <c r="N180" s="80"/>
      <c r="O180" s="80"/>
      <c r="P180" s="80"/>
      <c r="Q180" s="80"/>
      <c r="R180" s="80"/>
      <c r="S180" s="80"/>
      <c r="T180" s="80"/>
      <c r="U180" s="80"/>
      <c r="V180" s="80"/>
      <c r="W180" s="80"/>
      <c r="X180" s="80"/>
      <c r="Y180" s="80"/>
      <c r="Z180" s="80"/>
      <c r="AA180" s="80"/>
    </row>
    <row r="181" spans="3:27" x14ac:dyDescent="0.25">
      <c r="C181" s="80"/>
      <c r="D181" s="80"/>
      <c r="E181" s="80"/>
      <c r="F181" s="80"/>
      <c r="G181" s="80"/>
      <c r="H181" s="80"/>
      <c r="I181" s="80"/>
      <c r="J181" s="80"/>
      <c r="K181" s="80"/>
      <c r="L181" s="80"/>
      <c r="M181" s="80"/>
      <c r="N181" s="80"/>
      <c r="O181" s="80"/>
      <c r="P181" s="80"/>
      <c r="Q181" s="80"/>
      <c r="R181" s="80"/>
      <c r="S181" s="80"/>
      <c r="T181" s="80"/>
      <c r="U181" s="80"/>
      <c r="V181" s="80"/>
      <c r="W181" s="80"/>
      <c r="X181" s="80"/>
      <c r="Y181" s="80"/>
      <c r="Z181" s="80"/>
      <c r="AA181" s="80"/>
    </row>
    <row r="182" spans="3:27" x14ac:dyDescent="0.25">
      <c r="C182" s="80"/>
      <c r="D182" s="80"/>
      <c r="E182" s="80"/>
      <c r="F182" s="80"/>
      <c r="G182" s="80"/>
      <c r="H182" s="80"/>
      <c r="I182" s="80"/>
      <c r="J182" s="80"/>
      <c r="K182" s="80"/>
      <c r="L182" s="80"/>
      <c r="M182" s="80"/>
      <c r="N182" s="80"/>
      <c r="O182" s="80"/>
      <c r="P182" s="80"/>
      <c r="Q182" s="80"/>
      <c r="R182" s="80"/>
      <c r="S182" s="80"/>
      <c r="T182" s="80"/>
      <c r="U182" s="80"/>
      <c r="V182" s="80"/>
      <c r="W182" s="80"/>
      <c r="X182" s="80"/>
      <c r="Y182" s="80"/>
      <c r="Z182" s="80"/>
      <c r="AA182" s="80"/>
    </row>
    <row r="183" spans="3:27" x14ac:dyDescent="0.25">
      <c r="C183" s="80"/>
      <c r="D183" s="80"/>
      <c r="E183" s="80"/>
      <c r="F183" s="80"/>
      <c r="G183" s="80"/>
      <c r="H183" s="80"/>
      <c r="I183" s="80"/>
      <c r="J183" s="80"/>
      <c r="K183" s="80"/>
      <c r="L183" s="80"/>
      <c r="M183" s="80"/>
      <c r="N183" s="80"/>
      <c r="O183" s="80"/>
      <c r="P183" s="80"/>
      <c r="Q183" s="80"/>
      <c r="R183" s="80"/>
      <c r="S183" s="80"/>
      <c r="T183" s="80"/>
      <c r="U183" s="80"/>
      <c r="V183" s="80"/>
      <c r="W183" s="80"/>
      <c r="X183" s="80"/>
      <c r="Y183" s="80"/>
      <c r="Z183" s="80"/>
      <c r="AA183" s="80"/>
    </row>
    <row r="184" spans="3:27" x14ac:dyDescent="0.25">
      <c r="C184" s="82"/>
      <c r="D184" s="81"/>
      <c r="E184" s="81"/>
      <c r="F184" s="81"/>
      <c r="G184" s="81"/>
      <c r="H184" s="81"/>
      <c r="I184" s="81"/>
      <c r="J184" s="81"/>
      <c r="K184" s="81"/>
      <c r="L184" s="81"/>
      <c r="M184" s="81"/>
      <c r="N184" s="81"/>
      <c r="O184" s="81"/>
      <c r="P184" s="81"/>
      <c r="Q184" s="81"/>
      <c r="R184" s="81"/>
      <c r="S184" s="81"/>
      <c r="T184" s="81"/>
      <c r="U184" s="81"/>
      <c r="V184" s="81"/>
      <c r="W184" s="81"/>
      <c r="X184" s="81"/>
      <c r="Y184" s="81"/>
      <c r="Z184" s="81"/>
      <c r="AA184" s="81"/>
    </row>
    <row r="185" spans="3:27" x14ac:dyDescent="0.25">
      <c r="C185" s="80"/>
      <c r="D185" s="81"/>
      <c r="E185" s="81"/>
      <c r="F185" s="81"/>
      <c r="G185" s="81"/>
      <c r="H185" s="81"/>
      <c r="I185" s="81"/>
      <c r="J185" s="81"/>
      <c r="K185" s="81"/>
      <c r="L185" s="81"/>
      <c r="M185" s="81"/>
      <c r="N185" s="81"/>
      <c r="O185" s="81"/>
      <c r="P185" s="81"/>
      <c r="Q185" s="81"/>
      <c r="R185" s="81"/>
      <c r="S185" s="81"/>
      <c r="T185" s="81"/>
      <c r="U185" s="81"/>
      <c r="V185" s="81"/>
      <c r="W185" s="81"/>
      <c r="X185" s="81"/>
      <c r="Y185" s="81"/>
      <c r="Z185" s="81"/>
      <c r="AA185" s="81"/>
    </row>
    <row r="186" spans="3:27" x14ac:dyDescent="0.25">
      <c r="C186" s="80"/>
      <c r="D186" s="81"/>
      <c r="E186" s="81"/>
      <c r="F186" s="81"/>
      <c r="G186" s="81"/>
      <c r="H186" s="81"/>
      <c r="I186" s="81"/>
      <c r="J186" s="81"/>
      <c r="K186" s="81"/>
      <c r="L186" s="81"/>
      <c r="M186" s="81"/>
      <c r="N186" s="81"/>
      <c r="O186" s="81"/>
      <c r="P186" s="81"/>
      <c r="Q186" s="81"/>
      <c r="R186" s="81"/>
      <c r="S186" s="81"/>
      <c r="T186" s="81"/>
      <c r="U186" s="81"/>
      <c r="V186" s="81"/>
      <c r="W186" s="81"/>
      <c r="X186" s="81"/>
      <c r="Y186" s="81"/>
      <c r="Z186" s="81"/>
      <c r="AA186" s="81"/>
    </row>
    <row r="187" spans="3:27" x14ac:dyDescent="0.25">
      <c r="C187" s="80"/>
      <c r="D187" s="81"/>
      <c r="E187" s="81"/>
      <c r="F187" s="81"/>
      <c r="G187" s="81"/>
      <c r="H187" s="81"/>
      <c r="I187" s="81"/>
      <c r="J187" s="81"/>
      <c r="K187" s="81"/>
      <c r="L187" s="81"/>
      <c r="M187" s="81"/>
      <c r="N187" s="81"/>
      <c r="O187" s="81"/>
      <c r="P187" s="81"/>
      <c r="Q187" s="81"/>
      <c r="R187" s="81"/>
      <c r="S187" s="81"/>
      <c r="T187" s="81"/>
      <c r="U187" s="81"/>
      <c r="V187" s="81"/>
      <c r="W187" s="81"/>
      <c r="X187" s="81"/>
      <c r="Y187" s="81"/>
      <c r="Z187" s="81"/>
      <c r="AA187" s="81"/>
    </row>
    <row r="188" spans="3:27" x14ac:dyDescent="0.25">
      <c r="C188" s="81"/>
      <c r="D188" s="81"/>
      <c r="E188" s="81"/>
      <c r="F188" s="81"/>
      <c r="G188" s="81"/>
      <c r="H188" s="81"/>
      <c r="I188" s="81"/>
      <c r="J188" s="81"/>
      <c r="K188" s="81"/>
      <c r="L188" s="81"/>
      <c r="M188" s="81"/>
      <c r="N188" s="81"/>
      <c r="O188" s="81"/>
      <c r="P188" s="81"/>
      <c r="Q188" s="81"/>
      <c r="R188" s="81"/>
      <c r="S188" s="81"/>
      <c r="T188" s="81"/>
      <c r="U188" s="81"/>
      <c r="V188" s="81"/>
      <c r="W188" s="81"/>
      <c r="X188" s="81"/>
      <c r="Y188" s="81"/>
      <c r="Z188" s="81"/>
      <c r="AA188" s="81"/>
    </row>
    <row r="190" spans="3:27" x14ac:dyDescent="0.25">
      <c r="C190" s="80"/>
      <c r="D190" s="80"/>
      <c r="E190" s="80"/>
      <c r="F190" s="80"/>
      <c r="G190" s="80"/>
      <c r="H190" s="80"/>
      <c r="I190" s="80"/>
      <c r="J190" s="80"/>
      <c r="K190" s="80"/>
      <c r="L190" s="80"/>
      <c r="M190" s="80"/>
      <c r="N190" s="80"/>
      <c r="O190" s="80"/>
      <c r="P190" s="80"/>
      <c r="Q190" s="80"/>
      <c r="R190" s="80"/>
      <c r="S190" s="80"/>
      <c r="T190" s="80"/>
      <c r="U190" s="80"/>
      <c r="V190" s="80"/>
      <c r="W190" s="80"/>
      <c r="X190" s="80"/>
      <c r="Y190" s="80"/>
      <c r="Z190" s="80"/>
      <c r="AA190" s="80"/>
    </row>
    <row r="191" spans="3:27" x14ac:dyDescent="0.25">
      <c r="C191" s="80"/>
      <c r="D191" s="80"/>
      <c r="E191" s="80"/>
      <c r="F191" s="80"/>
      <c r="G191" s="80"/>
      <c r="H191" s="80"/>
      <c r="I191" s="80"/>
      <c r="J191" s="80"/>
      <c r="K191" s="80"/>
      <c r="L191" s="80"/>
      <c r="M191" s="80"/>
      <c r="N191" s="80"/>
      <c r="O191" s="80"/>
      <c r="P191" s="80"/>
      <c r="Q191" s="80"/>
      <c r="R191" s="80"/>
      <c r="S191" s="80"/>
      <c r="T191" s="80"/>
      <c r="U191" s="80"/>
      <c r="V191" s="80"/>
      <c r="W191" s="80"/>
      <c r="X191" s="80"/>
      <c r="Y191" s="80"/>
      <c r="Z191" s="80"/>
      <c r="AA191" s="80"/>
    </row>
    <row r="192" spans="3:27" x14ac:dyDescent="0.25">
      <c r="C192" s="80"/>
      <c r="D192" s="80"/>
      <c r="E192" s="80"/>
      <c r="F192" s="80"/>
      <c r="G192" s="80"/>
      <c r="H192" s="80"/>
      <c r="I192" s="80"/>
      <c r="J192" s="80"/>
      <c r="K192" s="80"/>
      <c r="L192" s="80"/>
      <c r="M192" s="80"/>
      <c r="N192" s="80"/>
      <c r="O192" s="80"/>
      <c r="P192" s="80"/>
      <c r="Q192" s="80"/>
      <c r="R192" s="80"/>
      <c r="S192" s="80"/>
      <c r="T192" s="80"/>
      <c r="U192" s="80"/>
      <c r="V192" s="80"/>
      <c r="W192" s="80"/>
      <c r="X192" s="80"/>
      <c r="Y192" s="80"/>
      <c r="Z192" s="80"/>
      <c r="AA192" s="80"/>
    </row>
    <row r="193" spans="3:27" x14ac:dyDescent="0.25">
      <c r="C193" s="80"/>
      <c r="D193" s="80"/>
      <c r="E193" s="80"/>
      <c r="F193" s="80"/>
      <c r="G193" s="80"/>
      <c r="H193" s="80"/>
      <c r="I193" s="80"/>
      <c r="J193" s="80"/>
      <c r="K193" s="80"/>
      <c r="L193" s="80"/>
      <c r="M193" s="80"/>
      <c r="N193" s="80"/>
      <c r="O193" s="80"/>
      <c r="P193" s="80"/>
      <c r="Q193" s="80"/>
      <c r="R193" s="80"/>
      <c r="S193" s="80"/>
      <c r="T193" s="80"/>
      <c r="U193" s="80"/>
      <c r="V193" s="80"/>
      <c r="W193" s="80"/>
      <c r="X193" s="80"/>
      <c r="Y193" s="80"/>
      <c r="Z193" s="80"/>
      <c r="AA193" s="80"/>
    </row>
    <row r="194" spans="3:27" x14ac:dyDescent="0.25">
      <c r="C194" s="80"/>
      <c r="D194" s="80"/>
      <c r="E194" s="80"/>
      <c r="F194" s="80"/>
      <c r="G194" s="80"/>
      <c r="H194" s="80"/>
      <c r="I194" s="80"/>
      <c r="J194" s="80"/>
      <c r="K194" s="80"/>
      <c r="L194" s="80"/>
      <c r="M194" s="80"/>
      <c r="N194" s="80"/>
      <c r="O194" s="80"/>
      <c r="P194" s="80"/>
      <c r="Q194" s="80"/>
      <c r="R194" s="80"/>
      <c r="S194" s="80"/>
      <c r="T194" s="80"/>
      <c r="U194" s="80"/>
      <c r="V194" s="80"/>
      <c r="W194" s="80"/>
      <c r="X194" s="80"/>
      <c r="Y194" s="80"/>
      <c r="Z194" s="80"/>
      <c r="AA194" s="80"/>
    </row>
    <row r="195" spans="3:27" x14ac:dyDescent="0.25">
      <c r="C195" s="80"/>
      <c r="D195" s="80"/>
      <c r="E195" s="80"/>
      <c r="F195" s="80"/>
      <c r="G195" s="80"/>
      <c r="H195" s="80"/>
      <c r="I195" s="80"/>
      <c r="J195" s="80"/>
      <c r="K195" s="80"/>
      <c r="L195" s="80"/>
      <c r="M195" s="80"/>
      <c r="N195" s="80"/>
      <c r="O195" s="80"/>
      <c r="P195" s="80"/>
      <c r="Q195" s="80"/>
      <c r="R195" s="80"/>
      <c r="S195" s="80"/>
      <c r="T195" s="80"/>
      <c r="U195" s="80"/>
      <c r="V195" s="80"/>
      <c r="W195" s="80"/>
      <c r="X195" s="80"/>
      <c r="Y195" s="80"/>
      <c r="Z195" s="80"/>
      <c r="AA195" s="80"/>
    </row>
    <row r="196" spans="3:27" x14ac:dyDescent="0.25">
      <c r="C196" s="80"/>
      <c r="D196" s="80"/>
      <c r="E196" s="80"/>
      <c r="F196" s="80"/>
      <c r="G196" s="80"/>
      <c r="H196" s="80"/>
      <c r="I196" s="80"/>
      <c r="J196" s="80"/>
      <c r="K196" s="80"/>
      <c r="L196" s="80"/>
      <c r="M196" s="80"/>
      <c r="N196" s="80"/>
      <c r="O196" s="80"/>
      <c r="P196" s="80"/>
      <c r="Q196" s="80"/>
      <c r="R196" s="80"/>
      <c r="S196" s="80"/>
      <c r="T196" s="80"/>
      <c r="U196" s="80"/>
      <c r="V196" s="80"/>
      <c r="W196" s="80"/>
      <c r="X196" s="80"/>
      <c r="Y196" s="80"/>
      <c r="Z196" s="80"/>
      <c r="AA196" s="80"/>
    </row>
    <row r="197" spans="3:27" x14ac:dyDescent="0.25">
      <c r="C197" s="80"/>
      <c r="D197" s="80"/>
      <c r="E197" s="80"/>
      <c r="F197" s="80"/>
      <c r="G197" s="80"/>
      <c r="H197" s="80"/>
      <c r="I197" s="80"/>
      <c r="J197" s="80"/>
      <c r="K197" s="80"/>
      <c r="L197" s="80"/>
      <c r="M197" s="80"/>
      <c r="N197" s="80"/>
      <c r="O197" s="80"/>
      <c r="P197" s="80"/>
      <c r="Q197" s="80"/>
      <c r="R197" s="80"/>
      <c r="S197" s="80"/>
      <c r="T197" s="80"/>
      <c r="U197" s="80"/>
      <c r="V197" s="80"/>
      <c r="W197" s="80"/>
      <c r="X197" s="80"/>
      <c r="Y197" s="80"/>
      <c r="Z197" s="80"/>
      <c r="AA197" s="80"/>
    </row>
    <row r="198" spans="3:27" x14ac:dyDescent="0.25">
      <c r="C198" s="82"/>
      <c r="D198" s="81"/>
      <c r="E198" s="81"/>
      <c r="F198" s="81"/>
      <c r="G198" s="81"/>
      <c r="H198" s="81"/>
      <c r="I198" s="81"/>
      <c r="J198" s="81"/>
      <c r="K198" s="81"/>
      <c r="L198" s="81"/>
      <c r="M198" s="81"/>
      <c r="N198" s="81"/>
      <c r="O198" s="81"/>
      <c r="P198" s="81"/>
      <c r="Q198" s="81"/>
      <c r="R198" s="81"/>
      <c r="S198" s="81"/>
      <c r="T198" s="81"/>
      <c r="U198" s="81"/>
      <c r="V198" s="81"/>
      <c r="W198" s="81"/>
      <c r="X198" s="81"/>
      <c r="Y198" s="81"/>
      <c r="Z198" s="81"/>
      <c r="AA198" s="81"/>
    </row>
    <row r="199" spans="3:27" x14ac:dyDescent="0.25">
      <c r="C199" s="80"/>
      <c r="D199" s="81"/>
      <c r="E199" s="81"/>
      <c r="F199" s="81"/>
      <c r="G199" s="81"/>
      <c r="H199" s="81"/>
      <c r="I199" s="81"/>
      <c r="J199" s="81"/>
      <c r="K199" s="81"/>
      <c r="L199" s="81"/>
      <c r="M199" s="81"/>
      <c r="N199" s="81"/>
      <c r="O199" s="81"/>
      <c r="P199" s="81"/>
      <c r="Q199" s="81"/>
      <c r="R199" s="81"/>
      <c r="S199" s="81"/>
      <c r="T199" s="81"/>
      <c r="U199" s="81"/>
      <c r="V199" s="81"/>
      <c r="W199" s="81"/>
      <c r="X199" s="81"/>
      <c r="Y199" s="81"/>
      <c r="Z199" s="81"/>
      <c r="AA199" s="81"/>
    </row>
    <row r="200" spans="3:27" x14ac:dyDescent="0.25">
      <c r="C200" s="80"/>
      <c r="D200" s="81"/>
      <c r="E200" s="81"/>
      <c r="F200" s="81"/>
      <c r="G200" s="81"/>
      <c r="H200" s="81"/>
      <c r="I200" s="81"/>
      <c r="J200" s="81"/>
      <c r="K200" s="81"/>
      <c r="L200" s="81"/>
      <c r="M200" s="81"/>
      <c r="N200" s="81"/>
      <c r="O200" s="81"/>
      <c r="P200" s="81"/>
      <c r="Q200" s="81"/>
      <c r="R200" s="81"/>
      <c r="S200" s="81"/>
      <c r="T200" s="81"/>
      <c r="U200" s="81"/>
      <c r="V200" s="81"/>
      <c r="W200" s="81"/>
      <c r="X200" s="81"/>
      <c r="Y200" s="81"/>
      <c r="Z200" s="81"/>
      <c r="AA200" s="81"/>
    </row>
    <row r="201" spans="3:27" x14ac:dyDescent="0.25">
      <c r="C201" s="80"/>
      <c r="D201" s="81"/>
      <c r="E201" s="81"/>
      <c r="F201" s="81"/>
      <c r="G201" s="81"/>
      <c r="H201" s="81"/>
      <c r="I201" s="81"/>
      <c r="J201" s="81"/>
      <c r="K201" s="81"/>
      <c r="L201" s="81"/>
      <c r="M201" s="81"/>
      <c r="N201" s="81"/>
      <c r="O201" s="81"/>
      <c r="P201" s="81"/>
      <c r="Q201" s="81"/>
      <c r="R201" s="81"/>
      <c r="S201" s="81"/>
      <c r="T201" s="81"/>
      <c r="U201" s="81"/>
      <c r="V201" s="81"/>
      <c r="W201" s="81"/>
      <c r="X201" s="81"/>
      <c r="Y201" s="81"/>
      <c r="Z201" s="81"/>
      <c r="AA201" s="81"/>
    </row>
    <row r="202" spans="3:27" x14ac:dyDescent="0.25">
      <c r="C202" s="81"/>
      <c r="D202" s="81"/>
      <c r="E202" s="81"/>
      <c r="F202" s="81"/>
      <c r="G202" s="81"/>
      <c r="H202" s="81"/>
      <c r="I202" s="81"/>
      <c r="J202" s="81"/>
      <c r="K202" s="81"/>
      <c r="L202" s="81"/>
      <c r="M202" s="81"/>
      <c r="N202" s="81"/>
      <c r="O202" s="81"/>
      <c r="P202" s="81"/>
      <c r="Q202" s="81"/>
      <c r="R202" s="81"/>
      <c r="S202" s="81"/>
      <c r="T202" s="81"/>
      <c r="U202" s="81"/>
      <c r="V202" s="81"/>
      <c r="W202" s="81"/>
      <c r="X202" s="81"/>
      <c r="Y202" s="81"/>
      <c r="Z202" s="81"/>
      <c r="AA202" s="81"/>
    </row>
    <row r="204" spans="3:27" x14ac:dyDescent="0.25">
      <c r="C204" s="80"/>
      <c r="D204" s="80"/>
      <c r="E204" s="80"/>
      <c r="F204" s="80"/>
      <c r="G204" s="80"/>
      <c r="H204" s="80"/>
      <c r="I204" s="80"/>
      <c r="J204" s="80"/>
      <c r="K204" s="80"/>
      <c r="L204" s="80"/>
      <c r="M204" s="80"/>
      <c r="N204" s="80"/>
      <c r="O204" s="80"/>
      <c r="P204" s="80"/>
      <c r="Q204" s="80"/>
      <c r="R204" s="80"/>
      <c r="S204" s="80"/>
      <c r="T204" s="80"/>
      <c r="U204" s="80"/>
      <c r="V204" s="80"/>
      <c r="W204" s="80"/>
      <c r="X204" s="80"/>
      <c r="Y204" s="80"/>
      <c r="Z204" s="80"/>
      <c r="AA204" s="80"/>
    </row>
    <row r="205" spans="3:27" x14ac:dyDescent="0.25">
      <c r="C205" s="80"/>
      <c r="D205" s="80"/>
      <c r="E205" s="80"/>
      <c r="F205" s="80"/>
      <c r="G205" s="80"/>
      <c r="H205" s="80"/>
      <c r="I205" s="80"/>
      <c r="J205" s="80"/>
      <c r="K205" s="80"/>
      <c r="L205" s="80"/>
      <c r="M205" s="80"/>
      <c r="N205" s="80"/>
      <c r="O205" s="80"/>
      <c r="P205" s="80"/>
      <c r="Q205" s="80"/>
      <c r="R205" s="80"/>
      <c r="S205" s="80"/>
      <c r="T205" s="80"/>
      <c r="U205" s="80"/>
      <c r="V205" s="80"/>
      <c r="W205" s="80"/>
      <c r="X205" s="80"/>
      <c r="Y205" s="80"/>
      <c r="Z205" s="80"/>
      <c r="AA205" s="80"/>
    </row>
    <row r="206" spans="3:27" x14ac:dyDescent="0.25">
      <c r="C206" s="80"/>
      <c r="D206" s="80"/>
      <c r="E206" s="80"/>
      <c r="F206" s="80"/>
      <c r="G206" s="80"/>
      <c r="H206" s="80"/>
      <c r="I206" s="80"/>
      <c r="J206" s="80"/>
      <c r="K206" s="80"/>
      <c r="L206" s="80"/>
      <c r="M206" s="80"/>
      <c r="N206" s="80"/>
      <c r="O206" s="80"/>
      <c r="P206" s="80"/>
      <c r="Q206" s="80"/>
      <c r="R206" s="80"/>
      <c r="S206" s="80"/>
      <c r="T206" s="80"/>
      <c r="U206" s="80"/>
      <c r="V206" s="80"/>
      <c r="W206" s="80"/>
      <c r="X206" s="80"/>
      <c r="Y206" s="80"/>
      <c r="Z206" s="80"/>
      <c r="AA206" s="80"/>
    </row>
    <row r="207" spans="3:27" x14ac:dyDescent="0.25">
      <c r="C207" s="80"/>
      <c r="D207" s="80"/>
      <c r="E207" s="80"/>
      <c r="F207" s="80"/>
      <c r="G207" s="80"/>
      <c r="H207" s="80"/>
      <c r="I207" s="80"/>
      <c r="J207" s="80"/>
      <c r="K207" s="80"/>
      <c r="L207" s="80"/>
      <c r="M207" s="80"/>
      <c r="N207" s="80"/>
      <c r="O207" s="80"/>
      <c r="P207" s="80"/>
      <c r="Q207" s="80"/>
      <c r="R207" s="80"/>
      <c r="S207" s="80"/>
      <c r="T207" s="80"/>
      <c r="U207" s="80"/>
      <c r="V207" s="80"/>
      <c r="W207" s="80"/>
      <c r="X207" s="80"/>
      <c r="Y207" s="80"/>
      <c r="Z207" s="80"/>
      <c r="AA207" s="80"/>
    </row>
    <row r="208" spans="3:27" x14ac:dyDescent="0.25">
      <c r="C208" s="80"/>
      <c r="D208" s="80"/>
      <c r="E208" s="80"/>
      <c r="F208" s="80"/>
      <c r="G208" s="80"/>
      <c r="H208" s="80"/>
      <c r="I208" s="80"/>
      <c r="J208" s="80"/>
      <c r="K208" s="80"/>
      <c r="L208" s="80"/>
      <c r="M208" s="80"/>
      <c r="N208" s="80"/>
      <c r="O208" s="80"/>
      <c r="P208" s="80"/>
      <c r="Q208" s="80"/>
      <c r="R208" s="80"/>
      <c r="S208" s="80"/>
      <c r="T208" s="80"/>
      <c r="U208" s="80"/>
      <c r="V208" s="80"/>
      <c r="W208" s="80"/>
      <c r="X208" s="80"/>
      <c r="Y208" s="80"/>
      <c r="Z208" s="80"/>
      <c r="AA208" s="80"/>
    </row>
    <row r="209" spans="3:27" x14ac:dyDescent="0.25">
      <c r="C209" s="80"/>
      <c r="D209" s="80"/>
      <c r="E209" s="80"/>
      <c r="F209" s="80"/>
      <c r="G209" s="80"/>
      <c r="H209" s="80"/>
      <c r="I209" s="80"/>
      <c r="J209" s="80"/>
      <c r="K209" s="80"/>
      <c r="L209" s="80"/>
      <c r="M209" s="80"/>
      <c r="N209" s="80"/>
      <c r="O209" s="80"/>
      <c r="P209" s="80"/>
      <c r="Q209" s="80"/>
      <c r="R209" s="80"/>
      <c r="S209" s="80"/>
      <c r="T209" s="80"/>
      <c r="U209" s="80"/>
      <c r="V209" s="80"/>
      <c r="W209" s="80"/>
      <c r="X209" s="80"/>
      <c r="Y209" s="80"/>
      <c r="Z209" s="80"/>
      <c r="AA209" s="80"/>
    </row>
    <row r="210" spans="3:27" x14ac:dyDescent="0.25">
      <c r="C210" s="80"/>
      <c r="D210" s="80"/>
      <c r="E210" s="80"/>
      <c r="F210" s="80"/>
      <c r="G210" s="80"/>
      <c r="H210" s="80"/>
      <c r="I210" s="80"/>
      <c r="J210" s="80"/>
      <c r="K210" s="80"/>
      <c r="L210" s="80"/>
      <c r="M210" s="80"/>
      <c r="N210" s="80"/>
      <c r="O210" s="80"/>
      <c r="P210" s="80"/>
      <c r="Q210" s="80"/>
      <c r="R210" s="80"/>
      <c r="S210" s="80"/>
      <c r="T210" s="80"/>
      <c r="U210" s="80"/>
      <c r="V210" s="80"/>
      <c r="W210" s="80"/>
      <c r="X210" s="80"/>
      <c r="Y210" s="80"/>
      <c r="Z210" s="80"/>
      <c r="AA210" s="80"/>
    </row>
    <row r="211" spans="3:27" x14ac:dyDescent="0.25">
      <c r="C211" s="80"/>
      <c r="D211" s="80"/>
      <c r="E211" s="80"/>
      <c r="F211" s="80"/>
      <c r="G211" s="80"/>
      <c r="H211" s="80"/>
      <c r="I211" s="80"/>
      <c r="J211" s="80"/>
      <c r="K211" s="80"/>
      <c r="L211" s="80"/>
      <c r="M211" s="80"/>
      <c r="N211" s="80"/>
      <c r="O211" s="80"/>
      <c r="P211" s="80"/>
      <c r="Q211" s="80"/>
      <c r="R211" s="80"/>
      <c r="S211" s="80"/>
      <c r="T211" s="80"/>
      <c r="U211" s="80"/>
      <c r="V211" s="80"/>
      <c r="W211" s="80"/>
      <c r="X211" s="80"/>
      <c r="Y211" s="80"/>
      <c r="Z211" s="80"/>
      <c r="AA211" s="80"/>
    </row>
    <row r="212" spans="3:27" x14ac:dyDescent="0.25">
      <c r="C212" s="82"/>
      <c r="D212" s="81"/>
      <c r="E212" s="81"/>
      <c r="F212" s="81"/>
      <c r="G212" s="81"/>
      <c r="H212" s="81"/>
      <c r="I212" s="81"/>
      <c r="J212" s="81"/>
      <c r="K212" s="81"/>
      <c r="L212" s="81"/>
      <c r="M212" s="81"/>
      <c r="N212" s="81"/>
      <c r="O212" s="81"/>
      <c r="P212" s="81"/>
      <c r="Q212" s="81"/>
      <c r="R212" s="81"/>
      <c r="S212" s="81"/>
      <c r="T212" s="81"/>
      <c r="U212" s="81"/>
      <c r="V212" s="81"/>
      <c r="W212" s="81"/>
      <c r="X212" s="81"/>
      <c r="Y212" s="81"/>
      <c r="Z212" s="81"/>
      <c r="AA212" s="81"/>
    </row>
    <row r="213" spans="3:27" x14ac:dyDescent="0.25">
      <c r="C213" s="80"/>
      <c r="D213" s="81"/>
      <c r="E213" s="81"/>
      <c r="F213" s="81"/>
      <c r="G213" s="81"/>
      <c r="H213" s="81"/>
      <c r="I213" s="81"/>
      <c r="J213" s="81"/>
      <c r="K213" s="81"/>
      <c r="L213" s="81"/>
      <c r="M213" s="81"/>
      <c r="N213" s="81"/>
      <c r="O213" s="81"/>
      <c r="P213" s="81"/>
      <c r="Q213" s="81"/>
      <c r="R213" s="81"/>
      <c r="S213" s="81"/>
      <c r="T213" s="81"/>
      <c r="U213" s="81"/>
      <c r="V213" s="81"/>
      <c r="W213" s="81"/>
      <c r="X213" s="81"/>
      <c r="Y213" s="81"/>
      <c r="Z213" s="81"/>
      <c r="AA213" s="81"/>
    </row>
    <row r="214" spans="3:27" x14ac:dyDescent="0.25">
      <c r="C214" s="80"/>
      <c r="D214" s="81"/>
      <c r="E214" s="81"/>
      <c r="F214" s="81"/>
      <c r="G214" s="81"/>
      <c r="H214" s="81"/>
      <c r="I214" s="81"/>
      <c r="J214" s="81"/>
      <c r="K214" s="81"/>
      <c r="L214" s="81"/>
      <c r="M214" s="81"/>
      <c r="N214" s="81"/>
      <c r="O214" s="81"/>
      <c r="P214" s="81"/>
      <c r="Q214" s="81"/>
      <c r="R214" s="81"/>
      <c r="S214" s="81"/>
      <c r="T214" s="81"/>
      <c r="U214" s="81"/>
      <c r="V214" s="81"/>
      <c r="W214" s="81"/>
      <c r="X214" s="81"/>
      <c r="Y214" s="81"/>
      <c r="Z214" s="81"/>
      <c r="AA214" s="81"/>
    </row>
    <row r="215" spans="3:27" x14ac:dyDescent="0.25">
      <c r="C215" s="80"/>
      <c r="D215" s="81"/>
      <c r="E215" s="81"/>
      <c r="F215" s="81"/>
      <c r="G215" s="81"/>
      <c r="H215" s="81"/>
      <c r="I215" s="81"/>
      <c r="J215" s="81"/>
      <c r="K215" s="81"/>
      <c r="L215" s="81"/>
      <c r="M215" s="81"/>
      <c r="N215" s="81"/>
      <c r="O215" s="81"/>
      <c r="P215" s="81"/>
      <c r="Q215" s="81"/>
      <c r="R215" s="81"/>
      <c r="S215" s="81"/>
      <c r="T215" s="81"/>
      <c r="U215" s="81"/>
      <c r="V215" s="81"/>
      <c r="W215" s="81"/>
      <c r="X215" s="81"/>
      <c r="Y215" s="81"/>
      <c r="Z215" s="81"/>
      <c r="AA215" s="81"/>
    </row>
    <row r="216" spans="3:27" x14ac:dyDescent="0.25">
      <c r="C216" s="81"/>
      <c r="D216" s="81"/>
      <c r="E216" s="81"/>
      <c r="F216" s="81"/>
      <c r="G216" s="81"/>
      <c r="H216" s="81"/>
      <c r="I216" s="81"/>
      <c r="J216" s="81"/>
      <c r="K216" s="81"/>
      <c r="L216" s="81"/>
      <c r="M216" s="81"/>
      <c r="N216" s="81"/>
      <c r="O216" s="81"/>
      <c r="P216" s="81"/>
      <c r="Q216" s="81"/>
      <c r="R216" s="81"/>
      <c r="S216" s="81"/>
      <c r="T216" s="81"/>
      <c r="U216" s="81"/>
      <c r="V216" s="81"/>
      <c r="W216" s="81"/>
      <c r="X216" s="81"/>
      <c r="Y216" s="81"/>
      <c r="Z216" s="81"/>
      <c r="AA216" s="81"/>
    </row>
    <row r="218" spans="3:27" x14ac:dyDescent="0.25">
      <c r="C218" s="80"/>
      <c r="D218" s="80"/>
      <c r="E218" s="80"/>
      <c r="F218" s="80"/>
      <c r="G218" s="80"/>
      <c r="H218" s="80"/>
      <c r="I218" s="80"/>
      <c r="J218" s="80"/>
      <c r="K218" s="80"/>
      <c r="L218" s="80"/>
      <c r="M218" s="80"/>
      <c r="N218" s="80"/>
      <c r="O218" s="80"/>
      <c r="P218" s="80"/>
      <c r="Q218" s="80"/>
      <c r="R218" s="80"/>
      <c r="S218" s="80"/>
      <c r="T218" s="80"/>
      <c r="U218" s="80"/>
      <c r="V218" s="80"/>
      <c r="W218" s="80"/>
      <c r="X218" s="80"/>
      <c r="Y218" s="80"/>
      <c r="Z218" s="80"/>
      <c r="AA218" s="80"/>
    </row>
    <row r="219" spans="3:27" x14ac:dyDescent="0.25">
      <c r="C219" s="80"/>
      <c r="D219" s="80"/>
      <c r="E219" s="80"/>
      <c r="F219" s="80"/>
      <c r="G219" s="80"/>
      <c r="H219" s="80"/>
      <c r="I219" s="80"/>
      <c r="J219" s="80"/>
      <c r="K219" s="80"/>
      <c r="L219" s="80"/>
      <c r="M219" s="80"/>
      <c r="N219" s="80"/>
      <c r="O219" s="80"/>
      <c r="P219" s="80"/>
      <c r="Q219" s="80"/>
      <c r="R219" s="80"/>
      <c r="S219" s="80"/>
      <c r="T219" s="80"/>
      <c r="U219" s="80"/>
      <c r="V219" s="80"/>
      <c r="W219" s="80"/>
      <c r="X219" s="80"/>
      <c r="Y219" s="80"/>
      <c r="Z219" s="80"/>
      <c r="AA219" s="80"/>
    </row>
    <row r="220" spans="3:27" x14ac:dyDescent="0.25">
      <c r="C220" s="80"/>
      <c r="D220" s="80"/>
      <c r="E220" s="80"/>
      <c r="F220" s="80"/>
      <c r="G220" s="80"/>
      <c r="H220" s="80"/>
      <c r="I220" s="80"/>
      <c r="J220" s="80"/>
      <c r="K220" s="80"/>
      <c r="L220" s="80"/>
      <c r="M220" s="80"/>
      <c r="N220" s="80"/>
      <c r="O220" s="80"/>
      <c r="P220" s="80"/>
      <c r="Q220" s="80"/>
      <c r="R220" s="80"/>
      <c r="S220" s="80"/>
      <c r="T220" s="80"/>
      <c r="U220" s="80"/>
      <c r="V220" s="80"/>
      <c r="W220" s="80"/>
      <c r="X220" s="80"/>
      <c r="Y220" s="80"/>
      <c r="Z220" s="80"/>
      <c r="AA220" s="80"/>
    </row>
    <row r="221" spans="3:27" x14ac:dyDescent="0.25">
      <c r="C221" s="80"/>
      <c r="D221" s="80"/>
      <c r="E221" s="80"/>
      <c r="F221" s="80"/>
      <c r="G221" s="80"/>
      <c r="H221" s="80"/>
      <c r="I221" s="80"/>
      <c r="J221" s="80"/>
      <c r="K221" s="80"/>
      <c r="L221" s="80"/>
      <c r="M221" s="80"/>
      <c r="N221" s="80"/>
      <c r="O221" s="80"/>
      <c r="P221" s="80"/>
      <c r="Q221" s="80"/>
      <c r="R221" s="80"/>
      <c r="S221" s="80"/>
      <c r="T221" s="80"/>
      <c r="U221" s="80"/>
      <c r="V221" s="80"/>
      <c r="W221" s="80"/>
      <c r="X221" s="80"/>
      <c r="Y221" s="80"/>
      <c r="Z221" s="80"/>
      <c r="AA221" s="80"/>
    </row>
    <row r="222" spans="3:27" x14ac:dyDescent="0.25">
      <c r="C222" s="80"/>
      <c r="D222" s="80"/>
      <c r="E222" s="80"/>
      <c r="F222" s="80"/>
      <c r="G222" s="80"/>
      <c r="H222" s="80"/>
      <c r="I222" s="80"/>
      <c r="J222" s="80"/>
      <c r="K222" s="80"/>
      <c r="L222" s="80"/>
      <c r="M222" s="80"/>
      <c r="N222" s="80"/>
      <c r="O222" s="80"/>
      <c r="P222" s="80"/>
      <c r="Q222" s="80"/>
      <c r="R222" s="80"/>
      <c r="S222" s="80"/>
      <c r="T222" s="80"/>
      <c r="U222" s="80"/>
      <c r="V222" s="80"/>
      <c r="W222" s="80"/>
      <c r="X222" s="80"/>
      <c r="Y222" s="80"/>
      <c r="Z222" s="80"/>
      <c r="AA222" s="80"/>
    </row>
    <row r="223" spans="3:27" x14ac:dyDescent="0.25">
      <c r="C223" s="80"/>
      <c r="D223" s="80"/>
      <c r="E223" s="80"/>
      <c r="F223" s="80"/>
      <c r="G223" s="80"/>
      <c r="H223" s="80"/>
      <c r="I223" s="80"/>
      <c r="J223" s="80"/>
      <c r="K223" s="80"/>
      <c r="L223" s="80"/>
      <c r="M223" s="80"/>
      <c r="N223" s="80"/>
      <c r="O223" s="80"/>
      <c r="P223" s="80"/>
      <c r="Q223" s="80"/>
      <c r="R223" s="80"/>
      <c r="S223" s="80"/>
      <c r="T223" s="80"/>
      <c r="U223" s="80"/>
      <c r="V223" s="80"/>
      <c r="W223" s="80"/>
      <c r="X223" s="80"/>
      <c r="Y223" s="80"/>
      <c r="Z223" s="80"/>
      <c r="AA223" s="80"/>
    </row>
    <row r="224" spans="3:27" x14ac:dyDescent="0.25">
      <c r="C224" s="80"/>
      <c r="D224" s="80"/>
      <c r="E224" s="80"/>
      <c r="F224" s="80"/>
      <c r="G224" s="80"/>
      <c r="H224" s="80"/>
      <c r="I224" s="80"/>
      <c r="J224" s="80"/>
      <c r="K224" s="80"/>
      <c r="L224" s="80"/>
      <c r="M224" s="80"/>
      <c r="N224" s="80"/>
      <c r="O224" s="80"/>
      <c r="P224" s="80"/>
      <c r="Q224" s="80"/>
      <c r="R224" s="80"/>
      <c r="S224" s="80"/>
      <c r="T224" s="80"/>
      <c r="U224" s="80"/>
      <c r="V224" s="80"/>
      <c r="W224" s="80"/>
      <c r="X224" s="80"/>
      <c r="Y224" s="80"/>
      <c r="Z224" s="80"/>
      <c r="AA224" s="80"/>
    </row>
    <row r="225" spans="3:27" x14ac:dyDescent="0.25">
      <c r="C225" s="80"/>
      <c r="D225" s="80"/>
      <c r="E225" s="80"/>
      <c r="F225" s="80"/>
      <c r="G225" s="80"/>
      <c r="H225" s="80"/>
      <c r="I225" s="80"/>
      <c r="J225" s="80"/>
      <c r="K225" s="80"/>
      <c r="L225" s="80"/>
      <c r="M225" s="80"/>
      <c r="N225" s="80"/>
      <c r="O225" s="80"/>
      <c r="P225" s="80"/>
      <c r="Q225" s="80"/>
      <c r="R225" s="80"/>
      <c r="S225" s="80"/>
      <c r="T225" s="80"/>
      <c r="U225" s="80"/>
      <c r="V225" s="80"/>
      <c r="W225" s="80"/>
      <c r="X225" s="80"/>
      <c r="Y225" s="80"/>
      <c r="Z225" s="80"/>
      <c r="AA225" s="80"/>
    </row>
    <row r="226" spans="3:27" x14ac:dyDescent="0.25">
      <c r="C226" s="82"/>
      <c r="D226" s="81"/>
      <c r="E226" s="81"/>
      <c r="F226" s="81"/>
      <c r="G226" s="81"/>
      <c r="H226" s="81"/>
      <c r="I226" s="81"/>
      <c r="J226" s="81"/>
      <c r="K226" s="81"/>
      <c r="L226" s="81"/>
      <c r="M226" s="81"/>
      <c r="N226" s="81"/>
      <c r="O226" s="81"/>
      <c r="P226" s="81"/>
      <c r="Q226" s="81"/>
      <c r="R226" s="81"/>
      <c r="S226" s="81"/>
      <c r="T226" s="81"/>
      <c r="U226" s="81"/>
      <c r="V226" s="81"/>
      <c r="W226" s="81"/>
      <c r="X226" s="81"/>
      <c r="Y226" s="81"/>
      <c r="Z226" s="81"/>
      <c r="AA226" s="81"/>
    </row>
    <row r="227" spans="3:27" x14ac:dyDescent="0.25">
      <c r="C227" s="80"/>
      <c r="D227" s="81"/>
      <c r="E227" s="81"/>
      <c r="F227" s="81"/>
      <c r="G227" s="81"/>
      <c r="H227" s="81"/>
      <c r="I227" s="81"/>
      <c r="J227" s="81"/>
      <c r="K227" s="81"/>
      <c r="L227" s="81"/>
      <c r="M227" s="81"/>
      <c r="N227" s="81"/>
      <c r="O227" s="81"/>
      <c r="P227" s="81"/>
      <c r="Q227" s="81"/>
      <c r="R227" s="81"/>
      <c r="S227" s="81"/>
      <c r="T227" s="81"/>
      <c r="U227" s="81"/>
      <c r="V227" s="81"/>
      <c r="W227" s="81"/>
      <c r="X227" s="81"/>
      <c r="Y227" s="81"/>
      <c r="Z227" s="81"/>
      <c r="AA227" s="81"/>
    </row>
    <row r="228" spans="3:27" x14ac:dyDescent="0.25">
      <c r="C228" s="80"/>
      <c r="D228" s="81"/>
      <c r="E228" s="81"/>
      <c r="F228" s="81"/>
      <c r="G228" s="81"/>
      <c r="H228" s="81"/>
      <c r="I228" s="81"/>
      <c r="J228" s="81"/>
      <c r="K228" s="81"/>
      <c r="L228" s="81"/>
      <c r="M228" s="81"/>
      <c r="N228" s="81"/>
      <c r="O228" s="81"/>
      <c r="P228" s="81"/>
      <c r="Q228" s="81"/>
      <c r="R228" s="81"/>
      <c r="S228" s="81"/>
      <c r="T228" s="81"/>
      <c r="U228" s="81"/>
      <c r="V228" s="81"/>
      <c r="W228" s="81"/>
      <c r="X228" s="81"/>
      <c r="Y228" s="81"/>
      <c r="Z228" s="81"/>
      <c r="AA228" s="81"/>
    </row>
    <row r="229" spans="3:27" x14ac:dyDescent="0.25">
      <c r="C229" s="80"/>
      <c r="D229" s="81"/>
      <c r="E229" s="81"/>
      <c r="F229" s="81"/>
      <c r="G229" s="81"/>
      <c r="H229" s="81"/>
      <c r="I229" s="81"/>
      <c r="J229" s="81"/>
      <c r="K229" s="81"/>
      <c r="L229" s="81"/>
      <c r="M229" s="81"/>
      <c r="N229" s="81"/>
      <c r="O229" s="81"/>
      <c r="P229" s="81"/>
      <c r="Q229" s="81"/>
      <c r="R229" s="81"/>
      <c r="S229" s="81"/>
      <c r="T229" s="81"/>
      <c r="U229" s="81"/>
      <c r="V229" s="81"/>
      <c r="W229" s="81"/>
      <c r="X229" s="81"/>
      <c r="Y229" s="81"/>
      <c r="Z229" s="81"/>
      <c r="AA229" s="81"/>
    </row>
    <row r="230" spans="3:27" x14ac:dyDescent="0.25">
      <c r="C230" s="81"/>
      <c r="D230" s="81"/>
      <c r="E230" s="81"/>
      <c r="F230" s="81"/>
      <c r="G230" s="81"/>
      <c r="H230" s="81"/>
      <c r="I230" s="81"/>
      <c r="J230" s="81"/>
      <c r="K230" s="81"/>
      <c r="L230" s="81"/>
      <c r="M230" s="81"/>
      <c r="N230" s="81"/>
      <c r="O230" s="81"/>
      <c r="P230" s="81"/>
      <c r="Q230" s="81"/>
      <c r="R230" s="81"/>
      <c r="S230" s="81"/>
      <c r="T230" s="81"/>
      <c r="U230" s="81"/>
      <c r="V230" s="81"/>
      <c r="W230" s="81"/>
      <c r="X230" s="81"/>
      <c r="Y230" s="81"/>
      <c r="Z230" s="81"/>
      <c r="AA230" s="81"/>
    </row>
    <row r="232" spans="3:27" x14ac:dyDescent="0.25">
      <c r="C232" s="80"/>
      <c r="D232" s="80"/>
      <c r="E232" s="80"/>
      <c r="F232" s="80"/>
      <c r="G232" s="80"/>
      <c r="H232" s="80"/>
      <c r="I232" s="80"/>
      <c r="J232" s="80"/>
      <c r="K232" s="80"/>
      <c r="L232" s="80"/>
      <c r="M232" s="80"/>
      <c r="N232" s="80"/>
      <c r="O232" s="80"/>
      <c r="P232" s="80"/>
      <c r="Q232" s="80"/>
      <c r="R232" s="80"/>
      <c r="S232" s="80"/>
      <c r="T232" s="80"/>
      <c r="U232" s="80"/>
      <c r="V232" s="80"/>
      <c r="W232" s="80"/>
      <c r="X232" s="80"/>
      <c r="Y232" s="80"/>
      <c r="Z232" s="80"/>
      <c r="AA232" s="80"/>
    </row>
    <row r="233" spans="3:27" x14ac:dyDescent="0.25">
      <c r="C233" s="80"/>
      <c r="D233" s="80"/>
      <c r="E233" s="80"/>
      <c r="F233" s="80"/>
      <c r="G233" s="80"/>
      <c r="H233" s="80"/>
      <c r="I233" s="80"/>
      <c r="J233" s="80"/>
      <c r="K233" s="80"/>
      <c r="L233" s="80"/>
      <c r="M233" s="80"/>
      <c r="N233" s="80"/>
      <c r="O233" s="80"/>
      <c r="P233" s="80"/>
      <c r="Q233" s="80"/>
      <c r="R233" s="80"/>
      <c r="S233" s="80"/>
      <c r="T233" s="80"/>
      <c r="U233" s="80"/>
      <c r="V233" s="80"/>
      <c r="W233" s="80"/>
      <c r="X233" s="80"/>
      <c r="Y233" s="80"/>
      <c r="Z233" s="80"/>
      <c r="AA233" s="80"/>
    </row>
    <row r="234" spans="3:27" x14ac:dyDescent="0.25">
      <c r="C234" s="80"/>
      <c r="D234" s="80"/>
      <c r="E234" s="80"/>
      <c r="F234" s="80"/>
      <c r="G234" s="80"/>
      <c r="H234" s="80"/>
      <c r="I234" s="80"/>
      <c r="J234" s="80"/>
      <c r="K234" s="80"/>
      <c r="L234" s="80"/>
      <c r="M234" s="80"/>
      <c r="N234" s="80"/>
      <c r="O234" s="80"/>
      <c r="P234" s="80"/>
      <c r="Q234" s="80"/>
      <c r="R234" s="80"/>
      <c r="S234" s="80"/>
      <c r="T234" s="80"/>
      <c r="U234" s="80"/>
      <c r="V234" s="80"/>
      <c r="W234" s="80"/>
      <c r="X234" s="80"/>
      <c r="Y234" s="80"/>
      <c r="Z234" s="80"/>
      <c r="AA234" s="80"/>
    </row>
    <row r="235" spans="3:27" x14ac:dyDescent="0.25">
      <c r="C235" s="80"/>
      <c r="D235" s="80"/>
      <c r="E235" s="80"/>
      <c r="F235" s="80"/>
      <c r="G235" s="80"/>
      <c r="H235" s="80"/>
      <c r="I235" s="80"/>
      <c r="J235" s="80"/>
      <c r="K235" s="80"/>
      <c r="L235" s="80"/>
      <c r="M235" s="80"/>
      <c r="N235" s="80"/>
      <c r="O235" s="80"/>
      <c r="P235" s="80"/>
      <c r="Q235" s="80"/>
      <c r="R235" s="80"/>
      <c r="S235" s="80"/>
      <c r="T235" s="80"/>
      <c r="U235" s="80"/>
      <c r="V235" s="80"/>
      <c r="W235" s="80"/>
      <c r="X235" s="80"/>
      <c r="Y235" s="80"/>
      <c r="Z235" s="80"/>
      <c r="AA235" s="80"/>
    </row>
    <row r="236" spans="3:27" x14ac:dyDescent="0.25">
      <c r="C236" s="80"/>
      <c r="D236" s="80"/>
      <c r="E236" s="80"/>
      <c r="F236" s="80"/>
      <c r="G236" s="80"/>
      <c r="H236" s="80"/>
      <c r="I236" s="80"/>
      <c r="J236" s="80"/>
      <c r="K236" s="80"/>
      <c r="L236" s="80"/>
      <c r="M236" s="80"/>
      <c r="N236" s="80"/>
      <c r="O236" s="80"/>
      <c r="P236" s="80"/>
      <c r="Q236" s="80"/>
      <c r="R236" s="80"/>
      <c r="S236" s="80"/>
      <c r="T236" s="80"/>
      <c r="U236" s="80"/>
      <c r="V236" s="80"/>
      <c r="W236" s="80"/>
      <c r="X236" s="80"/>
      <c r="Y236" s="80"/>
      <c r="Z236" s="80"/>
      <c r="AA236" s="80"/>
    </row>
    <row r="237" spans="3:27" x14ac:dyDescent="0.25">
      <c r="C237" s="80"/>
      <c r="D237" s="80"/>
      <c r="E237" s="80"/>
      <c r="F237" s="80"/>
      <c r="G237" s="80"/>
      <c r="H237" s="80"/>
      <c r="I237" s="80"/>
      <c r="J237" s="80"/>
      <c r="K237" s="80"/>
      <c r="L237" s="80"/>
      <c r="M237" s="80"/>
      <c r="N237" s="80"/>
      <c r="O237" s="80"/>
      <c r="P237" s="80"/>
      <c r="Q237" s="80"/>
      <c r="R237" s="80"/>
      <c r="S237" s="80"/>
      <c r="T237" s="80"/>
      <c r="U237" s="80"/>
      <c r="V237" s="80"/>
      <c r="W237" s="80"/>
      <c r="X237" s="80"/>
      <c r="Y237" s="80"/>
      <c r="Z237" s="80"/>
      <c r="AA237" s="80"/>
    </row>
    <row r="238" spans="3:27" x14ac:dyDescent="0.25">
      <c r="C238" s="80"/>
      <c r="D238" s="80"/>
      <c r="E238" s="80"/>
      <c r="F238" s="80"/>
      <c r="G238" s="80"/>
      <c r="H238" s="80"/>
      <c r="I238" s="80"/>
      <c r="J238" s="80"/>
      <c r="K238" s="80"/>
      <c r="L238" s="80"/>
      <c r="M238" s="80"/>
      <c r="N238" s="80"/>
      <c r="O238" s="80"/>
      <c r="P238" s="80"/>
      <c r="Q238" s="80"/>
      <c r="R238" s="80"/>
      <c r="S238" s="80"/>
      <c r="T238" s="80"/>
      <c r="U238" s="80"/>
      <c r="V238" s="80"/>
      <c r="W238" s="80"/>
      <c r="X238" s="80"/>
      <c r="Y238" s="80"/>
      <c r="Z238" s="80"/>
      <c r="AA238" s="80"/>
    </row>
    <row r="239" spans="3:27" x14ac:dyDescent="0.25">
      <c r="C239" s="80"/>
      <c r="D239" s="80"/>
      <c r="E239" s="80"/>
      <c r="F239" s="80"/>
      <c r="G239" s="80"/>
      <c r="H239" s="80"/>
      <c r="I239" s="80"/>
      <c r="J239" s="80"/>
      <c r="K239" s="80"/>
      <c r="L239" s="80"/>
      <c r="M239" s="80"/>
      <c r="N239" s="80"/>
      <c r="O239" s="80"/>
      <c r="P239" s="80"/>
      <c r="Q239" s="80"/>
      <c r="R239" s="80"/>
      <c r="S239" s="80"/>
      <c r="T239" s="80"/>
      <c r="U239" s="80"/>
      <c r="V239" s="80"/>
      <c r="W239" s="80"/>
      <c r="X239" s="80"/>
      <c r="Y239" s="80"/>
      <c r="Z239" s="80"/>
      <c r="AA239" s="80"/>
    </row>
    <row r="240" spans="3:27" x14ac:dyDescent="0.25">
      <c r="C240" s="82"/>
      <c r="D240" s="81"/>
      <c r="E240" s="81"/>
      <c r="F240" s="81"/>
      <c r="G240" s="81"/>
      <c r="H240" s="81"/>
      <c r="I240" s="81"/>
      <c r="J240" s="81"/>
      <c r="K240" s="81"/>
      <c r="L240" s="81"/>
      <c r="M240" s="81"/>
      <c r="N240" s="81"/>
      <c r="O240" s="81"/>
      <c r="P240" s="81"/>
      <c r="Q240" s="81"/>
      <c r="R240" s="81"/>
      <c r="S240" s="81"/>
      <c r="T240" s="81"/>
      <c r="U240" s="81"/>
      <c r="V240" s="81"/>
      <c r="W240" s="81"/>
      <c r="X240" s="81"/>
      <c r="Y240" s="81"/>
      <c r="Z240" s="81"/>
      <c r="AA240" s="81"/>
    </row>
    <row r="241" spans="3:27" x14ac:dyDescent="0.25">
      <c r="C241" s="80"/>
      <c r="D241" s="81"/>
      <c r="E241" s="81"/>
      <c r="F241" s="81"/>
      <c r="G241" s="81"/>
      <c r="H241" s="81"/>
      <c r="I241" s="81"/>
      <c r="J241" s="81"/>
      <c r="K241" s="81"/>
      <c r="L241" s="81"/>
      <c r="M241" s="81"/>
      <c r="N241" s="81"/>
      <c r="O241" s="81"/>
      <c r="P241" s="81"/>
      <c r="Q241" s="81"/>
      <c r="R241" s="81"/>
      <c r="S241" s="81"/>
      <c r="T241" s="81"/>
      <c r="U241" s="81"/>
      <c r="V241" s="81"/>
      <c r="W241" s="81"/>
      <c r="X241" s="81"/>
      <c r="Y241" s="81"/>
      <c r="Z241" s="81"/>
      <c r="AA241" s="81"/>
    </row>
    <row r="242" spans="3:27" x14ac:dyDescent="0.25">
      <c r="C242" s="80"/>
      <c r="D242" s="81"/>
      <c r="E242" s="81"/>
      <c r="F242" s="81"/>
      <c r="G242" s="81"/>
      <c r="H242" s="81"/>
      <c r="I242" s="81"/>
      <c r="J242" s="81"/>
      <c r="K242" s="81"/>
      <c r="L242" s="81"/>
      <c r="M242" s="81"/>
      <c r="N242" s="81"/>
      <c r="O242" s="81"/>
      <c r="P242" s="81"/>
      <c r="Q242" s="81"/>
      <c r="R242" s="81"/>
      <c r="S242" s="81"/>
      <c r="T242" s="81"/>
      <c r="U242" s="81"/>
      <c r="V242" s="81"/>
      <c r="W242" s="81"/>
      <c r="X242" s="81"/>
      <c r="Y242" s="81"/>
      <c r="Z242" s="81"/>
      <c r="AA242" s="81"/>
    </row>
    <row r="243" spans="3:27" x14ac:dyDescent="0.25">
      <c r="C243" s="80"/>
      <c r="D243" s="81"/>
      <c r="E243" s="81"/>
      <c r="F243" s="81"/>
      <c r="G243" s="81"/>
      <c r="H243" s="81"/>
      <c r="I243" s="81"/>
      <c r="J243" s="81"/>
      <c r="K243" s="81"/>
      <c r="L243" s="81"/>
      <c r="M243" s="81"/>
      <c r="N243" s="81"/>
      <c r="O243" s="81"/>
      <c r="P243" s="81"/>
      <c r="Q243" s="81"/>
      <c r="R243" s="81"/>
      <c r="S243" s="81"/>
      <c r="T243" s="81"/>
      <c r="U243" s="81"/>
      <c r="V243" s="81"/>
      <c r="W243" s="81"/>
      <c r="X243" s="81"/>
      <c r="Y243" s="81"/>
      <c r="Z243" s="81"/>
      <c r="AA243" s="81"/>
    </row>
    <row r="244" spans="3:27" x14ac:dyDescent="0.25">
      <c r="C244" s="81"/>
      <c r="D244" s="81"/>
      <c r="E244" s="81"/>
      <c r="F244" s="81"/>
      <c r="G244" s="81"/>
      <c r="H244" s="81"/>
      <c r="I244" s="81"/>
      <c r="J244" s="81"/>
      <c r="K244" s="81"/>
      <c r="L244" s="81"/>
      <c r="M244" s="81"/>
      <c r="N244" s="81"/>
      <c r="O244" s="81"/>
      <c r="P244" s="81"/>
      <c r="Q244" s="81"/>
      <c r="R244" s="81"/>
      <c r="S244" s="81"/>
      <c r="T244" s="81"/>
      <c r="U244" s="81"/>
      <c r="V244" s="81"/>
      <c r="W244" s="81"/>
      <c r="X244" s="81"/>
      <c r="Y244" s="81"/>
      <c r="Z244" s="81"/>
      <c r="AA244" s="81"/>
    </row>
    <row r="246" spans="3:27" x14ac:dyDescent="0.25">
      <c r="C246" s="80"/>
      <c r="D246" s="80"/>
      <c r="E246" s="80"/>
      <c r="F246" s="80"/>
      <c r="G246" s="80"/>
      <c r="H246" s="80"/>
      <c r="I246" s="80"/>
      <c r="J246" s="80"/>
      <c r="K246" s="80"/>
      <c r="L246" s="80"/>
      <c r="M246" s="80"/>
      <c r="N246" s="80"/>
      <c r="O246" s="80"/>
      <c r="P246" s="80"/>
      <c r="Q246" s="80"/>
      <c r="R246" s="80"/>
      <c r="S246" s="80"/>
      <c r="T246" s="80"/>
      <c r="U246" s="80"/>
      <c r="V246" s="80"/>
      <c r="W246" s="80"/>
      <c r="X246" s="80"/>
      <c r="Y246" s="80"/>
      <c r="Z246" s="80"/>
      <c r="AA246" s="80"/>
    </row>
    <row r="247" spans="3:27" x14ac:dyDescent="0.25">
      <c r="C247" s="80"/>
      <c r="D247" s="80"/>
      <c r="E247" s="80"/>
      <c r="F247" s="80"/>
      <c r="G247" s="80"/>
      <c r="H247" s="80"/>
      <c r="I247" s="80"/>
      <c r="J247" s="80"/>
      <c r="K247" s="80"/>
      <c r="L247" s="80"/>
      <c r="M247" s="80"/>
      <c r="N247" s="80"/>
      <c r="O247" s="80"/>
      <c r="P247" s="80"/>
      <c r="Q247" s="80"/>
      <c r="R247" s="80"/>
      <c r="S247" s="80"/>
      <c r="T247" s="80"/>
      <c r="U247" s="80"/>
      <c r="V247" s="80"/>
      <c r="W247" s="80"/>
      <c r="X247" s="80"/>
      <c r="Y247" s="80"/>
      <c r="Z247" s="80"/>
      <c r="AA247" s="80"/>
    </row>
    <row r="248" spans="3:27" x14ac:dyDescent="0.25">
      <c r="C248" s="80"/>
      <c r="D248" s="80"/>
      <c r="E248" s="80"/>
      <c r="F248" s="80"/>
      <c r="G248" s="80"/>
      <c r="H248" s="80"/>
      <c r="I248" s="80"/>
      <c r="J248" s="80"/>
      <c r="K248" s="80"/>
      <c r="L248" s="80"/>
      <c r="M248" s="80"/>
      <c r="N248" s="80"/>
      <c r="O248" s="80"/>
      <c r="P248" s="80"/>
      <c r="Q248" s="80"/>
      <c r="R248" s="80"/>
      <c r="S248" s="80"/>
      <c r="T248" s="80"/>
      <c r="U248" s="80"/>
      <c r="V248" s="80"/>
      <c r="W248" s="80"/>
      <c r="X248" s="80"/>
      <c r="Y248" s="80"/>
      <c r="Z248" s="80"/>
      <c r="AA248" s="80"/>
    </row>
    <row r="249" spans="3:27" x14ac:dyDescent="0.25">
      <c r="C249" s="80"/>
      <c r="D249" s="80"/>
      <c r="E249" s="80"/>
      <c r="F249" s="80"/>
      <c r="G249" s="80"/>
      <c r="H249" s="80"/>
      <c r="I249" s="80"/>
      <c r="J249" s="80"/>
      <c r="K249" s="80"/>
      <c r="L249" s="80"/>
      <c r="M249" s="80"/>
      <c r="N249" s="80"/>
      <c r="O249" s="80"/>
      <c r="P249" s="80"/>
      <c r="Q249" s="80"/>
      <c r="R249" s="80"/>
      <c r="S249" s="80"/>
      <c r="T249" s="80"/>
      <c r="U249" s="80"/>
      <c r="V249" s="80"/>
      <c r="W249" s="80"/>
      <c r="X249" s="80"/>
      <c r="Y249" s="80"/>
      <c r="Z249" s="80"/>
      <c r="AA249" s="80"/>
    </row>
    <row r="250" spans="3:27" x14ac:dyDescent="0.25">
      <c r="C250" s="80"/>
      <c r="D250" s="80"/>
      <c r="E250" s="80"/>
      <c r="F250" s="80"/>
      <c r="G250" s="80"/>
      <c r="H250" s="80"/>
      <c r="I250" s="80"/>
      <c r="J250" s="80"/>
      <c r="K250" s="80"/>
      <c r="L250" s="80"/>
      <c r="M250" s="80"/>
      <c r="N250" s="80"/>
      <c r="O250" s="80"/>
      <c r="P250" s="80"/>
      <c r="Q250" s="80"/>
      <c r="R250" s="80"/>
      <c r="S250" s="80"/>
      <c r="T250" s="80"/>
      <c r="U250" s="80"/>
      <c r="V250" s="80"/>
      <c r="W250" s="80"/>
      <c r="X250" s="80"/>
      <c r="Y250" s="80"/>
      <c r="Z250" s="80"/>
      <c r="AA250" s="80"/>
    </row>
    <row r="251" spans="3:27" x14ac:dyDescent="0.25">
      <c r="C251" s="80"/>
      <c r="D251" s="80"/>
      <c r="E251" s="80"/>
      <c r="F251" s="80"/>
      <c r="G251" s="80"/>
      <c r="H251" s="80"/>
      <c r="I251" s="80"/>
      <c r="J251" s="80"/>
      <c r="K251" s="80"/>
      <c r="L251" s="80"/>
      <c r="M251" s="80"/>
      <c r="N251" s="80"/>
      <c r="O251" s="80"/>
      <c r="P251" s="80"/>
      <c r="Q251" s="80"/>
      <c r="R251" s="80"/>
      <c r="S251" s="80"/>
      <c r="T251" s="80"/>
      <c r="U251" s="80"/>
      <c r="V251" s="80"/>
      <c r="W251" s="80"/>
      <c r="X251" s="80"/>
      <c r="Y251" s="80"/>
      <c r="Z251" s="80"/>
      <c r="AA251" s="80"/>
    </row>
    <row r="252" spans="3:27" x14ac:dyDescent="0.25">
      <c r="C252" s="80"/>
      <c r="D252" s="80"/>
      <c r="E252" s="80"/>
      <c r="F252" s="80"/>
      <c r="G252" s="80"/>
      <c r="H252" s="80"/>
      <c r="I252" s="80"/>
      <c r="J252" s="80"/>
      <c r="K252" s="80"/>
      <c r="L252" s="80"/>
      <c r="M252" s="80"/>
      <c r="N252" s="80"/>
      <c r="O252" s="80"/>
      <c r="P252" s="80"/>
      <c r="Q252" s="80"/>
      <c r="R252" s="80"/>
      <c r="S252" s="80"/>
      <c r="T252" s="80"/>
      <c r="U252" s="80"/>
      <c r="V252" s="80"/>
      <c r="W252" s="80"/>
      <c r="X252" s="80"/>
      <c r="Y252" s="80"/>
      <c r="Z252" s="80"/>
      <c r="AA252" s="80"/>
    </row>
    <row r="253" spans="3:27" x14ac:dyDescent="0.25">
      <c r="C253" s="80"/>
      <c r="D253" s="80"/>
      <c r="E253" s="80"/>
      <c r="F253" s="80"/>
      <c r="G253" s="80"/>
      <c r="H253" s="80"/>
      <c r="I253" s="80"/>
      <c r="J253" s="80"/>
      <c r="K253" s="80"/>
      <c r="L253" s="80"/>
      <c r="M253" s="80"/>
      <c r="N253" s="80"/>
      <c r="O253" s="80"/>
      <c r="P253" s="80"/>
      <c r="Q253" s="80"/>
      <c r="R253" s="80"/>
      <c r="S253" s="80"/>
      <c r="T253" s="80"/>
      <c r="U253" s="80"/>
      <c r="V253" s="80"/>
      <c r="W253" s="80"/>
      <c r="X253" s="80"/>
      <c r="Y253" s="80"/>
      <c r="Z253" s="80"/>
      <c r="AA253" s="80"/>
    </row>
    <row r="254" spans="3:27" x14ac:dyDescent="0.25">
      <c r="C254" s="82"/>
      <c r="D254" s="81"/>
      <c r="E254" s="81"/>
      <c r="F254" s="81"/>
      <c r="G254" s="81"/>
      <c r="H254" s="81"/>
      <c r="I254" s="81"/>
      <c r="J254" s="81"/>
      <c r="K254" s="81"/>
      <c r="L254" s="81"/>
      <c r="M254" s="81"/>
      <c r="N254" s="81"/>
      <c r="O254" s="81"/>
      <c r="P254" s="81"/>
      <c r="Q254" s="81"/>
      <c r="R254" s="81"/>
      <c r="S254" s="81"/>
      <c r="T254" s="81"/>
      <c r="U254" s="81"/>
      <c r="V254" s="81"/>
      <c r="W254" s="81"/>
      <c r="X254" s="81"/>
      <c r="Y254" s="81"/>
      <c r="Z254" s="81"/>
      <c r="AA254" s="81"/>
    </row>
    <row r="255" spans="3:27" x14ac:dyDescent="0.25">
      <c r="C255" s="80"/>
      <c r="D255" s="81"/>
      <c r="E255" s="81"/>
      <c r="F255" s="81"/>
      <c r="G255" s="81"/>
      <c r="H255" s="81"/>
      <c r="I255" s="81"/>
      <c r="J255" s="81"/>
      <c r="K255" s="81"/>
      <c r="L255" s="81"/>
      <c r="M255" s="81"/>
      <c r="N255" s="81"/>
      <c r="O255" s="81"/>
      <c r="P255" s="81"/>
      <c r="Q255" s="81"/>
      <c r="R255" s="81"/>
      <c r="S255" s="81"/>
      <c r="T255" s="81"/>
      <c r="U255" s="81"/>
      <c r="V255" s="81"/>
      <c r="W255" s="81"/>
      <c r="X255" s="81"/>
      <c r="Y255" s="81"/>
      <c r="Z255" s="81"/>
      <c r="AA255" s="81"/>
    </row>
    <row r="256" spans="3:27" x14ac:dyDescent="0.25">
      <c r="C256" s="80"/>
      <c r="D256" s="81"/>
      <c r="E256" s="81"/>
      <c r="F256" s="81"/>
      <c r="G256" s="81"/>
      <c r="H256" s="81"/>
      <c r="I256" s="81"/>
      <c r="J256" s="81"/>
      <c r="K256" s="81"/>
      <c r="L256" s="81"/>
      <c r="M256" s="81"/>
      <c r="N256" s="81"/>
      <c r="O256" s="81"/>
      <c r="P256" s="81"/>
      <c r="Q256" s="81"/>
      <c r="R256" s="81"/>
      <c r="S256" s="81"/>
      <c r="T256" s="81"/>
      <c r="U256" s="81"/>
      <c r="V256" s="81"/>
      <c r="W256" s="81"/>
      <c r="X256" s="81"/>
      <c r="Y256" s="81"/>
      <c r="Z256" s="81"/>
      <c r="AA256" s="81"/>
    </row>
    <row r="257" spans="3:27" x14ac:dyDescent="0.25">
      <c r="C257" s="80"/>
      <c r="D257" s="81"/>
      <c r="E257" s="81"/>
      <c r="F257" s="81"/>
      <c r="G257" s="81"/>
      <c r="H257" s="81"/>
      <c r="I257" s="81"/>
      <c r="J257" s="81"/>
      <c r="K257" s="81"/>
      <c r="L257" s="81"/>
      <c r="M257" s="81"/>
      <c r="N257" s="81"/>
      <c r="O257" s="81"/>
      <c r="P257" s="81"/>
      <c r="Q257" s="81"/>
      <c r="R257" s="81"/>
      <c r="S257" s="81"/>
      <c r="T257" s="81"/>
      <c r="U257" s="81"/>
      <c r="V257" s="81"/>
      <c r="W257" s="81"/>
      <c r="X257" s="81"/>
      <c r="Y257" s="81"/>
      <c r="Z257" s="81"/>
      <c r="AA257" s="81"/>
    </row>
    <row r="258" spans="3:27" x14ac:dyDescent="0.25">
      <c r="C258" s="81"/>
      <c r="D258" s="81"/>
      <c r="E258" s="81"/>
      <c r="F258" s="81"/>
      <c r="G258" s="81"/>
      <c r="H258" s="81"/>
      <c r="I258" s="81"/>
      <c r="J258" s="81"/>
      <c r="K258" s="81"/>
      <c r="L258" s="81"/>
      <c r="M258" s="81"/>
      <c r="N258" s="81"/>
      <c r="O258" s="81"/>
      <c r="P258" s="81"/>
      <c r="Q258" s="81"/>
      <c r="R258" s="81"/>
      <c r="S258" s="81"/>
      <c r="T258" s="81"/>
      <c r="U258" s="81"/>
      <c r="V258" s="81"/>
      <c r="W258" s="81"/>
      <c r="X258" s="81"/>
      <c r="Y258" s="81"/>
      <c r="Z258" s="81"/>
      <c r="AA258" s="81"/>
    </row>
    <row r="260" spans="3:27" x14ac:dyDescent="0.25">
      <c r="C260" s="80"/>
      <c r="D260" s="80"/>
      <c r="E260" s="80"/>
      <c r="F260" s="80"/>
      <c r="G260" s="80"/>
      <c r="H260" s="80"/>
      <c r="I260" s="80"/>
      <c r="J260" s="80"/>
      <c r="K260" s="80"/>
      <c r="L260" s="80"/>
      <c r="M260" s="80"/>
      <c r="N260" s="80"/>
      <c r="O260" s="80"/>
      <c r="P260" s="80"/>
      <c r="Q260" s="80"/>
      <c r="R260" s="80"/>
      <c r="S260" s="80"/>
      <c r="T260" s="80"/>
      <c r="U260" s="80"/>
      <c r="V260" s="80"/>
      <c r="W260" s="80"/>
      <c r="X260" s="80"/>
      <c r="Y260" s="80"/>
      <c r="Z260" s="80"/>
      <c r="AA260" s="80"/>
    </row>
    <row r="261" spans="3:27" x14ac:dyDescent="0.25">
      <c r="C261" s="80"/>
      <c r="D261" s="80"/>
      <c r="E261" s="80"/>
      <c r="F261" s="80"/>
      <c r="G261" s="80"/>
      <c r="H261" s="80"/>
      <c r="I261" s="80"/>
      <c r="J261" s="80"/>
      <c r="K261" s="80"/>
      <c r="L261" s="80"/>
      <c r="M261" s="80"/>
      <c r="N261" s="80"/>
      <c r="O261" s="80"/>
      <c r="P261" s="80"/>
      <c r="Q261" s="80"/>
      <c r="R261" s="80"/>
      <c r="S261" s="80"/>
      <c r="T261" s="80"/>
      <c r="U261" s="80"/>
      <c r="V261" s="80"/>
      <c r="W261" s="80"/>
      <c r="X261" s="80"/>
      <c r="Y261" s="80"/>
      <c r="Z261" s="80"/>
      <c r="AA261" s="80"/>
    </row>
    <row r="262" spans="3:27" x14ac:dyDescent="0.25">
      <c r="C262" s="80"/>
      <c r="D262" s="80"/>
      <c r="E262" s="80"/>
      <c r="F262" s="80"/>
      <c r="G262" s="80"/>
      <c r="H262" s="80"/>
      <c r="I262" s="80"/>
      <c r="J262" s="80"/>
      <c r="K262" s="80"/>
      <c r="L262" s="80"/>
      <c r="M262" s="80"/>
      <c r="N262" s="80"/>
      <c r="O262" s="80"/>
      <c r="P262" s="80"/>
      <c r="Q262" s="80"/>
      <c r="R262" s="80"/>
      <c r="S262" s="80"/>
      <c r="T262" s="80"/>
      <c r="U262" s="80"/>
      <c r="V262" s="80"/>
      <c r="W262" s="80"/>
      <c r="X262" s="80"/>
      <c r="Y262" s="80"/>
      <c r="Z262" s="80"/>
      <c r="AA262" s="80"/>
    </row>
    <row r="263" spans="3:27" x14ac:dyDescent="0.25">
      <c r="C263" s="80"/>
      <c r="D263" s="80"/>
      <c r="E263" s="80"/>
      <c r="F263" s="80"/>
      <c r="G263" s="80"/>
      <c r="H263" s="80"/>
      <c r="I263" s="80"/>
      <c r="J263" s="80"/>
      <c r="K263" s="80"/>
      <c r="L263" s="80"/>
      <c r="M263" s="80"/>
      <c r="N263" s="80"/>
      <c r="O263" s="80"/>
      <c r="P263" s="80"/>
      <c r="Q263" s="80"/>
      <c r="R263" s="80"/>
      <c r="S263" s="80"/>
      <c r="T263" s="80"/>
      <c r="U263" s="80"/>
      <c r="V263" s="80"/>
      <c r="W263" s="80"/>
      <c r="X263" s="80"/>
      <c r="Y263" s="80"/>
      <c r="Z263" s="80"/>
      <c r="AA263" s="80"/>
    </row>
    <row r="264" spans="3:27" x14ac:dyDescent="0.25">
      <c r="C264" s="80"/>
      <c r="D264" s="80"/>
      <c r="E264" s="80"/>
      <c r="F264" s="80"/>
      <c r="G264" s="80"/>
      <c r="H264" s="80"/>
      <c r="I264" s="80"/>
      <c r="J264" s="80"/>
      <c r="K264" s="80"/>
      <c r="L264" s="80"/>
      <c r="M264" s="80"/>
      <c r="N264" s="80"/>
      <c r="O264" s="80"/>
      <c r="P264" s="80"/>
      <c r="Q264" s="80"/>
      <c r="R264" s="80"/>
      <c r="S264" s="80"/>
      <c r="T264" s="80"/>
      <c r="U264" s="80"/>
      <c r="V264" s="80"/>
      <c r="W264" s="80"/>
      <c r="X264" s="80"/>
      <c r="Y264" s="80"/>
      <c r="Z264" s="80"/>
      <c r="AA264" s="80"/>
    </row>
    <row r="265" spans="3:27" x14ac:dyDescent="0.25">
      <c r="C265" s="80"/>
      <c r="D265" s="80"/>
      <c r="E265" s="80"/>
      <c r="F265" s="80"/>
      <c r="G265" s="80"/>
      <c r="H265" s="80"/>
      <c r="I265" s="80"/>
      <c r="J265" s="80"/>
      <c r="K265" s="80"/>
      <c r="L265" s="80"/>
      <c r="M265" s="80"/>
      <c r="N265" s="80"/>
      <c r="O265" s="80"/>
      <c r="P265" s="80"/>
      <c r="Q265" s="80"/>
      <c r="R265" s="80"/>
      <c r="S265" s="80"/>
      <c r="T265" s="80"/>
      <c r="U265" s="80"/>
      <c r="V265" s="80"/>
      <c r="W265" s="80"/>
      <c r="X265" s="80"/>
      <c r="Y265" s="80"/>
      <c r="Z265" s="80"/>
      <c r="AA265" s="80"/>
    </row>
    <row r="266" spans="3:27" x14ac:dyDescent="0.25">
      <c r="C266" s="80"/>
      <c r="D266" s="80"/>
      <c r="E266" s="80"/>
      <c r="F266" s="80"/>
      <c r="G266" s="80"/>
      <c r="H266" s="80"/>
      <c r="I266" s="80"/>
      <c r="J266" s="80"/>
      <c r="K266" s="80"/>
      <c r="L266" s="80"/>
      <c r="M266" s="80"/>
      <c r="N266" s="80"/>
      <c r="O266" s="80"/>
      <c r="P266" s="80"/>
      <c r="Q266" s="80"/>
      <c r="R266" s="80"/>
      <c r="S266" s="80"/>
      <c r="T266" s="80"/>
      <c r="U266" s="80"/>
      <c r="V266" s="80"/>
      <c r="W266" s="80"/>
      <c r="X266" s="80"/>
      <c r="Y266" s="80"/>
      <c r="Z266" s="80"/>
      <c r="AA266" s="80"/>
    </row>
    <row r="267" spans="3:27" x14ac:dyDescent="0.25">
      <c r="C267" s="80"/>
      <c r="D267" s="80"/>
      <c r="E267" s="80"/>
      <c r="F267" s="80"/>
      <c r="G267" s="80"/>
      <c r="H267" s="80"/>
      <c r="I267" s="80"/>
      <c r="J267" s="80"/>
      <c r="K267" s="80"/>
      <c r="L267" s="80"/>
      <c r="M267" s="80"/>
      <c r="N267" s="80"/>
      <c r="O267" s="80"/>
      <c r="P267" s="80"/>
      <c r="Q267" s="80"/>
      <c r="R267" s="80"/>
      <c r="S267" s="80"/>
      <c r="T267" s="80"/>
      <c r="U267" s="80"/>
      <c r="V267" s="80"/>
      <c r="W267" s="80"/>
      <c r="X267" s="80"/>
      <c r="Y267" s="80"/>
      <c r="Z267" s="80"/>
      <c r="AA267" s="80"/>
    </row>
    <row r="268" spans="3:27" x14ac:dyDescent="0.25">
      <c r="C268" s="82"/>
      <c r="D268" s="81"/>
      <c r="E268" s="81"/>
      <c r="F268" s="81"/>
      <c r="G268" s="81"/>
      <c r="H268" s="81"/>
      <c r="I268" s="81"/>
      <c r="J268" s="81"/>
      <c r="K268" s="81"/>
      <c r="L268" s="81"/>
      <c r="M268" s="81"/>
      <c r="N268" s="81"/>
      <c r="O268" s="81"/>
      <c r="P268" s="81"/>
      <c r="Q268" s="81"/>
      <c r="R268" s="81"/>
      <c r="S268" s="81"/>
      <c r="T268" s="81"/>
      <c r="U268" s="81"/>
      <c r="V268" s="81"/>
      <c r="W268" s="81"/>
      <c r="X268" s="81"/>
      <c r="Y268" s="81"/>
      <c r="Z268" s="81"/>
      <c r="AA268" s="81"/>
    </row>
    <row r="269" spans="3:27" x14ac:dyDescent="0.25">
      <c r="C269" s="80"/>
      <c r="D269" s="81"/>
      <c r="E269" s="81"/>
      <c r="F269" s="81"/>
      <c r="G269" s="81"/>
      <c r="H269" s="81"/>
      <c r="I269" s="81"/>
      <c r="J269" s="81"/>
      <c r="K269" s="81"/>
      <c r="L269" s="81"/>
      <c r="M269" s="81"/>
      <c r="N269" s="81"/>
      <c r="O269" s="81"/>
      <c r="P269" s="81"/>
      <c r="Q269" s="81"/>
      <c r="R269" s="81"/>
      <c r="S269" s="81"/>
      <c r="T269" s="81"/>
      <c r="U269" s="81"/>
      <c r="V269" s="81"/>
      <c r="W269" s="81"/>
      <c r="X269" s="81"/>
      <c r="Y269" s="81"/>
      <c r="Z269" s="81"/>
      <c r="AA269" s="81"/>
    </row>
    <row r="270" spans="3:27" x14ac:dyDescent="0.25">
      <c r="C270" s="80"/>
      <c r="D270" s="81"/>
      <c r="E270" s="81"/>
      <c r="F270" s="81"/>
      <c r="G270" s="81"/>
      <c r="H270" s="81"/>
      <c r="I270" s="81"/>
      <c r="J270" s="81"/>
      <c r="K270" s="81"/>
      <c r="L270" s="81"/>
      <c r="M270" s="81"/>
      <c r="N270" s="81"/>
      <c r="O270" s="81"/>
      <c r="P270" s="81"/>
      <c r="Q270" s="81"/>
      <c r="R270" s="81"/>
      <c r="S270" s="81"/>
      <c r="T270" s="81"/>
      <c r="U270" s="81"/>
      <c r="V270" s="81"/>
      <c r="W270" s="81"/>
      <c r="X270" s="81"/>
      <c r="Y270" s="81"/>
      <c r="Z270" s="81"/>
      <c r="AA270" s="81"/>
    </row>
    <row r="271" spans="3:27" x14ac:dyDescent="0.25">
      <c r="C271" s="80"/>
      <c r="D271" s="81"/>
      <c r="E271" s="81"/>
      <c r="F271" s="81"/>
      <c r="G271" s="81"/>
      <c r="H271" s="81"/>
      <c r="I271" s="81"/>
      <c r="J271" s="81"/>
      <c r="K271" s="81"/>
      <c r="L271" s="81"/>
      <c r="M271" s="81"/>
      <c r="N271" s="81"/>
      <c r="O271" s="81"/>
      <c r="P271" s="81"/>
      <c r="Q271" s="81"/>
      <c r="R271" s="81"/>
      <c r="S271" s="81"/>
      <c r="T271" s="81"/>
      <c r="U271" s="81"/>
      <c r="V271" s="81"/>
      <c r="W271" s="81"/>
      <c r="X271" s="81"/>
      <c r="Y271" s="81"/>
      <c r="Z271" s="81"/>
      <c r="AA271" s="81"/>
    </row>
    <row r="272" spans="3:27" x14ac:dyDescent="0.25">
      <c r="C272" s="81"/>
      <c r="D272" s="81"/>
      <c r="E272" s="81"/>
      <c r="F272" s="81"/>
      <c r="G272" s="81"/>
      <c r="H272" s="81"/>
      <c r="I272" s="81"/>
      <c r="J272" s="81"/>
      <c r="K272" s="81"/>
      <c r="L272" s="81"/>
      <c r="M272" s="81"/>
      <c r="N272" s="81"/>
      <c r="O272" s="81"/>
      <c r="P272" s="81"/>
      <c r="Q272" s="81"/>
      <c r="R272" s="81"/>
      <c r="S272" s="81"/>
      <c r="T272" s="81"/>
      <c r="U272" s="81"/>
      <c r="V272" s="81"/>
      <c r="W272" s="81"/>
      <c r="X272" s="81"/>
      <c r="Y272" s="81"/>
      <c r="Z272" s="81"/>
      <c r="AA272" s="81"/>
    </row>
    <row r="274" spans="3:27" x14ac:dyDescent="0.25">
      <c r="C274" s="80"/>
      <c r="D274" s="80"/>
      <c r="E274" s="80"/>
      <c r="F274" s="80"/>
      <c r="G274" s="80"/>
      <c r="H274" s="80"/>
      <c r="I274" s="80"/>
      <c r="J274" s="80"/>
      <c r="K274" s="80"/>
      <c r="L274" s="80"/>
      <c r="M274" s="80"/>
      <c r="N274" s="80"/>
      <c r="O274" s="80"/>
      <c r="P274" s="80"/>
      <c r="Q274" s="80"/>
      <c r="R274" s="80"/>
      <c r="S274" s="80"/>
      <c r="T274" s="80"/>
      <c r="U274" s="80"/>
      <c r="V274" s="80"/>
      <c r="W274" s="80"/>
      <c r="X274" s="80"/>
      <c r="Y274" s="80"/>
      <c r="Z274" s="80"/>
      <c r="AA274" s="80"/>
    </row>
    <row r="275" spans="3:27" x14ac:dyDescent="0.25">
      <c r="C275" s="80"/>
      <c r="D275" s="80"/>
      <c r="E275" s="80"/>
      <c r="F275" s="80"/>
      <c r="G275" s="80"/>
      <c r="H275" s="80"/>
      <c r="I275" s="80"/>
      <c r="J275" s="80"/>
      <c r="K275" s="80"/>
      <c r="L275" s="80"/>
      <c r="M275" s="80"/>
      <c r="N275" s="80"/>
      <c r="O275" s="80"/>
      <c r="P275" s="80"/>
      <c r="Q275" s="80"/>
      <c r="R275" s="80"/>
      <c r="S275" s="80"/>
      <c r="T275" s="80"/>
      <c r="U275" s="80"/>
      <c r="V275" s="80"/>
      <c r="W275" s="80"/>
      <c r="X275" s="80"/>
      <c r="Y275" s="80"/>
      <c r="Z275" s="80"/>
      <c r="AA275" s="80"/>
    </row>
    <row r="276" spans="3:27" x14ac:dyDescent="0.25">
      <c r="C276" s="80"/>
      <c r="D276" s="80"/>
      <c r="E276" s="80"/>
      <c r="F276" s="80"/>
      <c r="G276" s="80"/>
      <c r="H276" s="80"/>
      <c r="I276" s="80"/>
      <c r="J276" s="80"/>
      <c r="K276" s="80"/>
      <c r="L276" s="80"/>
      <c r="M276" s="80"/>
      <c r="N276" s="80"/>
      <c r="O276" s="80"/>
      <c r="P276" s="80"/>
      <c r="Q276" s="80"/>
      <c r="R276" s="80"/>
      <c r="S276" s="80"/>
      <c r="T276" s="80"/>
      <c r="U276" s="80"/>
      <c r="V276" s="80"/>
      <c r="W276" s="80"/>
      <c r="X276" s="80"/>
      <c r="Y276" s="80"/>
      <c r="Z276" s="80"/>
      <c r="AA276" s="80"/>
    </row>
    <row r="277" spans="3:27" x14ac:dyDescent="0.25">
      <c r="C277" s="80"/>
      <c r="D277" s="80"/>
      <c r="E277" s="80"/>
      <c r="F277" s="80"/>
      <c r="G277" s="80"/>
      <c r="H277" s="80"/>
      <c r="I277" s="80"/>
      <c r="J277" s="80"/>
      <c r="K277" s="80"/>
      <c r="L277" s="80"/>
      <c r="M277" s="80"/>
      <c r="N277" s="80"/>
      <c r="O277" s="80"/>
      <c r="P277" s="80"/>
      <c r="Q277" s="80"/>
      <c r="R277" s="80"/>
      <c r="S277" s="80"/>
      <c r="T277" s="80"/>
      <c r="U277" s="80"/>
      <c r="V277" s="80"/>
      <c r="W277" s="80"/>
      <c r="X277" s="80"/>
      <c r="Y277" s="80"/>
      <c r="Z277" s="80"/>
      <c r="AA277" s="80"/>
    </row>
    <row r="278" spans="3:27" x14ac:dyDescent="0.25">
      <c r="C278" s="80"/>
      <c r="D278" s="80"/>
      <c r="E278" s="80"/>
      <c r="F278" s="80"/>
      <c r="G278" s="80"/>
      <c r="H278" s="80"/>
      <c r="I278" s="80"/>
      <c r="J278" s="80"/>
      <c r="K278" s="80"/>
      <c r="L278" s="80"/>
      <c r="M278" s="80"/>
      <c r="N278" s="80"/>
      <c r="O278" s="80"/>
      <c r="P278" s="80"/>
      <c r="Q278" s="80"/>
      <c r="R278" s="80"/>
      <c r="S278" s="80"/>
      <c r="T278" s="80"/>
      <c r="U278" s="80"/>
      <c r="V278" s="80"/>
      <c r="W278" s="80"/>
      <c r="X278" s="80"/>
      <c r="Y278" s="80"/>
      <c r="Z278" s="80"/>
      <c r="AA278" s="80"/>
    </row>
    <row r="279" spans="3:27" x14ac:dyDescent="0.25">
      <c r="C279" s="80"/>
      <c r="D279" s="80"/>
      <c r="E279" s="80"/>
      <c r="F279" s="80"/>
      <c r="G279" s="80"/>
      <c r="H279" s="80"/>
      <c r="I279" s="80"/>
      <c r="J279" s="80"/>
      <c r="K279" s="80"/>
      <c r="L279" s="80"/>
      <c r="M279" s="80"/>
      <c r="N279" s="80"/>
      <c r="O279" s="80"/>
      <c r="P279" s="80"/>
      <c r="Q279" s="80"/>
      <c r="R279" s="80"/>
      <c r="S279" s="80"/>
      <c r="T279" s="80"/>
      <c r="U279" s="80"/>
      <c r="V279" s="80"/>
      <c r="W279" s="80"/>
      <c r="X279" s="80"/>
      <c r="Y279" s="80"/>
      <c r="Z279" s="80"/>
      <c r="AA279" s="80"/>
    </row>
    <row r="280" spans="3:27" x14ac:dyDescent="0.25">
      <c r="C280" s="80"/>
      <c r="D280" s="80"/>
      <c r="E280" s="80"/>
      <c r="F280" s="80"/>
      <c r="G280" s="80"/>
      <c r="H280" s="80"/>
      <c r="I280" s="80"/>
      <c r="J280" s="80"/>
      <c r="K280" s="80"/>
      <c r="L280" s="80"/>
      <c r="M280" s="80"/>
      <c r="N280" s="80"/>
      <c r="O280" s="80"/>
      <c r="P280" s="80"/>
      <c r="Q280" s="80"/>
      <c r="R280" s="80"/>
      <c r="S280" s="80"/>
      <c r="T280" s="80"/>
      <c r="U280" s="80"/>
      <c r="V280" s="80"/>
      <c r="W280" s="80"/>
      <c r="X280" s="80"/>
      <c r="Y280" s="80"/>
      <c r="Z280" s="80"/>
      <c r="AA280" s="80"/>
    </row>
    <row r="281" spans="3:27" x14ac:dyDescent="0.25">
      <c r="C281" s="80"/>
      <c r="D281" s="80"/>
      <c r="E281" s="80"/>
      <c r="F281" s="80"/>
      <c r="G281" s="80"/>
      <c r="H281" s="80"/>
      <c r="I281" s="80"/>
      <c r="J281" s="80"/>
      <c r="K281" s="80"/>
      <c r="L281" s="80"/>
      <c r="M281" s="80"/>
      <c r="N281" s="80"/>
      <c r="O281" s="80"/>
      <c r="P281" s="80"/>
      <c r="Q281" s="80"/>
      <c r="R281" s="80"/>
      <c r="S281" s="80"/>
      <c r="T281" s="80"/>
      <c r="U281" s="80"/>
      <c r="V281" s="80"/>
      <c r="W281" s="80"/>
      <c r="X281" s="80"/>
      <c r="Y281" s="80"/>
      <c r="Z281" s="80"/>
      <c r="AA281" s="80"/>
    </row>
    <row r="282" spans="3:27" x14ac:dyDescent="0.25">
      <c r="C282" s="82"/>
      <c r="D282" s="81"/>
      <c r="E282" s="81"/>
      <c r="F282" s="81"/>
      <c r="G282" s="81"/>
      <c r="H282" s="81"/>
      <c r="I282" s="81"/>
      <c r="J282" s="81"/>
      <c r="K282" s="81"/>
      <c r="L282" s="81"/>
      <c r="M282" s="81"/>
      <c r="N282" s="81"/>
      <c r="O282" s="81"/>
      <c r="P282" s="81"/>
      <c r="Q282" s="81"/>
      <c r="R282" s="81"/>
      <c r="S282" s="81"/>
      <c r="T282" s="81"/>
      <c r="U282" s="81"/>
      <c r="V282" s="81"/>
      <c r="W282" s="81"/>
      <c r="X282" s="81"/>
      <c r="Y282" s="81"/>
      <c r="Z282" s="81"/>
      <c r="AA282" s="81"/>
    </row>
    <row r="283" spans="3:27" x14ac:dyDescent="0.25">
      <c r="C283" s="80"/>
      <c r="D283" s="81"/>
      <c r="E283" s="81"/>
      <c r="F283" s="81"/>
      <c r="G283" s="81"/>
      <c r="H283" s="81"/>
      <c r="I283" s="81"/>
      <c r="J283" s="81"/>
      <c r="K283" s="81"/>
      <c r="L283" s="81"/>
      <c r="M283" s="81"/>
      <c r="N283" s="81"/>
      <c r="O283" s="81"/>
      <c r="P283" s="81"/>
      <c r="Q283" s="81"/>
      <c r="R283" s="81"/>
      <c r="S283" s="81"/>
      <c r="T283" s="81"/>
      <c r="U283" s="81"/>
      <c r="V283" s="81"/>
      <c r="W283" s="81"/>
      <c r="X283" s="81"/>
      <c r="Y283" s="81"/>
      <c r="Z283" s="81"/>
      <c r="AA283" s="81"/>
    </row>
    <row r="284" spans="3:27" x14ac:dyDescent="0.25">
      <c r="C284" s="80"/>
      <c r="D284" s="81"/>
      <c r="E284" s="81"/>
      <c r="F284" s="81"/>
      <c r="G284" s="81"/>
      <c r="H284" s="81"/>
      <c r="I284" s="81"/>
      <c r="J284" s="81"/>
      <c r="K284" s="81"/>
      <c r="L284" s="81"/>
      <c r="M284" s="81"/>
      <c r="N284" s="81"/>
      <c r="O284" s="81"/>
      <c r="P284" s="81"/>
      <c r="Q284" s="81"/>
      <c r="R284" s="81"/>
      <c r="S284" s="81"/>
      <c r="T284" s="81"/>
      <c r="U284" s="81"/>
      <c r="V284" s="81"/>
      <c r="W284" s="81"/>
      <c r="X284" s="81"/>
      <c r="Y284" s="81"/>
      <c r="Z284" s="81"/>
      <c r="AA284" s="81"/>
    </row>
    <row r="285" spans="3:27" x14ac:dyDescent="0.25">
      <c r="C285" s="80"/>
      <c r="D285" s="81"/>
      <c r="E285" s="81"/>
      <c r="F285" s="81"/>
      <c r="G285" s="81"/>
      <c r="H285" s="81"/>
      <c r="I285" s="81"/>
      <c r="J285" s="81"/>
      <c r="K285" s="81"/>
      <c r="L285" s="81"/>
      <c r="M285" s="81"/>
      <c r="N285" s="81"/>
      <c r="O285" s="81"/>
      <c r="P285" s="81"/>
      <c r="Q285" s="81"/>
      <c r="R285" s="81"/>
      <c r="S285" s="81"/>
      <c r="T285" s="81"/>
      <c r="U285" s="81"/>
      <c r="V285" s="81"/>
      <c r="W285" s="81"/>
      <c r="X285" s="81"/>
      <c r="Y285" s="81"/>
      <c r="Z285" s="81"/>
      <c r="AA285" s="81"/>
    </row>
    <row r="286" spans="3:27" x14ac:dyDescent="0.25">
      <c r="C286" s="81"/>
      <c r="D286" s="81"/>
      <c r="E286" s="81"/>
      <c r="F286" s="81"/>
      <c r="G286" s="81"/>
      <c r="H286" s="81"/>
      <c r="I286" s="81"/>
      <c r="J286" s="81"/>
      <c r="K286" s="81"/>
      <c r="L286" s="81"/>
      <c r="M286" s="81"/>
      <c r="N286" s="81"/>
      <c r="O286" s="81"/>
      <c r="P286" s="81"/>
      <c r="Q286" s="81"/>
      <c r="R286" s="81"/>
      <c r="S286" s="81"/>
      <c r="T286" s="81"/>
      <c r="U286" s="81"/>
      <c r="V286" s="81"/>
      <c r="W286" s="81"/>
      <c r="X286" s="81"/>
      <c r="Y286" s="81"/>
      <c r="Z286" s="81"/>
      <c r="AA286" s="81"/>
    </row>
    <row r="288" spans="3:27" x14ac:dyDescent="0.25">
      <c r="C288" s="80"/>
      <c r="D288" s="80"/>
      <c r="E288" s="80"/>
      <c r="F288" s="80"/>
      <c r="G288" s="80"/>
      <c r="H288" s="80"/>
      <c r="I288" s="80"/>
      <c r="J288" s="80"/>
      <c r="K288" s="80"/>
      <c r="L288" s="80"/>
      <c r="M288" s="80"/>
      <c r="N288" s="80"/>
      <c r="O288" s="80"/>
      <c r="P288" s="80"/>
      <c r="Q288" s="80"/>
      <c r="R288" s="80"/>
      <c r="S288" s="80"/>
      <c r="T288" s="80"/>
      <c r="U288" s="80"/>
      <c r="V288" s="80"/>
      <c r="W288" s="80"/>
      <c r="X288" s="80"/>
      <c r="Y288" s="80"/>
      <c r="Z288" s="80"/>
      <c r="AA288" s="80"/>
    </row>
    <row r="289" spans="3:27" x14ac:dyDescent="0.25">
      <c r="C289" s="80"/>
      <c r="D289" s="80"/>
      <c r="E289" s="80"/>
      <c r="F289" s="80"/>
      <c r="G289" s="80"/>
      <c r="H289" s="80"/>
      <c r="I289" s="80"/>
      <c r="J289" s="80"/>
      <c r="K289" s="80"/>
      <c r="L289" s="80"/>
      <c r="M289" s="80"/>
      <c r="N289" s="80"/>
      <c r="O289" s="80"/>
      <c r="P289" s="80"/>
      <c r="Q289" s="80"/>
      <c r="R289" s="80"/>
      <c r="S289" s="80"/>
      <c r="T289" s="80"/>
      <c r="U289" s="80"/>
      <c r="V289" s="80"/>
      <c r="W289" s="80"/>
      <c r="X289" s="80"/>
      <c r="Y289" s="80"/>
      <c r="Z289" s="80"/>
      <c r="AA289" s="80"/>
    </row>
    <row r="290" spans="3:27" x14ac:dyDescent="0.25">
      <c r="C290" s="80"/>
      <c r="D290" s="80"/>
      <c r="E290" s="80"/>
      <c r="F290" s="80"/>
      <c r="G290" s="80"/>
      <c r="H290" s="80"/>
      <c r="I290" s="80"/>
      <c r="J290" s="80"/>
      <c r="K290" s="80"/>
      <c r="L290" s="80"/>
      <c r="M290" s="80"/>
      <c r="N290" s="80"/>
      <c r="O290" s="80"/>
      <c r="P290" s="80"/>
      <c r="Q290" s="80"/>
      <c r="R290" s="80"/>
      <c r="S290" s="80"/>
      <c r="T290" s="80"/>
      <c r="U290" s="80"/>
      <c r="V290" s="80"/>
      <c r="W290" s="80"/>
      <c r="X290" s="80"/>
      <c r="Y290" s="80"/>
      <c r="Z290" s="80"/>
      <c r="AA290" s="80"/>
    </row>
    <row r="291" spans="3:27" x14ac:dyDescent="0.25">
      <c r="C291" s="80"/>
      <c r="D291" s="80"/>
      <c r="E291" s="80"/>
      <c r="F291" s="80"/>
      <c r="G291" s="80"/>
      <c r="H291" s="80"/>
      <c r="I291" s="80"/>
      <c r="J291" s="80"/>
      <c r="K291" s="80"/>
      <c r="L291" s="80"/>
      <c r="M291" s="80"/>
      <c r="N291" s="80"/>
      <c r="O291" s="80"/>
      <c r="P291" s="80"/>
      <c r="Q291" s="80"/>
      <c r="R291" s="80"/>
      <c r="S291" s="80"/>
      <c r="T291" s="80"/>
      <c r="U291" s="80"/>
      <c r="V291" s="80"/>
      <c r="W291" s="80"/>
      <c r="X291" s="80"/>
      <c r="Y291" s="80"/>
      <c r="Z291" s="80"/>
      <c r="AA291" s="80"/>
    </row>
    <row r="292" spans="3:27" x14ac:dyDescent="0.25">
      <c r="C292" s="80"/>
      <c r="D292" s="80"/>
      <c r="E292" s="80"/>
      <c r="F292" s="80"/>
      <c r="G292" s="80"/>
      <c r="H292" s="80"/>
      <c r="I292" s="80"/>
      <c r="J292" s="80"/>
      <c r="K292" s="80"/>
      <c r="L292" s="80"/>
      <c r="M292" s="80"/>
      <c r="N292" s="80"/>
      <c r="O292" s="80"/>
      <c r="P292" s="80"/>
      <c r="Q292" s="80"/>
      <c r="R292" s="80"/>
      <c r="S292" s="80"/>
      <c r="T292" s="80"/>
      <c r="U292" s="80"/>
      <c r="V292" s="80"/>
      <c r="W292" s="80"/>
      <c r="X292" s="80"/>
      <c r="Y292" s="80"/>
      <c r="Z292" s="80"/>
      <c r="AA292" s="80"/>
    </row>
    <row r="293" spans="3:27" x14ac:dyDescent="0.25">
      <c r="C293" s="80"/>
      <c r="D293" s="80"/>
      <c r="E293" s="80"/>
      <c r="F293" s="80"/>
      <c r="G293" s="80"/>
      <c r="H293" s="80"/>
      <c r="I293" s="80"/>
      <c r="J293" s="80"/>
      <c r="K293" s="80"/>
      <c r="L293" s="80"/>
      <c r="M293" s="80"/>
      <c r="N293" s="80"/>
      <c r="O293" s="80"/>
      <c r="P293" s="80"/>
      <c r="Q293" s="80"/>
      <c r="R293" s="80"/>
      <c r="S293" s="80"/>
      <c r="T293" s="80"/>
      <c r="U293" s="80"/>
      <c r="V293" s="80"/>
      <c r="W293" s="80"/>
      <c r="X293" s="80"/>
      <c r="Y293" s="80"/>
      <c r="Z293" s="80"/>
      <c r="AA293" s="80"/>
    </row>
    <row r="294" spans="3:27" x14ac:dyDescent="0.25">
      <c r="C294" s="80"/>
      <c r="D294" s="80"/>
      <c r="E294" s="80"/>
      <c r="F294" s="80"/>
      <c r="G294" s="80"/>
      <c r="H294" s="80"/>
      <c r="I294" s="80"/>
      <c r="J294" s="80"/>
      <c r="K294" s="80"/>
      <c r="L294" s="80"/>
      <c r="M294" s="80"/>
      <c r="N294" s="80"/>
      <c r="O294" s="80"/>
      <c r="P294" s="80"/>
      <c r="Q294" s="80"/>
      <c r="R294" s="80"/>
      <c r="S294" s="80"/>
      <c r="T294" s="80"/>
      <c r="U294" s="80"/>
      <c r="V294" s="80"/>
      <c r="W294" s="80"/>
      <c r="X294" s="80"/>
      <c r="Y294" s="80"/>
      <c r="Z294" s="80"/>
      <c r="AA294" s="80"/>
    </row>
    <row r="295" spans="3:27" x14ac:dyDescent="0.25">
      <c r="C295" s="80"/>
      <c r="D295" s="80"/>
      <c r="E295" s="80"/>
      <c r="F295" s="80"/>
      <c r="G295" s="80"/>
      <c r="H295" s="80"/>
      <c r="I295" s="80"/>
      <c r="J295" s="80"/>
      <c r="K295" s="80"/>
      <c r="L295" s="80"/>
      <c r="M295" s="80"/>
      <c r="N295" s="80"/>
      <c r="O295" s="80"/>
      <c r="P295" s="80"/>
      <c r="Q295" s="80"/>
      <c r="R295" s="80"/>
      <c r="S295" s="80"/>
      <c r="T295" s="80"/>
      <c r="U295" s="80"/>
      <c r="V295" s="80"/>
      <c r="W295" s="80"/>
      <c r="X295" s="80"/>
      <c r="Y295" s="80"/>
      <c r="Z295" s="80"/>
      <c r="AA295" s="80"/>
    </row>
  </sheetData>
  <pageMargins left="0.7" right="0.7" top="0.75" bottom="0.75" header="0.3" footer="0.3"/>
  <pageSetup paperSize="9" orientation="portrait" r:id="rId1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List3"/>
  <dimension ref="A2:T82"/>
  <sheetViews>
    <sheetView workbookViewId="0">
      <selection activeCell="H31" sqref="H31"/>
    </sheetView>
  </sheetViews>
  <sheetFormatPr defaultRowHeight="12.75" x14ac:dyDescent="0.2"/>
  <cols>
    <col min="1" max="8" width="9.140625" style="42"/>
    <col min="9" max="9" width="11.28515625" style="42" bestFit="1" customWidth="1"/>
    <col min="10" max="16384" width="9.140625" style="42"/>
  </cols>
  <sheetData>
    <row r="2" spans="1:18" x14ac:dyDescent="0.2">
      <c r="B2" s="42" t="s">
        <v>12</v>
      </c>
    </row>
    <row r="4" spans="1:18" x14ac:dyDescent="0.2">
      <c r="B4" s="43" t="s">
        <v>13</v>
      </c>
    </row>
    <row r="6" spans="1:18" x14ac:dyDescent="0.2">
      <c r="B6" s="42" t="s">
        <v>15</v>
      </c>
      <c r="C6" s="43">
        <v>0</v>
      </c>
      <c r="D6" s="43">
        <f>C6+2</f>
        <v>2</v>
      </c>
      <c r="E6" s="43">
        <f t="shared" ref="E6:R6" si="0">D6+2</f>
        <v>4</v>
      </c>
      <c r="F6" s="43">
        <f t="shared" si="0"/>
        <v>6</v>
      </c>
      <c r="G6" s="43">
        <f t="shared" si="0"/>
        <v>8</v>
      </c>
      <c r="H6" s="43">
        <f t="shared" si="0"/>
        <v>10</v>
      </c>
      <c r="I6" s="43">
        <f t="shared" si="0"/>
        <v>12</v>
      </c>
      <c r="J6" s="43">
        <f t="shared" si="0"/>
        <v>14</v>
      </c>
      <c r="K6" s="43">
        <f t="shared" si="0"/>
        <v>16</v>
      </c>
      <c r="L6" s="43">
        <f t="shared" si="0"/>
        <v>18</v>
      </c>
      <c r="M6" s="43">
        <f t="shared" si="0"/>
        <v>20</v>
      </c>
      <c r="N6" s="43">
        <f t="shared" si="0"/>
        <v>22</v>
      </c>
      <c r="O6" s="43">
        <f t="shared" si="0"/>
        <v>24</v>
      </c>
      <c r="P6" s="43">
        <f t="shared" si="0"/>
        <v>26</v>
      </c>
      <c r="Q6" s="43">
        <f t="shared" si="0"/>
        <v>28</v>
      </c>
      <c r="R6" s="43">
        <f t="shared" si="0"/>
        <v>30</v>
      </c>
    </row>
    <row r="7" spans="1:18" x14ac:dyDescent="0.2">
      <c r="C7" s="42" t="s">
        <v>16</v>
      </c>
    </row>
    <row r="8" spans="1:18" x14ac:dyDescent="0.2">
      <c r="A8" s="44" t="s">
        <v>14</v>
      </c>
      <c r="B8" s="43">
        <v>50</v>
      </c>
      <c r="C8" s="42">
        <f t="shared" ref="C8:C22" si="1">(1.01*$B8+0.00186*$B8*C$6)/1.01</f>
        <v>50</v>
      </c>
      <c r="D8" s="42">
        <f t="shared" ref="D8:R22" si="2">(1.01*$B8+0.00186*$B8*D$6)/1.01</f>
        <v>50.184158415841587</v>
      </c>
      <c r="E8" s="42">
        <f t="shared" si="2"/>
        <v>50.368316831683167</v>
      </c>
      <c r="F8" s="42">
        <f t="shared" si="2"/>
        <v>50.552475247524754</v>
      </c>
      <c r="G8" s="42">
        <f t="shared" si="2"/>
        <v>50.736633663366334</v>
      </c>
      <c r="H8" s="42">
        <f t="shared" si="2"/>
        <v>50.920792079207921</v>
      </c>
      <c r="I8" s="42">
        <f t="shared" si="2"/>
        <v>51.104950495049508</v>
      </c>
      <c r="J8" s="42">
        <f t="shared" si="2"/>
        <v>51.289108910891088</v>
      </c>
      <c r="K8" s="42">
        <f t="shared" si="2"/>
        <v>51.473267326732675</v>
      </c>
      <c r="L8" s="42">
        <f t="shared" si="2"/>
        <v>51.657425742574254</v>
      </c>
      <c r="M8" s="42">
        <f t="shared" si="2"/>
        <v>51.841584158415841</v>
      </c>
      <c r="N8" s="42">
        <f t="shared" si="2"/>
        <v>52.025742574257421</v>
      </c>
      <c r="O8" s="42">
        <f t="shared" si="2"/>
        <v>52.209900990099008</v>
      </c>
      <c r="P8" s="42">
        <f t="shared" si="2"/>
        <v>52.394059405940595</v>
      </c>
      <c r="Q8" s="42">
        <f t="shared" si="2"/>
        <v>52.578217821782175</v>
      </c>
      <c r="R8" s="42">
        <f t="shared" si="2"/>
        <v>52.762376237623762</v>
      </c>
    </row>
    <row r="9" spans="1:18" x14ac:dyDescent="0.2">
      <c r="B9" s="43">
        <f>B8-5</f>
        <v>45</v>
      </c>
      <c r="C9" s="42">
        <f t="shared" si="1"/>
        <v>45</v>
      </c>
      <c r="D9" s="42">
        <f t="shared" si="2"/>
        <v>45.165742574257429</v>
      </c>
      <c r="E9" s="42">
        <f t="shared" si="2"/>
        <v>45.331485148514858</v>
      </c>
      <c r="F9" s="42">
        <f t="shared" si="2"/>
        <v>45.49722772277228</v>
      </c>
      <c r="G9" s="42">
        <f t="shared" si="2"/>
        <v>45.662970297029709</v>
      </c>
      <c r="H9" s="42">
        <f t="shared" si="2"/>
        <v>45.828712871287138</v>
      </c>
      <c r="I9" s="42">
        <f t="shared" si="2"/>
        <v>45.994455445544553</v>
      </c>
      <c r="J9" s="42">
        <f t="shared" si="2"/>
        <v>46.160198019801982</v>
      </c>
      <c r="K9" s="42">
        <f t="shared" si="2"/>
        <v>46.325940594059404</v>
      </c>
      <c r="L9" s="42">
        <f t="shared" si="2"/>
        <v>46.491683168316833</v>
      </c>
      <c r="M9" s="42">
        <f t="shared" si="2"/>
        <v>46.657425742574262</v>
      </c>
      <c r="N9" s="42">
        <f t="shared" si="2"/>
        <v>46.823168316831683</v>
      </c>
      <c r="O9" s="42">
        <f t="shared" si="2"/>
        <v>46.988910891089112</v>
      </c>
      <c r="P9" s="42">
        <f t="shared" si="2"/>
        <v>47.154653465346541</v>
      </c>
      <c r="Q9" s="42">
        <f t="shared" si="2"/>
        <v>47.320396039603963</v>
      </c>
      <c r="R9" s="42">
        <f t="shared" si="2"/>
        <v>47.486138613861392</v>
      </c>
    </row>
    <row r="10" spans="1:18" x14ac:dyDescent="0.2">
      <c r="B10" s="43">
        <f t="shared" ref="B10:B22" si="3">B9-5</f>
        <v>40</v>
      </c>
      <c r="C10" s="42">
        <f t="shared" si="1"/>
        <v>40</v>
      </c>
      <c r="D10" s="42">
        <f t="shared" si="2"/>
        <v>40.147326732673264</v>
      </c>
      <c r="E10" s="42">
        <f t="shared" si="2"/>
        <v>40.294653465346535</v>
      </c>
      <c r="F10" s="42">
        <f t="shared" si="2"/>
        <v>40.441980198019799</v>
      </c>
      <c r="G10" s="42">
        <f t="shared" si="2"/>
        <v>40.589306930693063</v>
      </c>
      <c r="H10" s="42">
        <f t="shared" si="2"/>
        <v>40.736633663366334</v>
      </c>
      <c r="I10" s="42">
        <f t="shared" si="2"/>
        <v>40.883960396039605</v>
      </c>
      <c r="J10" s="42">
        <f t="shared" si="2"/>
        <v>41.031287128712869</v>
      </c>
      <c r="K10" s="42">
        <f t="shared" si="2"/>
        <v>41.178613861386133</v>
      </c>
      <c r="L10" s="42">
        <f t="shared" si="2"/>
        <v>41.325940594059404</v>
      </c>
      <c r="M10" s="42">
        <f t="shared" si="2"/>
        <v>41.473267326732675</v>
      </c>
      <c r="N10" s="42">
        <f t="shared" si="2"/>
        <v>41.620594059405938</v>
      </c>
      <c r="O10" s="42">
        <f t="shared" si="2"/>
        <v>41.767920792079209</v>
      </c>
      <c r="P10" s="42">
        <f t="shared" si="2"/>
        <v>41.915247524752481</v>
      </c>
      <c r="Q10" s="42">
        <f t="shared" si="2"/>
        <v>42.062574257425737</v>
      </c>
      <c r="R10" s="42">
        <f t="shared" si="2"/>
        <v>42.209900990099008</v>
      </c>
    </row>
    <row r="11" spans="1:18" x14ac:dyDescent="0.2">
      <c r="B11" s="43">
        <f t="shared" si="3"/>
        <v>35</v>
      </c>
      <c r="C11" s="42">
        <f t="shared" si="1"/>
        <v>35</v>
      </c>
      <c r="D11" s="42">
        <f t="shared" si="2"/>
        <v>35.128910891089113</v>
      </c>
      <c r="E11" s="42">
        <f t="shared" si="2"/>
        <v>35.257821782178219</v>
      </c>
      <c r="F11" s="42">
        <f t="shared" si="2"/>
        <v>35.386732673267325</v>
      </c>
      <c r="G11" s="42">
        <f t="shared" si="2"/>
        <v>35.515643564356438</v>
      </c>
      <c r="H11" s="42">
        <f t="shared" si="2"/>
        <v>35.644554455445551</v>
      </c>
      <c r="I11" s="42">
        <f t="shared" si="2"/>
        <v>35.77346534653465</v>
      </c>
      <c r="J11" s="42">
        <f t="shared" si="2"/>
        <v>35.902376237623763</v>
      </c>
      <c r="K11" s="42">
        <f t="shared" si="2"/>
        <v>36.031287128712876</v>
      </c>
      <c r="L11" s="42">
        <f t="shared" si="2"/>
        <v>36.160198019801982</v>
      </c>
      <c r="M11" s="42">
        <f t="shared" si="2"/>
        <v>36.289108910891088</v>
      </c>
      <c r="N11" s="42">
        <f t="shared" si="2"/>
        <v>36.418019801980201</v>
      </c>
      <c r="O11" s="42">
        <f t="shared" si="2"/>
        <v>36.546930693069314</v>
      </c>
      <c r="P11" s="42">
        <f t="shared" si="2"/>
        <v>36.675841584158412</v>
      </c>
      <c r="Q11" s="42">
        <f t="shared" si="2"/>
        <v>36.804752475247525</v>
      </c>
      <c r="R11" s="42">
        <f t="shared" si="2"/>
        <v>36.933663366336638</v>
      </c>
    </row>
    <row r="12" spans="1:18" x14ac:dyDescent="0.2">
      <c r="B12" s="43">
        <f t="shared" si="3"/>
        <v>30</v>
      </c>
      <c r="C12" s="42">
        <f t="shared" si="1"/>
        <v>30</v>
      </c>
      <c r="D12" s="42">
        <f t="shared" si="2"/>
        <v>30.110495049504951</v>
      </c>
      <c r="E12" s="42">
        <f t="shared" si="2"/>
        <v>30.220990099009899</v>
      </c>
      <c r="F12" s="42">
        <f t="shared" si="2"/>
        <v>30.331485148514854</v>
      </c>
      <c r="G12" s="42">
        <f t="shared" si="2"/>
        <v>30.441980198019802</v>
      </c>
      <c r="H12" s="42">
        <f t="shared" si="2"/>
        <v>30.552475247524754</v>
      </c>
      <c r="I12" s="42">
        <f t="shared" si="2"/>
        <v>30.662970297029702</v>
      </c>
      <c r="J12" s="42">
        <f t="shared" si="2"/>
        <v>30.773465346534653</v>
      </c>
      <c r="K12" s="42">
        <f t="shared" si="2"/>
        <v>30.883960396039605</v>
      </c>
      <c r="L12" s="42">
        <f t="shared" si="2"/>
        <v>30.994455445544556</v>
      </c>
      <c r="M12" s="42">
        <f t="shared" si="2"/>
        <v>31.104950495049504</v>
      </c>
      <c r="N12" s="42">
        <f t="shared" si="2"/>
        <v>31.215445544554456</v>
      </c>
      <c r="O12" s="42">
        <f t="shared" si="2"/>
        <v>31.325940594059407</v>
      </c>
      <c r="P12" s="42">
        <f t="shared" si="2"/>
        <v>31.436435643564359</v>
      </c>
      <c r="Q12" s="42">
        <f t="shared" si="2"/>
        <v>31.546930693069307</v>
      </c>
      <c r="R12" s="42">
        <f t="shared" si="2"/>
        <v>31.657425742574258</v>
      </c>
    </row>
    <row r="13" spans="1:18" x14ac:dyDescent="0.2">
      <c r="B13" s="43">
        <f t="shared" si="3"/>
        <v>25</v>
      </c>
      <c r="C13" s="42">
        <f t="shared" si="1"/>
        <v>25</v>
      </c>
      <c r="D13" s="42">
        <f t="shared" si="2"/>
        <v>25.092079207920793</v>
      </c>
      <c r="E13" s="42">
        <f t="shared" si="2"/>
        <v>25.184158415841583</v>
      </c>
      <c r="F13" s="42">
        <f t="shared" si="2"/>
        <v>25.276237623762377</v>
      </c>
      <c r="G13" s="42">
        <f t="shared" si="2"/>
        <v>25.368316831683167</v>
      </c>
      <c r="H13" s="42">
        <f t="shared" si="2"/>
        <v>25.46039603960396</v>
      </c>
      <c r="I13" s="42">
        <f t="shared" si="2"/>
        <v>25.552475247524754</v>
      </c>
      <c r="J13" s="42">
        <f t="shared" si="2"/>
        <v>25.644554455445544</v>
      </c>
      <c r="K13" s="42">
        <f t="shared" si="2"/>
        <v>25.736633663366337</v>
      </c>
      <c r="L13" s="42">
        <f t="shared" si="2"/>
        <v>25.828712871287127</v>
      </c>
      <c r="M13" s="42">
        <f t="shared" si="2"/>
        <v>25.920792079207921</v>
      </c>
      <c r="N13" s="42">
        <f t="shared" si="2"/>
        <v>26.012871287128711</v>
      </c>
      <c r="O13" s="42">
        <f t="shared" si="2"/>
        <v>26.104950495049504</v>
      </c>
      <c r="P13" s="42">
        <f t="shared" si="2"/>
        <v>26.197029702970298</v>
      </c>
      <c r="Q13" s="42">
        <f t="shared" si="2"/>
        <v>26.289108910891088</v>
      </c>
      <c r="R13" s="42">
        <f t="shared" si="2"/>
        <v>26.381188118811881</v>
      </c>
    </row>
    <row r="14" spans="1:18" x14ac:dyDescent="0.2">
      <c r="B14" s="43">
        <f t="shared" si="3"/>
        <v>20</v>
      </c>
      <c r="C14" s="42">
        <f t="shared" si="1"/>
        <v>20</v>
      </c>
      <c r="D14" s="42">
        <f t="shared" si="2"/>
        <v>20.073663366336632</v>
      </c>
      <c r="E14" s="42">
        <f t="shared" si="2"/>
        <v>20.147326732673267</v>
      </c>
      <c r="F14" s="42">
        <f t="shared" si="2"/>
        <v>20.220990099009899</v>
      </c>
      <c r="G14" s="42">
        <f t="shared" si="2"/>
        <v>20.294653465346531</v>
      </c>
      <c r="H14" s="42">
        <f t="shared" si="2"/>
        <v>20.368316831683167</v>
      </c>
      <c r="I14" s="42">
        <f t="shared" si="2"/>
        <v>20.441980198019802</v>
      </c>
      <c r="J14" s="42">
        <f t="shared" si="2"/>
        <v>20.515643564356434</v>
      </c>
      <c r="K14" s="42">
        <f t="shared" si="2"/>
        <v>20.589306930693066</v>
      </c>
      <c r="L14" s="42">
        <f t="shared" si="2"/>
        <v>20.662970297029702</v>
      </c>
      <c r="M14" s="42">
        <f t="shared" si="2"/>
        <v>20.736633663366337</v>
      </c>
      <c r="N14" s="42">
        <f t="shared" si="2"/>
        <v>20.810297029702969</v>
      </c>
      <c r="O14" s="42">
        <f t="shared" si="2"/>
        <v>20.883960396039605</v>
      </c>
      <c r="P14" s="42">
        <f t="shared" si="2"/>
        <v>20.95762376237624</v>
      </c>
      <c r="Q14" s="42">
        <f t="shared" si="2"/>
        <v>21.031287128712869</v>
      </c>
      <c r="R14" s="42">
        <f t="shared" si="2"/>
        <v>21.104950495049504</v>
      </c>
    </row>
    <row r="15" spans="1:18" x14ac:dyDescent="0.2">
      <c r="B15" s="43">
        <f t="shared" si="3"/>
        <v>15</v>
      </c>
      <c r="C15" s="42">
        <f t="shared" si="1"/>
        <v>15</v>
      </c>
      <c r="D15" s="42">
        <f t="shared" si="2"/>
        <v>15.055247524752476</v>
      </c>
      <c r="E15" s="42">
        <f t="shared" si="2"/>
        <v>15.11049504950495</v>
      </c>
      <c r="F15" s="42">
        <f t="shared" si="2"/>
        <v>15.165742574257427</v>
      </c>
      <c r="G15" s="42">
        <f t="shared" si="2"/>
        <v>15.220990099009901</v>
      </c>
      <c r="H15" s="42">
        <f t="shared" si="2"/>
        <v>15.276237623762377</v>
      </c>
      <c r="I15" s="42">
        <f t="shared" si="2"/>
        <v>15.331485148514851</v>
      </c>
      <c r="J15" s="42">
        <f t="shared" si="2"/>
        <v>15.386732673267327</v>
      </c>
      <c r="K15" s="42">
        <f t="shared" si="2"/>
        <v>15.441980198019802</v>
      </c>
      <c r="L15" s="42">
        <f t="shared" si="2"/>
        <v>15.497227722772278</v>
      </c>
      <c r="M15" s="42">
        <f t="shared" si="2"/>
        <v>15.552475247524752</v>
      </c>
      <c r="N15" s="42">
        <f t="shared" si="2"/>
        <v>15.607722772277228</v>
      </c>
      <c r="O15" s="42">
        <f t="shared" si="2"/>
        <v>15.662970297029704</v>
      </c>
      <c r="P15" s="42">
        <f t="shared" si="2"/>
        <v>15.718217821782179</v>
      </c>
      <c r="Q15" s="42">
        <f t="shared" si="2"/>
        <v>15.773465346534653</v>
      </c>
      <c r="R15" s="42">
        <f t="shared" si="2"/>
        <v>15.828712871287129</v>
      </c>
    </row>
    <row r="16" spans="1:18" x14ac:dyDescent="0.2">
      <c r="B16" s="43">
        <f t="shared" si="3"/>
        <v>10</v>
      </c>
      <c r="C16" s="42">
        <f t="shared" si="1"/>
        <v>10</v>
      </c>
      <c r="D16" s="42">
        <f t="shared" si="2"/>
        <v>10.036831683168316</v>
      </c>
      <c r="E16" s="42">
        <f t="shared" si="2"/>
        <v>10.073663366336634</v>
      </c>
      <c r="F16" s="42">
        <f t="shared" si="2"/>
        <v>10.11049504950495</v>
      </c>
      <c r="G16" s="42">
        <f t="shared" si="2"/>
        <v>10.147326732673266</v>
      </c>
      <c r="H16" s="42">
        <f t="shared" si="2"/>
        <v>10.184158415841583</v>
      </c>
      <c r="I16" s="42">
        <f t="shared" si="2"/>
        <v>10.220990099009901</v>
      </c>
      <c r="J16" s="42">
        <f t="shared" si="2"/>
        <v>10.257821782178217</v>
      </c>
      <c r="K16" s="42">
        <f t="shared" si="2"/>
        <v>10.294653465346533</v>
      </c>
      <c r="L16" s="42">
        <f t="shared" si="2"/>
        <v>10.331485148514851</v>
      </c>
      <c r="M16" s="42">
        <f t="shared" si="2"/>
        <v>10.368316831683169</v>
      </c>
      <c r="N16" s="42">
        <f t="shared" si="2"/>
        <v>10.405148514851485</v>
      </c>
      <c r="O16" s="42">
        <f t="shared" si="2"/>
        <v>10.441980198019802</v>
      </c>
      <c r="P16" s="42">
        <f t="shared" si="2"/>
        <v>10.47881188118812</v>
      </c>
      <c r="Q16" s="42">
        <f t="shared" si="2"/>
        <v>10.515643564356434</v>
      </c>
      <c r="R16" s="42">
        <f t="shared" si="2"/>
        <v>10.552475247524752</v>
      </c>
    </row>
    <row r="17" spans="1:18" x14ac:dyDescent="0.2">
      <c r="B17" s="43">
        <f t="shared" si="3"/>
        <v>5</v>
      </c>
      <c r="C17" s="42">
        <f t="shared" si="1"/>
        <v>5</v>
      </c>
      <c r="D17" s="42">
        <f t="shared" si="2"/>
        <v>5.018415841584158</v>
      </c>
      <c r="E17" s="42">
        <f t="shared" si="2"/>
        <v>5.0368316831683169</v>
      </c>
      <c r="F17" s="42">
        <f t="shared" si="2"/>
        <v>5.0552475247524749</v>
      </c>
      <c r="G17" s="42">
        <f t="shared" si="2"/>
        <v>5.0736633663366328</v>
      </c>
      <c r="H17" s="42">
        <f t="shared" si="2"/>
        <v>5.0920792079207917</v>
      </c>
      <c r="I17" s="42">
        <f t="shared" si="2"/>
        <v>5.1104950495049506</v>
      </c>
      <c r="J17" s="42">
        <f t="shared" si="2"/>
        <v>5.1289108910891086</v>
      </c>
      <c r="K17" s="42">
        <f t="shared" si="2"/>
        <v>5.1473267326732666</v>
      </c>
      <c r="L17" s="42">
        <f t="shared" si="2"/>
        <v>5.1657425742574254</v>
      </c>
      <c r="M17" s="42">
        <f t="shared" si="2"/>
        <v>5.1841584158415843</v>
      </c>
      <c r="N17" s="42">
        <f t="shared" si="2"/>
        <v>5.2025742574257423</v>
      </c>
      <c r="O17" s="42">
        <f t="shared" si="2"/>
        <v>5.2209900990099012</v>
      </c>
      <c r="P17" s="42">
        <f t="shared" si="2"/>
        <v>5.2394059405940601</v>
      </c>
      <c r="Q17" s="42">
        <f t="shared" si="2"/>
        <v>5.2578217821782172</v>
      </c>
      <c r="R17" s="42">
        <f t="shared" si="2"/>
        <v>5.276237623762376</v>
      </c>
    </row>
    <row r="18" spans="1:18" x14ac:dyDescent="0.2">
      <c r="B18" s="43">
        <f t="shared" si="3"/>
        <v>0</v>
      </c>
      <c r="C18" s="42">
        <f t="shared" si="1"/>
        <v>0</v>
      </c>
      <c r="D18" s="42">
        <f t="shared" si="2"/>
        <v>0</v>
      </c>
      <c r="E18" s="42">
        <f t="shared" si="2"/>
        <v>0</v>
      </c>
      <c r="F18" s="42">
        <f t="shared" si="2"/>
        <v>0</v>
      </c>
      <c r="G18" s="42">
        <f t="shared" si="2"/>
        <v>0</v>
      </c>
      <c r="H18" s="42">
        <f t="shared" si="2"/>
        <v>0</v>
      </c>
      <c r="I18" s="42">
        <f t="shared" si="2"/>
        <v>0</v>
      </c>
      <c r="J18" s="42">
        <f t="shared" si="2"/>
        <v>0</v>
      </c>
      <c r="K18" s="42">
        <f t="shared" si="2"/>
        <v>0</v>
      </c>
      <c r="L18" s="42">
        <f t="shared" si="2"/>
        <v>0</v>
      </c>
      <c r="M18" s="42">
        <f t="shared" si="2"/>
        <v>0</v>
      </c>
      <c r="N18" s="42">
        <f t="shared" si="2"/>
        <v>0</v>
      </c>
      <c r="O18" s="42">
        <f t="shared" si="2"/>
        <v>0</v>
      </c>
      <c r="P18" s="42">
        <f t="shared" si="2"/>
        <v>0</v>
      </c>
      <c r="Q18" s="42">
        <f t="shared" si="2"/>
        <v>0</v>
      </c>
      <c r="R18" s="42">
        <f t="shared" si="2"/>
        <v>0</v>
      </c>
    </row>
    <row r="19" spans="1:18" x14ac:dyDescent="0.2">
      <c r="B19" s="43">
        <f t="shared" si="3"/>
        <v>-5</v>
      </c>
      <c r="C19" s="42">
        <f t="shared" si="1"/>
        <v>-5</v>
      </c>
      <c r="D19" s="42">
        <f t="shared" si="2"/>
        <v>-5.018415841584158</v>
      </c>
      <c r="E19" s="42">
        <f t="shared" si="2"/>
        <v>-5.0368316831683169</v>
      </c>
      <c r="F19" s="42">
        <f t="shared" si="2"/>
        <v>-5.0552475247524749</v>
      </c>
      <c r="G19" s="42">
        <f t="shared" si="2"/>
        <v>-5.0736633663366328</v>
      </c>
      <c r="H19" s="42">
        <f t="shared" si="2"/>
        <v>-5.0920792079207917</v>
      </c>
      <c r="I19" s="42">
        <f t="shared" si="2"/>
        <v>-5.1104950495049506</v>
      </c>
      <c r="J19" s="42">
        <f t="shared" si="2"/>
        <v>-5.1289108910891086</v>
      </c>
      <c r="K19" s="42">
        <f t="shared" si="2"/>
        <v>-5.1473267326732666</v>
      </c>
      <c r="L19" s="42">
        <f t="shared" si="2"/>
        <v>-5.1657425742574254</v>
      </c>
      <c r="M19" s="42">
        <f t="shared" si="2"/>
        <v>-5.1841584158415843</v>
      </c>
      <c r="N19" s="42">
        <f t="shared" si="2"/>
        <v>-5.2025742574257423</v>
      </c>
      <c r="O19" s="42">
        <f t="shared" si="2"/>
        <v>-5.2209900990099012</v>
      </c>
      <c r="P19" s="42">
        <f t="shared" si="2"/>
        <v>-5.2394059405940601</v>
      </c>
      <c r="Q19" s="42">
        <f t="shared" si="2"/>
        <v>-5.2578217821782172</v>
      </c>
      <c r="R19" s="42">
        <f t="shared" si="2"/>
        <v>-5.276237623762376</v>
      </c>
    </row>
    <row r="20" spans="1:18" x14ac:dyDescent="0.2">
      <c r="B20" s="43">
        <f t="shared" si="3"/>
        <v>-10</v>
      </c>
      <c r="C20" s="42">
        <f t="shared" si="1"/>
        <v>-10</v>
      </c>
      <c r="D20" s="42">
        <f t="shared" si="2"/>
        <v>-10.036831683168316</v>
      </c>
      <c r="E20" s="42">
        <f t="shared" si="2"/>
        <v>-10.073663366336634</v>
      </c>
      <c r="F20" s="42">
        <f t="shared" si="2"/>
        <v>-10.11049504950495</v>
      </c>
      <c r="G20" s="42">
        <f t="shared" si="2"/>
        <v>-10.147326732673266</v>
      </c>
      <c r="H20" s="42">
        <f t="shared" si="2"/>
        <v>-10.184158415841583</v>
      </c>
      <c r="I20" s="42">
        <f t="shared" si="2"/>
        <v>-10.220990099009901</v>
      </c>
      <c r="J20" s="42">
        <f t="shared" si="2"/>
        <v>-10.257821782178217</v>
      </c>
      <c r="K20" s="42">
        <f t="shared" si="2"/>
        <v>-10.294653465346533</v>
      </c>
      <c r="L20" s="42">
        <f t="shared" si="2"/>
        <v>-10.331485148514851</v>
      </c>
      <c r="M20" s="42">
        <f t="shared" si="2"/>
        <v>-10.368316831683169</v>
      </c>
      <c r="N20" s="42">
        <f t="shared" si="2"/>
        <v>-10.405148514851485</v>
      </c>
      <c r="O20" s="42">
        <f t="shared" si="2"/>
        <v>-10.441980198019802</v>
      </c>
      <c r="P20" s="42">
        <f t="shared" si="2"/>
        <v>-10.47881188118812</v>
      </c>
      <c r="Q20" s="42">
        <f t="shared" si="2"/>
        <v>-10.515643564356434</v>
      </c>
      <c r="R20" s="42">
        <f t="shared" si="2"/>
        <v>-10.552475247524752</v>
      </c>
    </row>
    <row r="21" spans="1:18" x14ac:dyDescent="0.2">
      <c r="B21" s="43">
        <f t="shared" si="3"/>
        <v>-15</v>
      </c>
      <c r="C21" s="42">
        <f t="shared" si="1"/>
        <v>-15</v>
      </c>
      <c r="D21" s="42">
        <f t="shared" si="2"/>
        <v>-15.055247524752476</v>
      </c>
      <c r="E21" s="42">
        <f t="shared" si="2"/>
        <v>-15.11049504950495</v>
      </c>
      <c r="F21" s="42">
        <f t="shared" si="2"/>
        <v>-15.165742574257427</v>
      </c>
      <c r="G21" s="42">
        <f t="shared" si="2"/>
        <v>-15.220990099009901</v>
      </c>
      <c r="H21" s="42">
        <f t="shared" si="2"/>
        <v>-15.276237623762377</v>
      </c>
      <c r="I21" s="42">
        <f t="shared" si="2"/>
        <v>-15.331485148514851</v>
      </c>
      <c r="J21" s="42">
        <f t="shared" si="2"/>
        <v>-15.386732673267327</v>
      </c>
      <c r="K21" s="42">
        <f t="shared" si="2"/>
        <v>-15.441980198019802</v>
      </c>
      <c r="L21" s="42">
        <f t="shared" si="2"/>
        <v>-15.497227722772278</v>
      </c>
      <c r="M21" s="42">
        <f t="shared" si="2"/>
        <v>-15.552475247524752</v>
      </c>
      <c r="N21" s="42">
        <f t="shared" si="2"/>
        <v>-15.607722772277228</v>
      </c>
      <c r="O21" s="42">
        <f t="shared" si="2"/>
        <v>-15.662970297029704</v>
      </c>
      <c r="P21" s="42">
        <f t="shared" si="2"/>
        <v>-15.718217821782179</v>
      </c>
      <c r="Q21" s="42">
        <f t="shared" si="2"/>
        <v>-15.773465346534653</v>
      </c>
      <c r="R21" s="42">
        <f t="shared" si="2"/>
        <v>-15.828712871287129</v>
      </c>
    </row>
    <row r="22" spans="1:18" x14ac:dyDescent="0.2">
      <c r="B22" s="43">
        <f t="shared" si="3"/>
        <v>-20</v>
      </c>
      <c r="C22" s="42">
        <f t="shared" si="1"/>
        <v>-20</v>
      </c>
      <c r="D22" s="42">
        <f t="shared" si="2"/>
        <v>-20.073663366336632</v>
      </c>
      <c r="E22" s="42">
        <f t="shared" si="2"/>
        <v>-20.147326732673267</v>
      </c>
      <c r="F22" s="42">
        <f t="shared" si="2"/>
        <v>-20.220990099009899</v>
      </c>
      <c r="G22" s="42">
        <f t="shared" si="2"/>
        <v>-20.294653465346531</v>
      </c>
      <c r="H22" s="42">
        <f t="shared" si="2"/>
        <v>-20.368316831683167</v>
      </c>
      <c r="I22" s="42">
        <f t="shared" si="2"/>
        <v>-20.441980198019802</v>
      </c>
      <c r="J22" s="42">
        <f t="shared" si="2"/>
        <v>-20.515643564356434</v>
      </c>
      <c r="K22" s="42">
        <f t="shared" si="2"/>
        <v>-20.589306930693066</v>
      </c>
      <c r="L22" s="42">
        <f t="shared" si="2"/>
        <v>-20.662970297029702</v>
      </c>
      <c r="M22" s="42">
        <f t="shared" si="2"/>
        <v>-20.736633663366337</v>
      </c>
      <c r="N22" s="42">
        <f t="shared" si="2"/>
        <v>-20.810297029702969</v>
      </c>
      <c r="O22" s="42">
        <f t="shared" si="2"/>
        <v>-20.883960396039605</v>
      </c>
      <c r="P22" s="42">
        <f t="shared" si="2"/>
        <v>-20.95762376237624</v>
      </c>
      <c r="Q22" s="42">
        <f t="shared" si="2"/>
        <v>-21.031287128712869</v>
      </c>
      <c r="R22" s="42">
        <f t="shared" si="2"/>
        <v>-21.104950495049504</v>
      </c>
    </row>
    <row r="24" spans="1:18" x14ac:dyDescent="0.2">
      <c r="B24" s="43" t="s">
        <v>17</v>
      </c>
      <c r="F24" s="43"/>
    </row>
    <row r="26" spans="1:18" x14ac:dyDescent="0.2">
      <c r="B26" s="42" t="s">
        <v>15</v>
      </c>
      <c r="C26" s="43">
        <v>0</v>
      </c>
      <c r="D26" s="43">
        <v>25</v>
      </c>
      <c r="E26" s="43"/>
      <c r="F26" s="45"/>
      <c r="L26" s="43"/>
      <c r="M26" s="43"/>
      <c r="N26" s="43"/>
      <c r="O26" s="43"/>
      <c r="P26" s="43"/>
      <c r="Q26" s="43"/>
      <c r="R26" s="43"/>
    </row>
    <row r="27" spans="1:18" x14ac:dyDescent="0.2">
      <c r="C27" s="42" t="s">
        <v>16</v>
      </c>
    </row>
    <row r="28" spans="1:18" x14ac:dyDescent="0.2">
      <c r="A28" s="42" t="s">
        <v>18</v>
      </c>
      <c r="B28" s="42">
        <v>115</v>
      </c>
      <c r="C28" s="42">
        <f t="shared" ref="C28:D53" si="4">($B28-C$26*2.501)/1.01</f>
        <v>113.86138613861387</v>
      </c>
      <c r="D28" s="42">
        <f t="shared" si="4"/>
        <v>51.955445544554458</v>
      </c>
    </row>
    <row r="29" spans="1:18" x14ac:dyDescent="0.2">
      <c r="B29" s="42">
        <f>B28-5</f>
        <v>110</v>
      </c>
      <c r="C29" s="42">
        <f t="shared" si="4"/>
        <v>108.91089108910892</v>
      </c>
      <c r="D29" s="42">
        <f t="shared" si="4"/>
        <v>47.004950495049506</v>
      </c>
    </row>
    <row r="30" spans="1:18" x14ac:dyDescent="0.2">
      <c r="B30" s="42">
        <f t="shared" ref="B30:B52" si="5">B29-5</f>
        <v>105</v>
      </c>
      <c r="C30" s="42">
        <f t="shared" si="4"/>
        <v>103.96039603960396</v>
      </c>
      <c r="D30" s="42">
        <f t="shared" si="4"/>
        <v>42.054455445544555</v>
      </c>
    </row>
    <row r="31" spans="1:18" x14ac:dyDescent="0.2">
      <c r="B31" s="42">
        <f t="shared" si="5"/>
        <v>100</v>
      </c>
      <c r="C31" s="42">
        <f t="shared" si="4"/>
        <v>99.009900990099013</v>
      </c>
      <c r="D31" s="42">
        <f t="shared" si="4"/>
        <v>37.103960396039604</v>
      </c>
    </row>
    <row r="32" spans="1:18" x14ac:dyDescent="0.2">
      <c r="B32" s="42">
        <f t="shared" si="5"/>
        <v>95</v>
      </c>
      <c r="C32" s="42">
        <f t="shared" si="4"/>
        <v>94.059405940594061</v>
      </c>
      <c r="D32" s="42">
        <f t="shared" si="4"/>
        <v>32.153465346534652</v>
      </c>
    </row>
    <row r="33" spans="2:4" x14ac:dyDescent="0.2">
      <c r="B33" s="42">
        <f t="shared" si="5"/>
        <v>90</v>
      </c>
      <c r="C33" s="42">
        <f t="shared" si="4"/>
        <v>89.10891089108911</v>
      </c>
      <c r="D33" s="42">
        <f t="shared" si="4"/>
        <v>27.202970297029704</v>
      </c>
    </row>
    <row r="34" spans="2:4" x14ac:dyDescent="0.2">
      <c r="B34" s="42">
        <f t="shared" si="5"/>
        <v>85</v>
      </c>
      <c r="C34" s="42">
        <f t="shared" si="4"/>
        <v>84.158415841584159</v>
      </c>
      <c r="D34" s="42">
        <f t="shared" si="4"/>
        <v>22.252475247524753</v>
      </c>
    </row>
    <row r="35" spans="2:4" x14ac:dyDescent="0.2">
      <c r="B35" s="42">
        <f t="shared" si="5"/>
        <v>80</v>
      </c>
      <c r="C35" s="42">
        <f t="shared" si="4"/>
        <v>79.207920792079207</v>
      </c>
      <c r="D35" s="42">
        <f t="shared" si="4"/>
        <v>17.301980198019802</v>
      </c>
    </row>
    <row r="36" spans="2:4" x14ac:dyDescent="0.2">
      <c r="B36" s="42">
        <f t="shared" si="5"/>
        <v>75</v>
      </c>
      <c r="C36" s="42">
        <f t="shared" si="4"/>
        <v>74.257425742574256</v>
      </c>
      <c r="D36" s="42">
        <f t="shared" si="4"/>
        <v>12.351485148514852</v>
      </c>
    </row>
    <row r="37" spans="2:4" x14ac:dyDescent="0.2">
      <c r="B37" s="42">
        <f t="shared" si="5"/>
        <v>70</v>
      </c>
      <c r="C37" s="42">
        <f t="shared" si="4"/>
        <v>69.306930693069305</v>
      </c>
      <c r="D37" s="42">
        <f t="shared" si="4"/>
        <v>7.4009900990099027</v>
      </c>
    </row>
    <row r="38" spans="2:4" x14ac:dyDescent="0.2">
      <c r="B38" s="42">
        <f t="shared" si="5"/>
        <v>65</v>
      </c>
      <c r="C38" s="42">
        <f t="shared" si="4"/>
        <v>64.356435643564353</v>
      </c>
      <c r="D38" s="42">
        <f t="shared" si="4"/>
        <v>2.4504950495049518</v>
      </c>
    </row>
    <row r="39" spans="2:4" x14ac:dyDescent="0.2">
      <c r="B39" s="42">
        <f t="shared" si="5"/>
        <v>60</v>
      </c>
      <c r="C39" s="42">
        <f t="shared" si="4"/>
        <v>59.405940594059409</v>
      </c>
      <c r="D39" s="42">
        <f t="shared" si="4"/>
        <v>-2.4999999999999987</v>
      </c>
    </row>
    <row r="40" spans="2:4" x14ac:dyDescent="0.2">
      <c r="B40" s="42">
        <f t="shared" si="5"/>
        <v>55</v>
      </c>
      <c r="C40" s="42">
        <f t="shared" si="4"/>
        <v>54.455445544554458</v>
      </c>
      <c r="D40" s="42">
        <f t="shared" si="4"/>
        <v>-7.4504950495049487</v>
      </c>
    </row>
    <row r="41" spans="2:4" x14ac:dyDescent="0.2">
      <c r="B41" s="42">
        <f t="shared" si="5"/>
        <v>50</v>
      </c>
      <c r="C41" s="42">
        <f t="shared" si="4"/>
        <v>49.504950495049506</v>
      </c>
      <c r="D41" s="42">
        <f t="shared" si="4"/>
        <v>-12.400990099009899</v>
      </c>
    </row>
    <row r="42" spans="2:4" x14ac:dyDescent="0.2">
      <c r="B42" s="42">
        <f t="shared" si="5"/>
        <v>45</v>
      </c>
      <c r="C42" s="42">
        <f t="shared" si="4"/>
        <v>44.554455445544555</v>
      </c>
      <c r="D42" s="42">
        <f t="shared" si="4"/>
        <v>-17.35148514851485</v>
      </c>
    </row>
    <row r="43" spans="2:4" x14ac:dyDescent="0.2">
      <c r="B43" s="42">
        <f t="shared" si="5"/>
        <v>40</v>
      </c>
      <c r="C43" s="42">
        <f t="shared" si="4"/>
        <v>39.603960396039604</v>
      </c>
      <c r="D43" s="42">
        <f t="shared" si="4"/>
        <v>-22.301980198019802</v>
      </c>
    </row>
    <row r="44" spans="2:4" x14ac:dyDescent="0.2">
      <c r="B44" s="42">
        <f t="shared" si="5"/>
        <v>35</v>
      </c>
      <c r="C44" s="42">
        <f t="shared" si="4"/>
        <v>34.653465346534652</v>
      </c>
      <c r="D44" s="42">
        <f t="shared" si="4"/>
        <v>-27.25247524752475</v>
      </c>
    </row>
    <row r="45" spans="2:4" x14ac:dyDescent="0.2">
      <c r="B45" s="42">
        <f t="shared" si="5"/>
        <v>30</v>
      </c>
      <c r="C45" s="42">
        <f t="shared" si="4"/>
        <v>29.702970297029704</v>
      </c>
      <c r="D45" s="42">
        <f t="shared" si="4"/>
        <v>-32.202970297029701</v>
      </c>
    </row>
    <row r="46" spans="2:4" x14ac:dyDescent="0.2">
      <c r="B46" s="42">
        <f t="shared" si="5"/>
        <v>25</v>
      </c>
      <c r="C46" s="42">
        <f t="shared" si="4"/>
        <v>24.752475247524753</v>
      </c>
      <c r="D46" s="42">
        <f t="shared" si="4"/>
        <v>-37.153465346534652</v>
      </c>
    </row>
    <row r="47" spans="2:4" x14ac:dyDescent="0.2">
      <c r="B47" s="42">
        <f t="shared" si="5"/>
        <v>20</v>
      </c>
      <c r="C47" s="42">
        <f t="shared" si="4"/>
        <v>19.801980198019802</v>
      </c>
      <c r="D47" s="42">
        <f t="shared" si="4"/>
        <v>-42.103960396039604</v>
      </c>
    </row>
    <row r="48" spans="2:4" x14ac:dyDescent="0.2">
      <c r="B48" s="42">
        <f t="shared" si="5"/>
        <v>15</v>
      </c>
      <c r="C48" s="42">
        <f t="shared" si="4"/>
        <v>14.851485148514852</v>
      </c>
      <c r="D48" s="42">
        <f t="shared" si="4"/>
        <v>-47.054455445544555</v>
      </c>
    </row>
    <row r="49" spans="2:20" x14ac:dyDescent="0.2">
      <c r="B49" s="42">
        <f t="shared" si="5"/>
        <v>10</v>
      </c>
      <c r="C49" s="42">
        <f t="shared" si="4"/>
        <v>9.9009900990099009</v>
      </c>
      <c r="D49" s="42">
        <f t="shared" si="4"/>
        <v>-52.004950495049506</v>
      </c>
    </row>
    <row r="50" spans="2:20" x14ac:dyDescent="0.2">
      <c r="B50" s="42">
        <f t="shared" si="5"/>
        <v>5</v>
      </c>
      <c r="C50" s="42">
        <f t="shared" si="4"/>
        <v>4.9504950495049505</v>
      </c>
      <c r="D50" s="42">
        <f t="shared" si="4"/>
        <v>-56.955445544554451</v>
      </c>
    </row>
    <row r="51" spans="2:20" x14ac:dyDescent="0.2">
      <c r="B51" s="42">
        <f t="shared" si="5"/>
        <v>0</v>
      </c>
      <c r="C51" s="42">
        <f t="shared" si="4"/>
        <v>0</v>
      </c>
      <c r="D51" s="42">
        <f t="shared" si="4"/>
        <v>-61.905940594059402</v>
      </c>
    </row>
    <row r="52" spans="2:20" x14ac:dyDescent="0.2">
      <c r="B52" s="42">
        <f t="shared" si="5"/>
        <v>-5</v>
      </c>
      <c r="C52" s="42">
        <f t="shared" si="4"/>
        <v>-4.9504950495049505</v>
      </c>
      <c r="D52" s="42">
        <f t="shared" si="4"/>
        <v>-66.856435643564367</v>
      </c>
    </row>
    <row r="53" spans="2:20" x14ac:dyDescent="0.2">
      <c r="B53" s="42">
        <f>B52-5</f>
        <v>-10</v>
      </c>
      <c r="C53" s="42">
        <f t="shared" si="4"/>
        <v>-9.9009900990099009</v>
      </c>
      <c r="D53" s="42">
        <f t="shared" si="4"/>
        <v>-71.806930693069319</v>
      </c>
    </row>
    <row r="54" spans="2:20" x14ac:dyDescent="0.2">
      <c r="B54" s="42">
        <f>B53-5</f>
        <v>-15</v>
      </c>
      <c r="C54" s="42">
        <f>($B54-C$26*2.501)/1.01</f>
        <v>-14.851485148514852</v>
      </c>
      <c r="D54" s="42">
        <f>($B54-D$26*2.501)/1.01</f>
        <v>-76.757425742574256</v>
      </c>
    </row>
    <row r="55" spans="2:20" x14ac:dyDescent="0.2">
      <c r="B55" s="42">
        <f>B54-5</f>
        <v>-20</v>
      </c>
      <c r="C55" s="42">
        <f>($B55-C$26*2.501)/1.01</f>
        <v>-19.801980198019802</v>
      </c>
      <c r="D55" s="42">
        <f>($B55-D$26*2.501)/1.01</f>
        <v>-81.707920792079207</v>
      </c>
    </row>
    <row r="57" spans="2:20" x14ac:dyDescent="0.2">
      <c r="B57" s="43" t="s">
        <v>20</v>
      </c>
    </row>
    <row r="59" spans="2:20" x14ac:dyDescent="0.2">
      <c r="B59" s="43" t="s">
        <v>19</v>
      </c>
      <c r="C59" s="43" t="s">
        <v>0</v>
      </c>
      <c r="D59" s="42">
        <v>-20</v>
      </c>
      <c r="E59" s="42">
        <f>D59+5</f>
        <v>-15</v>
      </c>
      <c r="F59" s="42">
        <f t="shared" ref="F59:T59" si="6">E59+5</f>
        <v>-10</v>
      </c>
      <c r="G59" s="42">
        <f t="shared" si="6"/>
        <v>-5</v>
      </c>
      <c r="H59" s="42">
        <f t="shared" si="6"/>
        <v>0</v>
      </c>
      <c r="I59" s="42">
        <f t="shared" si="6"/>
        <v>5</v>
      </c>
      <c r="J59" s="42">
        <f t="shared" si="6"/>
        <v>10</v>
      </c>
      <c r="K59" s="42">
        <f t="shared" si="6"/>
        <v>15</v>
      </c>
      <c r="L59" s="42">
        <f t="shared" si="6"/>
        <v>20</v>
      </c>
      <c r="M59" s="42">
        <f t="shared" si="6"/>
        <v>25</v>
      </c>
      <c r="N59" s="42">
        <f t="shared" si="6"/>
        <v>30</v>
      </c>
      <c r="O59" s="42">
        <f t="shared" si="6"/>
        <v>35</v>
      </c>
      <c r="P59" s="42">
        <f t="shared" si="6"/>
        <v>40</v>
      </c>
      <c r="Q59" s="42">
        <f t="shared" si="6"/>
        <v>45</v>
      </c>
      <c r="R59" s="42">
        <f t="shared" si="6"/>
        <v>50</v>
      </c>
      <c r="S59" s="42">
        <f t="shared" si="6"/>
        <v>55</v>
      </c>
      <c r="T59" s="42">
        <f t="shared" si="6"/>
        <v>60</v>
      </c>
    </row>
    <row r="60" spans="2:20" x14ac:dyDescent="0.2">
      <c r="C60" s="43" t="s">
        <v>9</v>
      </c>
      <c r="D60" s="46">
        <f>IF(D59&lt;-50,#N/A,IF(D59&lt;0,EXP((1738.4+28.74*D59)/(271+D59)),IF(D59&lt;=100,EXP((1500.3+23.5*D59)/(234+D59)),#N/A)))</f>
        <v>103.116206808223</v>
      </c>
      <c r="E60" s="46">
        <f t="shared" ref="E60:T60" si="7">IF(E59&lt;-50,#N/A,IF(E59&lt;0,EXP((1738.4+28.74*E59)/(271+E59)),IF(E59&lt;=100,EXP((1500.3+23.5*E59)/(234+E59)),#N/A)))</f>
        <v>165.11473980753547</v>
      </c>
      <c r="F60" s="46">
        <f t="shared" si="7"/>
        <v>259.66360676683718</v>
      </c>
      <c r="G60" s="46">
        <f t="shared" si="7"/>
        <v>401.4619591023237</v>
      </c>
      <c r="H60" s="46">
        <f t="shared" si="7"/>
        <v>608.82962187913188</v>
      </c>
      <c r="I60" s="46">
        <f t="shared" si="7"/>
        <v>870.47379633834862</v>
      </c>
      <c r="J60" s="46">
        <f t="shared" si="7"/>
        <v>1226.4575420070021</v>
      </c>
      <c r="K60" s="46">
        <f t="shared" si="7"/>
        <v>1704.3922173795506</v>
      </c>
      <c r="L60" s="46">
        <f t="shared" si="7"/>
        <v>2338.0829353370973</v>
      </c>
      <c r="M60" s="46">
        <f t="shared" si="7"/>
        <v>3168.4692411126584</v>
      </c>
      <c r="N60" s="46">
        <f t="shared" si="7"/>
        <v>4244.6264231737514</v>
      </c>
      <c r="O60" s="46">
        <f t="shared" si="7"/>
        <v>5624.8200638844883</v>
      </c>
      <c r="P60" s="46">
        <f t="shared" si="7"/>
        <v>7377.6052979273136</v>
      </c>
      <c r="Q60" s="46">
        <f t="shared" si="7"/>
        <v>9582.9612956838246</v>
      </c>
      <c r="R60" s="46">
        <f t="shared" si="7"/>
        <v>12333.450742008006</v>
      </c>
      <c r="S60" s="46">
        <f t="shared" si="7"/>
        <v>15735.393546251327</v>
      </c>
      <c r="T60" s="46">
        <f t="shared" si="7"/>
        <v>19910.043698087749</v>
      </c>
    </row>
    <row r="61" spans="2:20" x14ac:dyDescent="0.2">
      <c r="B61" s="45">
        <v>1</v>
      </c>
      <c r="C61" s="43" t="s">
        <v>2</v>
      </c>
      <c r="D61" s="42">
        <f>0.6222*$B61*D$60/(Tlak_vzduchu-$B61*D$60/1000)</f>
        <v>0.67967184188662499</v>
      </c>
      <c r="E61" s="42">
        <f t="shared" ref="E61:T79" si="8">0.6222*$B61*E$60/(Tlak_vzduchu-$B61*E$60/1000)</f>
        <v>1.0890392332050733</v>
      </c>
      <c r="F61" s="42">
        <f t="shared" si="8"/>
        <v>1.7143688394338854</v>
      </c>
      <c r="G61" s="42">
        <f t="shared" si="8"/>
        <v>2.6545537917379836</v>
      </c>
      <c r="H61" s="42">
        <f t="shared" si="8"/>
        <v>4.0346050561264439</v>
      </c>
      <c r="I61" s="42">
        <f t="shared" si="8"/>
        <v>5.7845940062071923</v>
      </c>
      <c r="J61" s="42">
        <f t="shared" si="8"/>
        <v>8.181332696572877</v>
      </c>
      <c r="K61" s="42">
        <f t="shared" si="8"/>
        <v>11.428049915226383</v>
      </c>
      <c r="L61" s="42">
        <f t="shared" si="8"/>
        <v>15.784775845602827</v>
      </c>
      <c r="M61" s="42">
        <f t="shared" si="8"/>
        <v>21.585333623990088</v>
      </c>
      <c r="N61" s="42">
        <f t="shared" si="8"/>
        <v>29.261488328455677</v>
      </c>
      <c r="O61" s="42">
        <f t="shared" si="8"/>
        <v>39.378407405358814</v>
      </c>
      <c r="P61" s="42">
        <f t="shared" si="8"/>
        <v>52.688473865619855</v>
      </c>
      <c r="Q61" s="42">
        <f t="shared" si="8"/>
        <v>70.215808383711476</v>
      </c>
      <c r="R61" s="42">
        <f t="shared" si="8"/>
        <v>93.394125967033673</v>
      </c>
      <c r="S61" s="42">
        <f t="shared" si="8"/>
        <v>124.30153980679998</v>
      </c>
      <c r="T61" s="42">
        <f t="shared" si="8"/>
        <v>166.08173275780035</v>
      </c>
    </row>
    <row r="62" spans="2:20" x14ac:dyDescent="0.2">
      <c r="C62" s="43" t="s">
        <v>8</v>
      </c>
      <c r="D62" s="42">
        <f t="shared" ref="D62:T62" si="9">(1.01*D$59+0.00186*D$59*D61)/1.01</f>
        <v>-20.025033457938793</v>
      </c>
      <c r="E62" s="42">
        <f t="shared" si="9"/>
        <v>-15.030083360996457</v>
      </c>
      <c r="F62" s="42">
        <f t="shared" si="9"/>
        <v>-10.03157154496383</v>
      </c>
      <c r="G62" s="42">
        <f t="shared" si="9"/>
        <v>-5.0244429210526365</v>
      </c>
      <c r="H62" s="42">
        <f t="shared" si="9"/>
        <v>0</v>
      </c>
      <c r="I62" s="42">
        <f t="shared" si="9"/>
        <v>5.0532640834234916</v>
      </c>
      <c r="J62" s="42">
        <f t="shared" si="9"/>
        <v>10.150666126887382</v>
      </c>
      <c r="K62" s="42">
        <f t="shared" si="9"/>
        <v>15.315685735281996</v>
      </c>
      <c r="L62" s="42">
        <f t="shared" si="9"/>
        <v>20.581379862828143</v>
      </c>
      <c r="M62" s="42">
        <f t="shared" si="9"/>
        <v>25.993780211401521</v>
      </c>
      <c r="N62" s="42">
        <f t="shared" si="9"/>
        <v>31.616624800720622</v>
      </c>
      <c r="O62" s="42">
        <f t="shared" si="9"/>
        <v>37.538152794147386</v>
      </c>
      <c r="P62" s="42">
        <f t="shared" si="9"/>
        <v>43.881210352081304</v>
      </c>
      <c r="Q62" s="42">
        <f t="shared" si="9"/>
        <v>50.818874417541238</v>
      </c>
      <c r="R62" s="42">
        <f t="shared" si="9"/>
        <v>58.599657143499144</v>
      </c>
      <c r="S62" s="42">
        <f t="shared" si="9"/>
        <v>67.59014606161945</v>
      </c>
      <c r="T62" s="42">
        <f t="shared" si="9"/>
        <v>78.351209282941113</v>
      </c>
    </row>
    <row r="63" spans="2:20" x14ac:dyDescent="0.2">
      <c r="B63" s="45">
        <f>B61-0.1</f>
        <v>0.9</v>
      </c>
      <c r="C63" s="42" t="s">
        <v>2</v>
      </c>
      <c r="F63" s="42">
        <f t="shared" si="8"/>
        <v>1.5425069433017784</v>
      </c>
      <c r="G63" s="42">
        <f t="shared" si="8"/>
        <v>2.3880795624103173</v>
      </c>
      <c r="H63" s="42">
        <f t="shared" si="8"/>
        <v>3.6287914903250349</v>
      </c>
      <c r="I63" s="42">
        <f t="shared" si="8"/>
        <v>5.2012989574389827</v>
      </c>
      <c r="J63" s="42">
        <f t="shared" si="8"/>
        <v>7.353530240578003</v>
      </c>
      <c r="K63" s="42">
        <f t="shared" si="8"/>
        <v>10.266388478833093</v>
      </c>
      <c r="L63" s="42">
        <f t="shared" si="8"/>
        <v>14.170349083296838</v>
      </c>
      <c r="M63" s="42">
        <f t="shared" si="8"/>
        <v>19.359637895340587</v>
      </c>
      <c r="N63" s="42">
        <f t="shared" si="8"/>
        <v>26.212066580100899</v>
      </c>
      <c r="O63" s="42">
        <f t="shared" si="8"/>
        <v>35.217677552873781</v>
      </c>
      <c r="P63" s="42">
        <f t="shared" si="8"/>
        <v>47.021444519767698</v>
      </c>
      <c r="Q63" s="42">
        <f t="shared" si="8"/>
        <v>62.489033396346251</v>
      </c>
      <c r="R63" s="42">
        <f t="shared" si="8"/>
        <v>82.811684616771814</v>
      </c>
      <c r="S63" s="42">
        <f t="shared" si="8"/>
        <v>109.68022213317471</v>
      </c>
      <c r="T63" s="42">
        <f t="shared" si="8"/>
        <v>145.58744330524235</v>
      </c>
    </row>
    <row r="64" spans="2:20" x14ac:dyDescent="0.2">
      <c r="C64" s="42" t="s">
        <v>8</v>
      </c>
      <c r="F64" s="42">
        <f t="shared" ref="F64:T64" si="10">(1.01*F$59+0.00186*F$59*F63)/1.01</f>
        <v>-10.028406563510309</v>
      </c>
      <c r="G64" s="42">
        <f t="shared" si="10"/>
        <v>-5.0219892474558572</v>
      </c>
      <c r="H64" s="42">
        <f t="shared" si="10"/>
        <v>0</v>
      </c>
      <c r="I64" s="42">
        <f t="shared" si="10"/>
        <v>5.0478931488160219</v>
      </c>
      <c r="J64" s="42">
        <f t="shared" si="10"/>
        <v>10.135421447994803</v>
      </c>
      <c r="K64" s="42">
        <f t="shared" si="10"/>
        <v>15.283596275801429</v>
      </c>
      <c r="L64" s="42">
        <f t="shared" si="10"/>
        <v>20.521917807820437</v>
      </c>
      <c r="M64" s="42">
        <f t="shared" si="10"/>
        <v>25.891310061518155</v>
      </c>
      <c r="N64" s="42">
        <f t="shared" si="10"/>
        <v>31.448151797197653</v>
      </c>
      <c r="O64" s="42">
        <f t="shared" si="10"/>
        <v>37.269971097714937</v>
      </c>
      <c r="P64" s="42">
        <f t="shared" si="10"/>
        <v>43.463757893337338</v>
      </c>
      <c r="Q64" s="42">
        <f t="shared" si="10"/>
        <v>50.178546628984336</v>
      </c>
      <c r="R64" s="42">
        <f t="shared" si="10"/>
        <v>57.625234326098791</v>
      </c>
      <c r="S64" s="42">
        <f t="shared" si="10"/>
        <v>66.109194776459177</v>
      </c>
      <c r="T64" s="42">
        <f t="shared" si="10"/>
        <v>76.086691755311932</v>
      </c>
    </row>
    <row r="65" spans="2:20" x14ac:dyDescent="0.2">
      <c r="B65" s="45">
        <f>B63-0.1</f>
        <v>0.8</v>
      </c>
      <c r="C65" s="42" t="s">
        <v>2</v>
      </c>
      <c r="D65" s="42">
        <f>0.6222*$B65*D$60/(Tlak_vzduchu-$B65*D$60/1000)</f>
        <v>0.54361870709080673</v>
      </c>
      <c r="E65" s="42">
        <f t="shared" si="8"/>
        <v>0.87092650930983906</v>
      </c>
      <c r="F65" s="42">
        <f t="shared" si="8"/>
        <v>1.3707397023948227</v>
      </c>
      <c r="G65" s="42">
        <f t="shared" si="8"/>
        <v>2.1218325163374527</v>
      </c>
      <c r="H65" s="42">
        <f t="shared" si="8"/>
        <v>3.2235035358480615</v>
      </c>
      <c r="I65" s="42">
        <f t="shared" si="8"/>
        <v>4.6190864746746723</v>
      </c>
      <c r="J65" s="42">
        <f t="shared" si="8"/>
        <v>6.5278990361319016</v>
      </c>
      <c r="K65" s="42">
        <f t="shared" si="8"/>
        <v>9.1089787096255499</v>
      </c>
      <c r="L65" s="42">
        <f t="shared" si="8"/>
        <v>12.56407234294279</v>
      </c>
      <c r="M65" s="42">
        <f t="shared" si="8"/>
        <v>17.149278503847722</v>
      </c>
      <c r="N65" s="42">
        <f t="shared" si="8"/>
        <v>23.19105985999445</v>
      </c>
      <c r="O65" s="42">
        <f t="shared" si="8"/>
        <v>31.108955076661282</v>
      </c>
      <c r="P65" s="42">
        <f t="shared" si="8"/>
        <v>41.448794607937302</v>
      </c>
      <c r="Q65" s="42">
        <f t="shared" si="8"/>
        <v>54.932803818225828</v>
      </c>
      <c r="R65" s="42">
        <f t="shared" si="8"/>
        <v>72.537675320012951</v>
      </c>
      <c r="S65" s="42">
        <f t="shared" si="8"/>
        <v>95.620661154705758</v>
      </c>
      <c r="T65" s="42">
        <f t="shared" si="8"/>
        <v>126.13179963008344</v>
      </c>
    </row>
    <row r="66" spans="2:20" x14ac:dyDescent="0.2">
      <c r="C66" s="42" t="s">
        <v>8</v>
      </c>
      <c r="D66" s="42">
        <f t="shared" ref="D66:T66" si="11">(1.01*D$59+0.00186*D$59*D65)/1.01</f>
        <v>-20.020022391983936</v>
      </c>
      <c r="E66" s="42">
        <f t="shared" si="11"/>
        <v>-15.02405826694034</v>
      </c>
      <c r="F66" s="42">
        <f t="shared" si="11"/>
        <v>-10.025243325212418</v>
      </c>
      <c r="G66" s="42">
        <f t="shared" si="11"/>
        <v>-5.019537665744493</v>
      </c>
      <c r="H66" s="42">
        <f t="shared" si="11"/>
        <v>0</v>
      </c>
      <c r="I66" s="42">
        <f t="shared" si="11"/>
        <v>5.042532182390568</v>
      </c>
      <c r="J66" s="42">
        <f t="shared" si="11"/>
        <v>10.120216754526785</v>
      </c>
      <c r="K66" s="42">
        <f t="shared" si="11"/>
        <v>15.251624263364905</v>
      </c>
      <c r="L66" s="42">
        <f t="shared" si="11"/>
        <v>20.46275593183908</v>
      </c>
      <c r="M66" s="42">
        <f t="shared" si="11"/>
        <v>25.789545990523681</v>
      </c>
      <c r="N66" s="42">
        <f t="shared" si="11"/>
        <v>31.281248653651179</v>
      </c>
      <c r="O66" s="42">
        <f t="shared" si="11"/>
        <v>37.005141559891733</v>
      </c>
      <c r="P66" s="42">
        <f t="shared" si="11"/>
        <v>43.053257741416374</v>
      </c>
      <c r="Q66" s="42">
        <f t="shared" si="11"/>
        <v>49.552352158005448</v>
      </c>
      <c r="R66" s="42">
        <f t="shared" si="11"/>
        <v>56.679211687882379</v>
      </c>
      <c r="S66" s="42">
        <f t="shared" si="11"/>
        <v>64.685142213986538</v>
      </c>
      <c r="T66" s="42">
        <f t="shared" si="11"/>
        <v>73.936939444274572</v>
      </c>
    </row>
    <row r="67" spans="2:20" x14ac:dyDescent="0.2">
      <c r="B67" s="45">
        <f>B65-0.1</f>
        <v>0.70000000000000007</v>
      </c>
      <c r="C67" s="42" t="s">
        <v>2</v>
      </c>
      <c r="F67" s="42">
        <f t="shared" si="8"/>
        <v>1.199067038535611</v>
      </c>
      <c r="G67" s="42">
        <f t="shared" si="8"/>
        <v>1.8558123631147272</v>
      </c>
      <c r="H67" s="42">
        <f t="shared" si="8"/>
        <v>2.8187401721956244</v>
      </c>
      <c r="I67" s="42">
        <f t="shared" si="8"/>
        <v>4.037953546927052</v>
      </c>
      <c r="J67" s="42">
        <f t="shared" si="8"/>
        <v>5.7044305519260865</v>
      </c>
      <c r="K67" s="42">
        <f t="shared" si="8"/>
        <v>7.9557973086628939</v>
      </c>
      <c r="L67" s="42">
        <f t="shared" si="8"/>
        <v>10.965884064962339</v>
      </c>
      <c r="M67" s="42">
        <f t="shared" si="8"/>
        <v>14.954097479349752</v>
      </c>
      <c r="N67" s="42">
        <f t="shared" si="8"/>
        <v>20.198072845908442</v>
      </c>
      <c r="O67" s="42">
        <f t="shared" si="8"/>
        <v>27.051270927523234</v>
      </c>
      <c r="P67" s="42">
        <f t="shared" si="8"/>
        <v>35.968185889994302</v>
      </c>
      <c r="Q67" s="42">
        <f t="shared" si="8"/>
        <v>47.541534864586765</v>
      </c>
      <c r="R67" s="42">
        <f t="shared" si="8"/>
        <v>62.558807581174477</v>
      </c>
      <c r="S67" s="42">
        <f t="shared" si="8"/>
        <v>82.091092702128677</v>
      </c>
      <c r="T67" s="42">
        <f t="shared" si="8"/>
        <v>107.63779557316913</v>
      </c>
    </row>
    <row r="68" spans="2:20" x14ac:dyDescent="0.2">
      <c r="C68" s="42" t="s">
        <v>8</v>
      </c>
      <c r="F68" s="42">
        <f t="shared" ref="F68:T68" si="12">(1.01*F$59+0.00186*F$59*F67)/1.01</f>
        <v>-10.022081828630457</v>
      </c>
      <c r="G68" s="42">
        <f t="shared" si="12"/>
        <v>-5.0170881732445221</v>
      </c>
      <c r="H68" s="42">
        <f t="shared" si="12"/>
        <v>0</v>
      </c>
      <c r="I68" s="42">
        <f t="shared" si="12"/>
        <v>5.0371811564221991</v>
      </c>
      <c r="J68" s="42">
        <f t="shared" si="12"/>
        <v>10.105051889372103</v>
      </c>
      <c r="K68" s="42">
        <f t="shared" si="12"/>
        <v>15.219769054368015</v>
      </c>
      <c r="L68" s="42">
        <f t="shared" si="12"/>
        <v>20.403891967541185</v>
      </c>
      <c r="M68" s="42">
        <f t="shared" si="12"/>
        <v>25.688480725534422</v>
      </c>
      <c r="N68" s="42">
        <f t="shared" si="12"/>
        <v>31.115893529506625</v>
      </c>
      <c r="O68" s="42">
        <f t="shared" si="12"/>
        <v>36.743601720179967</v>
      </c>
      <c r="P68" s="42">
        <f t="shared" si="12"/>
        <v>42.649537653678792</v>
      </c>
      <c r="Q68" s="42">
        <f t="shared" si="12"/>
        <v>48.939828186302883</v>
      </c>
      <c r="R68" s="42">
        <f t="shared" si="12"/>
        <v>55.760365450543794</v>
      </c>
      <c r="S68" s="42">
        <f t="shared" si="12"/>
        <v>63.314771072700751</v>
      </c>
      <c r="T68" s="42">
        <f t="shared" si="12"/>
        <v>71.893443550461072</v>
      </c>
    </row>
    <row r="69" spans="2:20" x14ac:dyDescent="0.2">
      <c r="B69" s="45">
        <f>B67-0.1</f>
        <v>0.60000000000000009</v>
      </c>
      <c r="C69" s="42" t="s">
        <v>2</v>
      </c>
      <c r="D69" s="42">
        <f>0.6222*$B69*D$60/(Tlak_vzduchu-$B69*D$60/1000)</f>
        <v>0.40762499440825367</v>
      </c>
      <c r="E69" s="42">
        <f t="shared" si="8"/>
        <v>0.6529663840180876</v>
      </c>
      <c r="F69" s="42">
        <f t="shared" si="8"/>
        <v>1.0274888736328025</v>
      </c>
      <c r="G69" s="42">
        <f t="shared" si="8"/>
        <v>1.5900188128322221</v>
      </c>
      <c r="H69" s="42">
        <f t="shared" si="8"/>
        <v>2.4145003815079136</v>
      </c>
      <c r="I69" s="42">
        <f t="shared" si="8"/>
        <v>3.4578971743646818</v>
      </c>
      <c r="J69" s="42">
        <f t="shared" si="8"/>
        <v>4.8831163012886956</v>
      </c>
      <c r="K69" s="42">
        <f t="shared" si="8"/>
        <v>6.8068211469300222</v>
      </c>
      <c r="L69" s="42">
        <f t="shared" si="8"/>
        <v>9.3757233081908922</v>
      </c>
      <c r="M69" s="42">
        <f t="shared" si="8"/>
        <v>12.773939013799161</v>
      </c>
      <c r="N69" s="42">
        <f t="shared" si="8"/>
        <v>17.232717514957368</v>
      </c>
      <c r="O69" s="42">
        <f t="shared" si="8"/>
        <v>23.043679982608502</v>
      </c>
      <c r="P69" s="42">
        <f t="shared" si="8"/>
        <v>30.577356732686056</v>
      </c>
      <c r="Q69" s="42">
        <f t="shared" si="8"/>
        <v>40.309882961444735</v>
      </c>
      <c r="R69" s="42">
        <f t="shared" si="8"/>
        <v>52.862543684490774</v>
      </c>
      <c r="S69" s="42">
        <f t="shared" si="8"/>
        <v>69.06210308333759</v>
      </c>
      <c r="T69" s="42">
        <f t="shared" si="8"/>
        <v>90.035853792752661</v>
      </c>
    </row>
    <row r="70" spans="2:20" x14ac:dyDescent="0.2">
      <c r="C70" s="42" t="s">
        <v>8</v>
      </c>
      <c r="D70" s="42">
        <f t="shared" ref="D70:T70" si="13">(1.01*D$59+0.00186*D$59*D69)/1.01</f>
        <v>-20.015013514645531</v>
      </c>
      <c r="E70" s="42">
        <f t="shared" si="13"/>
        <v>-15.018037388231788</v>
      </c>
      <c r="F70" s="42">
        <f t="shared" si="13"/>
        <v>-10.018922072326307</v>
      </c>
      <c r="G70" s="42">
        <f t="shared" si="13"/>
        <v>-5.0146407672864743</v>
      </c>
      <c r="H70" s="42">
        <f t="shared" si="13"/>
        <v>0</v>
      </c>
      <c r="I70" s="42">
        <f t="shared" si="13"/>
        <v>5.0318400432887049</v>
      </c>
      <c r="J70" s="42">
        <f t="shared" si="13"/>
        <v>10.089926696241555</v>
      </c>
      <c r="K70" s="42">
        <f t="shared" si="13"/>
        <v>15.188030009900345</v>
      </c>
      <c r="L70" s="42">
        <f t="shared" si="13"/>
        <v>20.345323670361086</v>
      </c>
      <c r="M70" s="42">
        <f t="shared" si="13"/>
        <v>25.588107093209565</v>
      </c>
      <c r="N70" s="42">
        <f t="shared" si="13"/>
        <v>30.952064987460023</v>
      </c>
      <c r="O70" s="42">
        <f t="shared" si="13"/>
        <v>36.485290660265164</v>
      </c>
      <c r="P70" s="42">
        <f t="shared" si="13"/>
        <v>42.252431030605784</v>
      </c>
      <c r="Q70" s="42">
        <f t="shared" si="13"/>
        <v>48.340531885022699</v>
      </c>
      <c r="R70" s="42">
        <f t="shared" si="13"/>
        <v>54.867541151146177</v>
      </c>
      <c r="S70" s="42">
        <f t="shared" si="13"/>
        <v>61.995102124183596</v>
      </c>
      <c r="T70" s="42">
        <f t="shared" si="13"/>
        <v>69.948516122050691</v>
      </c>
    </row>
    <row r="71" spans="2:20" x14ac:dyDescent="0.2">
      <c r="B71" s="45">
        <f>B69-0.1</f>
        <v>0.50000000000000011</v>
      </c>
      <c r="C71" s="42" t="s">
        <v>2</v>
      </c>
      <c r="F71" s="42">
        <f t="shared" si="8"/>
        <v>0.85600512968100539</v>
      </c>
      <c r="G71" s="42">
        <f t="shared" si="8"/>
        <v>1.3244515760737172</v>
      </c>
      <c r="H71" s="42">
        <f t="shared" si="8"/>
        <v>2.0107831485566803</v>
      </c>
      <c r="I71" s="42">
        <f t="shared" si="8"/>
        <v>2.8789143682602814</v>
      </c>
      <c r="J71" s="42">
        <f t="shared" si="8"/>
        <v>4.0639478418929604</v>
      </c>
      <c r="K71" s="42">
        <f t="shared" si="8"/>
        <v>5.6620272637912876</v>
      </c>
      <c r="L71" s="42">
        <f t="shared" si="8"/>
        <v>7.7935297421315459</v>
      </c>
      <c r="M71" s="42">
        <f t="shared" si="8"/>
        <v>10.608649424398145</v>
      </c>
      <c r="N71" s="42">
        <f t="shared" si="8"/>
        <v>14.294612975900844</v>
      </c>
      <c r="O71" s="42">
        <f t="shared" si="8"/>
        <v>19.085260311500072</v>
      </c>
      <c r="P71" s="42">
        <f t="shared" si="8"/>
        <v>25.274118997826371</v>
      </c>
      <c r="Q71" s="42">
        <f t="shared" si="8"/>
        <v>33.2327328621272</v>
      </c>
      <c r="R71" s="42">
        <f t="shared" si="8"/>
        <v>43.437046140924913</v>
      </c>
      <c r="S71" s="42">
        <f t="shared" si="8"/>
        <v>56.506415619805608</v>
      </c>
      <c r="T71" s="42">
        <f t="shared" si="8"/>
        <v>73.262951034366679</v>
      </c>
    </row>
    <row r="72" spans="2:20" x14ac:dyDescent="0.2">
      <c r="C72" s="42" t="s">
        <v>8</v>
      </c>
      <c r="F72" s="42">
        <f t="shared" ref="F72:T72" si="14">(1.01*F$59+0.00186*F$59*F71)/1.01</f>
        <v>-10.015764054863432</v>
      </c>
      <c r="G72" s="42">
        <f t="shared" si="14"/>
        <v>-5.0121954452054309</v>
      </c>
      <c r="H72" s="42">
        <f t="shared" si="14"/>
        <v>0</v>
      </c>
      <c r="I72" s="42">
        <f t="shared" si="14"/>
        <v>5.0265088154701196</v>
      </c>
      <c r="J72" s="42">
        <f t="shared" si="14"/>
        <v>10.074841019662582</v>
      </c>
      <c r="K72" s="42">
        <f t="shared" si="14"/>
        <v>15.15640649570275</v>
      </c>
      <c r="L72" s="42">
        <f t="shared" si="14"/>
        <v>20.287048818225042</v>
      </c>
      <c r="M72" s="42">
        <f t="shared" si="14"/>
        <v>25.488418018053974</v>
      </c>
      <c r="N72" s="42">
        <f t="shared" si="14"/>
        <v>30.789741984213137</v>
      </c>
      <c r="O72" s="42">
        <f t="shared" si="14"/>
        <v>36.230148956711538</v>
      </c>
      <c r="P72" s="42">
        <f t="shared" si="14"/>
        <v>41.861776686572554</v>
      </c>
      <c r="Q72" s="42">
        <f t="shared" si="14"/>
        <v>47.754039347089162</v>
      </c>
      <c r="R72" s="42">
        <f t="shared" si="14"/>
        <v>53.999648803075267</v>
      </c>
      <c r="S72" s="42">
        <f t="shared" si="14"/>
        <v>60.723372591986248</v>
      </c>
      <c r="T72" s="42">
        <f t="shared" si="14"/>
        <v>68.095193401421113</v>
      </c>
    </row>
    <row r="73" spans="2:20" x14ac:dyDescent="0.2">
      <c r="B73" s="45">
        <f>B71-0.1</f>
        <v>0.40000000000000013</v>
      </c>
      <c r="C73" s="42" t="s">
        <v>2</v>
      </c>
      <c r="D73" s="42">
        <f>0.6222*$B73*D$60/(Tlak_vzduchu-$B73*D$60/1000)</f>
        <v>0.27169066491795946</v>
      </c>
      <c r="E73" s="42">
        <f t="shared" si="8"/>
        <v>0.43515869724156031</v>
      </c>
      <c r="F73" s="42">
        <f t="shared" si="8"/>
        <v>0.6846157287606579</v>
      </c>
      <c r="G73" s="42">
        <f t="shared" si="8"/>
        <v>1.0591103639156361</v>
      </c>
      <c r="H73" s="42">
        <f t="shared" si="8"/>
        <v>1.6075874607367364</v>
      </c>
      <c r="I73" s="42">
        <f t="shared" si="8"/>
        <v>2.301002150939393</v>
      </c>
      <c r="J73" s="42">
        <f t="shared" si="8"/>
        <v>3.2469167754679309</v>
      </c>
      <c r="K73" s="42">
        <f t="shared" si="8"/>
        <v>4.5213928654610109</v>
      </c>
      <c r="L73" s="42">
        <f t="shared" si="8"/>
        <v>6.2192436393250885</v>
      </c>
      <c r="M73" s="42">
        <f t="shared" si="8"/>
        <v>8.4580771174857539</v>
      </c>
      <c r="N73" s="42">
        <f t="shared" si="8"/>
        <v>11.38338530604838</v>
      </c>
      <c r="O73" s="42">
        <f t="shared" si="8"/>
        <v>15.175112469151824</v>
      </c>
      <c r="P73" s="42">
        <f t="shared" si="8"/>
        <v>20.056355080942424</v>
      </c>
      <c r="Q73" s="42">
        <f t="shared" si="8"/>
        <v>26.305185580831161</v>
      </c>
      <c r="R73" s="42">
        <f t="shared" si="8"/>
        <v>34.271129477061152</v>
      </c>
      <c r="S73" s="42">
        <f t="shared" si="8"/>
        <v>44.398700031379001</v>
      </c>
      <c r="T73" s="42">
        <f t="shared" si="8"/>
        <v>57.261864154498319</v>
      </c>
    </row>
    <row r="74" spans="2:20" x14ac:dyDescent="0.2">
      <c r="C74" s="42" t="s">
        <v>8</v>
      </c>
      <c r="D74" s="42">
        <f t="shared" ref="D74:T74" si="15">(1.01*D$59+0.00186*D$59*D73)/1.01</f>
        <v>-20.010006824490048</v>
      </c>
      <c r="E74" s="42">
        <f t="shared" si="15"/>
        <v>-15.012020720448554</v>
      </c>
      <c r="F74" s="42">
        <f t="shared" si="15"/>
        <v>-10.012607774806879</v>
      </c>
      <c r="G74" s="42">
        <f t="shared" si="15"/>
        <v>-5.0097522043410052</v>
      </c>
      <c r="H74" s="42">
        <f t="shared" si="15"/>
        <v>0</v>
      </c>
      <c r="I74" s="42">
        <f>(1.01*I$59+0.00186*I$59*I73)/1.01</f>
        <v>5.0211874455482537</v>
      </c>
      <c r="J74" s="42">
        <f t="shared" si="15"/>
        <v>10.059794704973962</v>
      </c>
      <c r="K74" s="42">
        <f t="shared" si="15"/>
        <v>15.124897882125111</v>
      </c>
      <c r="L74" s="42">
        <f t="shared" si="15"/>
        <v>20.229065211270193</v>
      </c>
      <c r="M74" s="42">
        <f t="shared" si="15"/>
        <v>25.389406520755532</v>
      </c>
      <c r="N74" s="42">
        <f t="shared" si="15"/>
        <v>30.62890386146287</v>
      </c>
      <c r="O74" s="42">
        <f t="shared" si="15"/>
        <v>35.978118635387908</v>
      </c>
      <c r="P74" s="42">
        <f t="shared" si="15"/>
        <v>41.477418631705063</v>
      </c>
      <c r="Q74" s="42">
        <f t="shared" si="15"/>
        <v>47.179944587243135</v>
      </c>
      <c r="R74" s="42">
        <f t="shared" si="15"/>
        <v>53.155658456798697</v>
      </c>
      <c r="S74" s="42">
        <f t="shared" si="15"/>
        <v>59.497016844762449</v>
      </c>
      <c r="T74" s="42">
        <f t="shared" si="15"/>
        <v>66.327152514497044</v>
      </c>
    </row>
    <row r="75" spans="2:20" x14ac:dyDescent="0.2">
      <c r="B75" s="45">
        <f>B73-0.1</f>
        <v>0.30000000000000016</v>
      </c>
      <c r="C75" s="42" t="s">
        <v>2</v>
      </c>
      <c r="F75" s="42">
        <f t="shared" si="8"/>
        <v>0.51332059303791133</v>
      </c>
      <c r="G75" s="42">
        <f t="shared" si="8"/>
        <v>0.79399488792599981</v>
      </c>
      <c r="H75" s="42">
        <f t="shared" si="8"/>
        <v>1.2049123080574862</v>
      </c>
      <c r="I75" s="42">
        <f t="shared" si="8"/>
        <v>1.7241575557293394</v>
      </c>
      <c r="J75" s="42">
        <f t="shared" si="8"/>
        <v>2.4320147475114751</v>
      </c>
      <c r="K75" s="42">
        <f t="shared" si="8"/>
        <v>3.3848953234906629</v>
      </c>
      <c r="L75" s="42">
        <f t="shared" si="8"/>
        <v>4.6528058678341644</v>
      </c>
      <c r="M75" s="42">
        <f t="shared" si="8"/>
        <v>6.3220725531589315</v>
      </c>
      <c r="N75" s="42">
        <f t="shared" si="8"/>
        <v>8.4986673926196445</v>
      </c>
      <c r="O75" s="42">
        <f t="shared" si="8"/>
        <v>11.312358814535846</v>
      </c>
      <c r="P75" s="42">
        <f t="shared" si="8"/>
        <v>14.922015091963811</v>
      </c>
      <c r="Q75" s="42">
        <f t="shared" si="8"/>
        <v>19.522547083389735</v>
      </c>
      <c r="R75" s="42">
        <f t="shared" si="8"/>
        <v>25.354215953135277</v>
      </c>
      <c r="S75" s="42">
        <f t="shared" si="8"/>
        <v>32.715401866243447</v>
      </c>
      <c r="T75" s="42">
        <f t="shared" si="8"/>
        <v>41.980517887487068</v>
      </c>
    </row>
    <row r="76" spans="2:20" x14ac:dyDescent="0.2">
      <c r="C76" s="42" t="s">
        <v>8</v>
      </c>
      <c r="F76" s="42">
        <f t="shared" ref="F76:T76" si="16">(1.01*F$59+0.00186*F$59*F75)/1.01</f>
        <v>-10.009453230723272</v>
      </c>
      <c r="G76" s="42">
        <f t="shared" si="16"/>
        <v>-5.0073110420373377</v>
      </c>
      <c r="H76" s="42">
        <f t="shared" si="16"/>
        <v>0</v>
      </c>
      <c r="I76" s="42">
        <f t="shared" si="16"/>
        <v>5.0158759062062197</v>
      </c>
      <c r="J76" s="42">
        <f t="shared" si="16"/>
        <v>10.044787598320507</v>
      </c>
      <c r="K76" s="42">
        <f t="shared" si="16"/>
        <v>15.093503544084545</v>
      </c>
      <c r="L76" s="42">
        <f t="shared" si="16"/>
        <v>20.171370671567754</v>
      </c>
      <c r="M76" s="42">
        <f t="shared" si="16"/>
        <v>25.291065716556325</v>
      </c>
      <c r="N76" s="42">
        <f t="shared" si="16"/>
        <v>30.46953033713681</v>
      </c>
      <c r="O76" s="42">
        <f t="shared" si="16"/>
        <v>35.729143127550778</v>
      </c>
      <c r="P76" s="42">
        <f t="shared" si="16"/>
        <v>41.099205864200101</v>
      </c>
      <c r="Q76" s="42">
        <f t="shared" si="16"/>
        <v>46.617858604831412</v>
      </c>
      <c r="R76" s="42">
        <f t="shared" si="16"/>
        <v>52.334596122417409</v>
      </c>
      <c r="S76" s="42">
        <f t="shared" si="16"/>
        <v>58.313649119719507</v>
      </c>
      <c r="T76" s="42">
        <f t="shared" si="16"/>
        <v>64.638639402221344</v>
      </c>
    </row>
    <row r="77" spans="2:20" x14ac:dyDescent="0.2">
      <c r="B77" s="45">
        <f>B75-0.1</f>
        <v>0.20000000000000015</v>
      </c>
      <c r="C77" s="42" t="s">
        <v>2</v>
      </c>
      <c r="D77" s="42">
        <f>0.6222*$B77*D$60/(Tlak_vzduchu-$B77*D$60/1000)</f>
        <v>0.1358156797329006</v>
      </c>
      <c r="E77" s="42">
        <f t="shared" si="8"/>
        <v>0.21750328911584826</v>
      </c>
      <c r="F77" s="42">
        <f t="shared" si="8"/>
        <v>0.34211964476451118</v>
      </c>
      <c r="G77" s="42">
        <f t="shared" si="8"/>
        <v>0.52910486016338154</v>
      </c>
      <c r="H77" s="42">
        <f t="shared" si="8"/>
        <v>0.802756683134497</v>
      </c>
      <c r="I77" s="42">
        <f t="shared" si="8"/>
        <v>1.1483776269084569</v>
      </c>
      <c r="J77" s="42">
        <f t="shared" si="8"/>
        <v>1.6192334470055176</v>
      </c>
      <c r="K77" s="42">
        <f t="shared" si="8"/>
        <v>2.2525121732724562</v>
      </c>
      <c r="L77" s="42">
        <f t="shared" si="8"/>
        <v>3.0941578838395496</v>
      </c>
      <c r="M77" s="42">
        <f t="shared" si="8"/>
        <v>4.2004882106101</v>
      </c>
      <c r="N77" s="42">
        <f t="shared" si="8"/>
        <v>5.640098778418829</v>
      </c>
      <c r="O77" s="42">
        <f t="shared" si="8"/>
        <v>7.4961428539161545</v>
      </c>
      <c r="P77" s="42">
        <f t="shared" si="8"/>
        <v>9.8691141700684106</v>
      </c>
      <c r="Q77" s="42">
        <f t="shared" si="8"/>
        <v>12.880317680384588</v>
      </c>
      <c r="R77" s="42">
        <f t="shared" si="8"/>
        <v>16.676294841620564</v>
      </c>
      <c r="S77" s="42">
        <f t="shared" si="8"/>
        <v>21.434589559138622</v>
      </c>
      <c r="T77" s="42">
        <f t="shared" si="8"/>
        <v>27.371418690269035</v>
      </c>
    </row>
    <row r="78" spans="2:20" x14ac:dyDescent="0.2">
      <c r="C78" s="42" t="s">
        <v>8</v>
      </c>
      <c r="D78" s="42">
        <f t="shared" ref="D78:T78" si="17">(1.01*D$59+0.00186*D$59*D77)/1.01</f>
        <v>-20.005002320085211</v>
      </c>
      <c r="E78" s="42">
        <f t="shared" si="17"/>
        <v>-15.006008259174585</v>
      </c>
      <c r="F78" s="42">
        <f t="shared" si="17"/>
        <v>-10.006300421180811</v>
      </c>
      <c r="G78" s="42">
        <f t="shared" si="17"/>
        <v>-5.0048719556430887</v>
      </c>
      <c r="H78" s="42">
        <f t="shared" si="17"/>
        <v>0</v>
      </c>
      <c r="I78" s="42">
        <f t="shared" si="17"/>
        <v>5.0105741702279687</v>
      </c>
      <c r="J78" s="42">
        <f t="shared" si="17"/>
        <v>10.029819546647824</v>
      </c>
      <c r="K78" s="42">
        <f t="shared" si="17"/>
        <v>15.062222861024061</v>
      </c>
      <c r="L78" s="42">
        <f t="shared" si="17"/>
        <v>20.113963042850326</v>
      </c>
      <c r="M78" s="42">
        <f t="shared" si="17"/>
        <v>25.193388813656799</v>
      </c>
      <c r="N78" s="42">
        <f t="shared" si="17"/>
        <v>30.311601496867098</v>
      </c>
      <c r="O78" s="42">
        <f t="shared" si="17"/>
        <v>35.483167227514798</v>
      </c>
      <c r="P78" s="42">
        <f t="shared" si="17"/>
        <v>40.726992172527808</v>
      </c>
      <c r="Q78" s="42">
        <f t="shared" si="17"/>
        <v>46.067408504800191</v>
      </c>
      <c r="R78" s="42">
        <f t="shared" si="17"/>
        <v>51.535540020070016</v>
      </c>
      <c r="S78" s="42">
        <f t="shared" si="17"/>
        <v>57.171048031584036</v>
      </c>
      <c r="T78" s="42">
        <f t="shared" si="17"/>
        <v>63.024406263202003</v>
      </c>
    </row>
    <row r="79" spans="2:20" x14ac:dyDescent="0.2">
      <c r="B79" s="45">
        <f>B77-0.1</f>
        <v>0.10000000000000014</v>
      </c>
      <c r="C79" s="42" t="s">
        <v>2</v>
      </c>
      <c r="F79" s="42">
        <f t="shared" si="8"/>
        <v>0.17101280627768012</v>
      </c>
      <c r="G79" s="42">
        <f t="shared" si="8"/>
        <v>0.26443999317586409</v>
      </c>
      <c r="H79" s="42">
        <f t="shared" si="8"/>
        <v>0.40111958118109542</v>
      </c>
      <c r="I79" s="42">
        <f t="shared" si="8"/>
        <v>0.57365941965561285</v>
      </c>
      <c r="J79" s="42">
        <f t="shared" si="8"/>
        <v>0.80856460613349224</v>
      </c>
      <c r="K79" s="42">
        <f t="shared" si="8"/>
        <v>1.1242211125591719</v>
      </c>
      <c r="L79" s="42">
        <f t="shared" si="8"/>
        <v>1.5432417243466023</v>
      </c>
      <c r="M79" s="42">
        <f t="shared" si="8"/>
        <v>2.093178554164365</v>
      </c>
      <c r="N79" s="42">
        <f t="shared" si="8"/>
        <v>2.8073255116868441</v>
      </c>
      <c r="O79" s="42">
        <f t="shared" si="8"/>
        <v>3.7256286077166139</v>
      </c>
      <c r="P79" s="42">
        <f t="shared" si="8"/>
        <v>4.89572992529573</v>
      </c>
      <c r="Q79" s="42">
        <f t="shared" si="8"/>
        <v>6.3741820722374358</v>
      </c>
      <c r="R79" s="42">
        <f t="shared" si="8"/>
        <v>8.2278849367789046</v>
      </c>
      <c r="S79" s="42">
        <f t="shared" si="8"/>
        <v>10.53581702830612</v>
      </c>
      <c r="T79" s="42">
        <f t="shared" si="8"/>
        <v>13.391161696827741</v>
      </c>
    </row>
    <row r="80" spans="2:20" x14ac:dyDescent="0.2">
      <c r="C80" s="42" t="s">
        <v>8</v>
      </c>
      <c r="F80" s="42">
        <f t="shared" ref="F80:T80" si="18">(1.01*F$59+0.00186*F$59*F79)/1.01</f>
        <v>-10.003149344749273</v>
      </c>
      <c r="G80" s="42">
        <f t="shared" si="18"/>
        <v>-5.002434942511421</v>
      </c>
      <c r="H80" s="42">
        <f t="shared" si="18"/>
        <v>0</v>
      </c>
      <c r="I80" s="42">
        <f t="shared" si="18"/>
        <v>5.0052822104978194</v>
      </c>
      <c r="J80" s="42">
        <f t="shared" si="18"/>
        <v>10.014890397697112</v>
      </c>
      <c r="K80" s="42">
        <f t="shared" si="18"/>
        <v>15.031055216871684</v>
      </c>
      <c r="L80" s="42">
        <f t="shared" si="18"/>
        <v>20.05684019024326</v>
      </c>
      <c r="M80" s="42">
        <f t="shared" si="18"/>
        <v>25.096369111652123</v>
      </c>
      <c r="N80" s="42">
        <f t="shared" si="18"/>
        <v>30.155097785695176</v>
      </c>
      <c r="O80" s="42">
        <f t="shared" si="18"/>
        <v>35.240137051843917</v>
      </c>
      <c r="P80" s="42">
        <f t="shared" si="18"/>
        <v>40.36063594697228</v>
      </c>
      <c r="Q80" s="42">
        <f t="shared" si="18"/>
        <v>45.528236672719089</v>
      </c>
      <c r="R80" s="42">
        <f t="shared" si="18"/>
        <v>50.757617127842018</v>
      </c>
      <c r="S80" s="42">
        <f t="shared" si="18"/>
        <v>56.067142655441302</v>
      </c>
      <c r="T80" s="42">
        <f t="shared" si="18"/>
        <v>61.47965707461978</v>
      </c>
    </row>
    <row r="82" spans="1:1" x14ac:dyDescent="0.2">
      <c r="A82" s="42" t="s">
        <v>48</v>
      </c>
    </row>
  </sheetData>
  <phoneticPr fontId="10" type="noConversion"/>
  <pageMargins left="0.75" right="0.75" top="1" bottom="1" header="0.4921259845" footer="0.4921259845"/>
  <pageSetup orientation="portrait" horizontalDpi="300" verticalDpi="300" r:id="rId1"/>
  <headerFooter alignWithMargins="0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Листы</vt:lpstr>
      </vt:variant>
      <vt:variant>
        <vt:i4>13</vt:i4>
      </vt:variant>
      <vt:variant>
        <vt:lpstr>Именованные диапазоны</vt:lpstr>
      </vt:variant>
      <vt:variant>
        <vt:i4>48</vt:i4>
      </vt:variant>
    </vt:vector>
  </HeadingPairs>
  <TitlesOfParts>
    <vt:vector size="61" baseType="lpstr">
      <vt:lpstr>S01</vt:lpstr>
      <vt:lpstr>S02</vt:lpstr>
      <vt:lpstr>S03</vt:lpstr>
      <vt:lpstr>E01</vt:lpstr>
      <vt:lpstr>S04</vt:lpstr>
      <vt:lpstr>Расчет</vt:lpstr>
      <vt:lpstr>AHU_LIST</vt:lpstr>
      <vt:lpstr>ahu_index</vt:lpstr>
      <vt:lpstr>Параметры_нар_воздуха</vt:lpstr>
      <vt:lpstr>Справка</vt:lpstr>
      <vt:lpstr>Пример</vt:lpstr>
      <vt:lpstr>Шаблоны</vt:lpstr>
      <vt:lpstr>-</vt:lpstr>
      <vt:lpstr>'E01'!Hchladice</vt:lpstr>
      <vt:lpstr>'S01'!Hchladice</vt:lpstr>
      <vt:lpstr>'S02'!Hchladice</vt:lpstr>
      <vt:lpstr>'S03'!Hchladice</vt:lpstr>
      <vt:lpstr>'S04'!Hchladice</vt:lpstr>
      <vt:lpstr>Hchladice</vt:lpstr>
      <vt:lpstr>'E01'!index_ahu</vt:lpstr>
      <vt:lpstr>'S01'!index_ahu</vt:lpstr>
      <vt:lpstr>'S02'!index_ahu</vt:lpstr>
      <vt:lpstr>'S03'!index_ahu</vt:lpstr>
      <vt:lpstr>'S04'!index_ahu</vt:lpstr>
      <vt:lpstr>index_ahu</vt:lpstr>
      <vt:lpstr>'E01'!MaxVlhkost</vt:lpstr>
      <vt:lpstr>'S01'!MaxVlhkost</vt:lpstr>
      <vt:lpstr>'S02'!MaxVlhkost</vt:lpstr>
      <vt:lpstr>'S03'!MaxVlhkost</vt:lpstr>
      <vt:lpstr>'S04'!MaxVlhkost</vt:lpstr>
      <vt:lpstr>MaxVlhkost</vt:lpstr>
      <vt:lpstr>'E01'!Print_Area</vt:lpstr>
      <vt:lpstr>'S01'!Print_Area</vt:lpstr>
      <vt:lpstr>'S02'!Print_Area</vt:lpstr>
      <vt:lpstr>'S03'!Print_Area</vt:lpstr>
      <vt:lpstr>'S04'!Print_Area</vt:lpstr>
      <vt:lpstr>Расчет!Print_Area</vt:lpstr>
      <vt:lpstr>'E01'!result</vt:lpstr>
      <vt:lpstr>'S01'!result</vt:lpstr>
      <vt:lpstr>'S02'!result</vt:lpstr>
      <vt:lpstr>'S03'!result</vt:lpstr>
      <vt:lpstr>'S04'!result</vt:lpstr>
      <vt:lpstr>result</vt:lpstr>
      <vt:lpstr>'E01'!Tchladice</vt:lpstr>
      <vt:lpstr>'S01'!Tchladice</vt:lpstr>
      <vt:lpstr>'S02'!Tchladice</vt:lpstr>
      <vt:lpstr>'S03'!Tchladice</vt:lpstr>
      <vt:lpstr>'S04'!Tchladice</vt:lpstr>
      <vt:lpstr>Tchladice</vt:lpstr>
      <vt:lpstr>'E01'!Tlak_vzduchu</vt:lpstr>
      <vt:lpstr>'S01'!Tlak_vzduchu</vt:lpstr>
      <vt:lpstr>'S02'!Tlak_vzduchu</vt:lpstr>
      <vt:lpstr>'S03'!Tlak_vzduchu</vt:lpstr>
      <vt:lpstr>'S04'!Tlak_vzduchu</vt:lpstr>
      <vt:lpstr>Tlak_vzduchu</vt:lpstr>
      <vt:lpstr>'E01'!xchladice</vt:lpstr>
      <vt:lpstr>'S01'!xchladice</vt:lpstr>
      <vt:lpstr>'S02'!xchladice</vt:lpstr>
      <vt:lpstr>'S03'!xchladice</vt:lpstr>
      <vt:lpstr>'S04'!xchladice</vt:lpstr>
      <vt:lpstr>xchladice</vt:lpstr>
    </vt:vector>
  </TitlesOfParts>
  <Company>C.I.C. Jan Hrebec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Jan Hrebec</dc:creator>
  <cp:lastModifiedBy>Strakhov</cp:lastModifiedBy>
  <cp:lastPrinted>2021-06-26T17:47:30Z</cp:lastPrinted>
  <dcterms:created xsi:type="dcterms:W3CDTF">1998-12-02T15:37:01Z</dcterms:created>
  <dcterms:modified xsi:type="dcterms:W3CDTF">2023-01-10T14:42:45Z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_AdHocReviewCycleID">
    <vt:i4>-1639465731</vt:i4>
  </property>
  <property fmtid="{D5CDD505-2E9C-101B-9397-08002B2CF9AE}" pid="3" name="_EmailSubject">
    <vt:lpwstr>I-d диаграмма.</vt:lpwstr>
  </property>
  <property fmtid="{D5CDD505-2E9C-101B-9397-08002B2CF9AE}" pid="4" name="_AuthorEmail">
    <vt:lpwstr>SBruh@permoil.ru</vt:lpwstr>
  </property>
  <property fmtid="{D5CDD505-2E9C-101B-9397-08002B2CF9AE}" pid="5" name="_AuthorEmailDisplayName">
    <vt:lpwstr>Брух Сергей Викторович</vt:lpwstr>
  </property>
  <property fmtid="{D5CDD505-2E9C-101B-9397-08002B2CF9AE}" pid="6" name="_ReviewingToolsShownOnce">
    <vt:lpwstr/>
  </property>
</Properties>
</file>